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Desktop\Consultoria\Business\Lisboa\"/>
    </mc:Choice>
  </mc:AlternateContent>
  <xr:revisionPtr revIDLastSave="0" documentId="13_ncr:1_{A3CF0468-1241-4ABD-B44D-00B4836C2FE3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Comissões" sheetId="6" state="hidden" r:id="rId1"/>
    <sheet name="Salários" sheetId="8" state="hidden" r:id="rId2"/>
    <sheet name="Tabela" sheetId="2" state="hidden" r:id="rId3"/>
    <sheet name="Base" sheetId="1" r:id="rId4"/>
    <sheet name="TOTAL" sheetId="3" r:id="rId5"/>
    <sheet name="ADM" sheetId="4" r:id="rId6"/>
    <sheet name="CML" sheetId="7" r:id="rId7"/>
    <sheet name="RH" sheetId="5" r:id="rId8"/>
  </sheets>
  <definedNames>
    <definedName name="_xlnm._FilterDatabase" localSheetId="5" hidden="1">ADM!$T$4:$X$14</definedName>
    <definedName name="_xlnm._FilterDatabase" localSheetId="3" hidden="1">Base!$A$1:$N$1916</definedName>
    <definedName name="_xlnm._FilterDatabase" localSheetId="6" hidden="1">CML!$R$4:$V$4</definedName>
    <definedName name="_xlnm._FilterDatabase" localSheetId="0" hidden="1">Comissões!$T$4:$X$13</definedName>
    <definedName name="_xlnm._FilterDatabase" localSheetId="7" hidden="1">RH!$V$4:$Z$14</definedName>
    <definedName name="_xlnm._FilterDatabase" localSheetId="4" hidden="1">TOTAL!$X$4:$AB$13</definedName>
  </definedNames>
  <calcPr calcId="191029"/>
  <pivotCaches>
    <pivotCache cacheId="242" r:id="rId9"/>
    <pivotCache cacheId="243" r:id="rId10"/>
    <pivotCache cacheId="244" r:id="rId11"/>
    <pivotCache cacheId="24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8" l="1"/>
  <c r="B12" i="8"/>
  <c r="D15" i="8" s="1"/>
  <c r="D13" i="8"/>
  <c r="D12" i="8"/>
  <c r="D10" i="8"/>
  <c r="D9" i="8"/>
  <c r="D8" i="8"/>
  <c r="D7" i="8"/>
  <c r="D6" i="8"/>
  <c r="D3" i="8"/>
  <c r="C10" i="8"/>
  <c r="C9" i="8"/>
  <c r="C8" i="8"/>
  <c r="C7" i="8"/>
  <c r="C12" i="8" s="1"/>
  <c r="C13" i="8" s="1"/>
  <c r="C6" i="8"/>
  <c r="C3" i="8"/>
  <c r="K1920" i="1"/>
  <c r="K1918" i="1"/>
  <c r="S31" i="3"/>
  <c r="S30" i="3"/>
  <c r="S29" i="3"/>
  <c r="S28" i="3"/>
  <c r="S26" i="3"/>
  <c r="S27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W20" i="4"/>
  <c r="W15" i="4"/>
  <c r="W19" i="4"/>
  <c r="W18" i="4"/>
  <c r="W17" i="4"/>
  <c r="W16" i="4"/>
  <c r="W14" i="4"/>
  <c r="W13" i="4"/>
  <c r="W11" i="4"/>
  <c r="W9" i="4"/>
  <c r="W12" i="4"/>
  <c r="W10" i="4"/>
  <c r="W8" i="4"/>
  <c r="W7" i="4"/>
  <c r="W5" i="4"/>
  <c r="W6" i="4"/>
  <c r="W4" i="4"/>
  <c r="R59" i="3"/>
  <c r="Q59" i="3"/>
  <c r="O75" i="3" l="1"/>
  <c r="Z4" i="3"/>
  <c r="Y4" i="3"/>
  <c r="AA4" i="3"/>
  <c r="R62" i="3"/>
  <c r="R58" i="3"/>
  <c r="R57" i="3"/>
  <c r="R56" i="3"/>
  <c r="R47" i="3"/>
  <c r="R42" i="3"/>
  <c r="R40" i="3"/>
  <c r="R38" i="3"/>
  <c r="R35" i="3"/>
  <c r="R33" i="3"/>
  <c r="R25" i="3"/>
  <c r="R6" i="3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89" i="1"/>
  <c r="E1891" i="1"/>
  <c r="E1890" i="1"/>
  <c r="E1846" i="1"/>
  <c r="E1802" i="1"/>
  <c r="E1803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88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762" i="1"/>
  <c r="E1845" i="1"/>
  <c r="E1844" i="1"/>
  <c r="E1871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792" i="1"/>
  <c r="E1828" i="1"/>
  <c r="E1827" i="1"/>
  <c r="E1826" i="1"/>
  <c r="E1825" i="1"/>
  <c r="E1824" i="1"/>
  <c r="E1823" i="1"/>
  <c r="E1822" i="1"/>
  <c r="E1821" i="1"/>
  <c r="E1820" i="1"/>
  <c r="E1829" i="1"/>
  <c r="E1818" i="1"/>
  <c r="E1817" i="1"/>
  <c r="E1816" i="1"/>
  <c r="E1815" i="1"/>
  <c r="E1814" i="1"/>
  <c r="E1813" i="1"/>
  <c r="E1819" i="1"/>
  <c r="E1811" i="1"/>
  <c r="E1810" i="1"/>
  <c r="E1809" i="1"/>
  <c r="E1808" i="1"/>
  <c r="E1807" i="1"/>
  <c r="E1806" i="1"/>
  <c r="E1805" i="1"/>
  <c r="E1804" i="1"/>
  <c r="E1887" i="1"/>
  <c r="E1757" i="1"/>
  <c r="E1794" i="1"/>
  <c r="E1800" i="1"/>
  <c r="E1799" i="1"/>
  <c r="E1798" i="1"/>
  <c r="E1797" i="1"/>
  <c r="E1796" i="1"/>
  <c r="E1795" i="1"/>
  <c r="E1812" i="1"/>
  <c r="E1793" i="1"/>
  <c r="E1892" i="1"/>
  <c r="E1791" i="1"/>
  <c r="E1790" i="1"/>
  <c r="E1789" i="1"/>
  <c r="E1788" i="1"/>
  <c r="E1787" i="1"/>
  <c r="E1786" i="1"/>
  <c r="E1785" i="1"/>
  <c r="E1784" i="1"/>
  <c r="E1783" i="1"/>
  <c r="E1843" i="1"/>
  <c r="E1781" i="1"/>
  <c r="E1755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80" i="1"/>
  <c r="E1752" i="1"/>
  <c r="E1760" i="1"/>
  <c r="E1759" i="1"/>
  <c r="E1758" i="1"/>
  <c r="E1782" i="1"/>
  <c r="E1756" i="1"/>
  <c r="E1744" i="1"/>
  <c r="E1754" i="1"/>
  <c r="E1753" i="1"/>
  <c r="E1748" i="1"/>
  <c r="E1751" i="1"/>
  <c r="E1750" i="1"/>
  <c r="E1749" i="1"/>
  <c r="E1801" i="1"/>
  <c r="E1747" i="1"/>
  <c r="E1746" i="1"/>
  <c r="E1745" i="1"/>
  <c r="E1761" i="1"/>
  <c r="E1743" i="1"/>
  <c r="E1742" i="1"/>
  <c r="Q62" i="3"/>
  <c r="Q58" i="3"/>
  <c r="Q57" i="3"/>
  <c r="Q56" i="3"/>
  <c r="Q47" i="3"/>
  <c r="Q42" i="3"/>
  <c r="Q40" i="3"/>
  <c r="Q38" i="3"/>
  <c r="Q35" i="3"/>
  <c r="Q33" i="3"/>
  <c r="Q25" i="3"/>
  <c r="Q6" i="3"/>
  <c r="O73" i="3"/>
  <c r="O76" i="3"/>
  <c r="O80" i="3" l="1"/>
  <c r="E1725" i="1"/>
  <c r="E1724" i="1"/>
  <c r="E1736" i="1"/>
  <c r="E1737" i="1"/>
  <c r="E1719" i="1"/>
  <c r="E1666" i="1"/>
  <c r="E1735" i="1"/>
  <c r="E1705" i="1"/>
  <c r="E1696" i="1"/>
  <c r="E1702" i="1"/>
  <c r="E1704" i="1"/>
  <c r="E1711" i="1"/>
  <c r="E1701" i="1"/>
  <c r="E1635" i="1"/>
  <c r="E1716" i="1"/>
  <c r="E1646" i="1"/>
  <c r="E1668" i="1"/>
  <c r="E1671" i="1"/>
  <c r="E1693" i="1"/>
  <c r="E1679" i="1"/>
  <c r="E1734" i="1"/>
  <c r="E1678" i="1"/>
  <c r="E1730" i="1"/>
  <c r="E1650" i="1"/>
  <c r="E1720" i="1"/>
  <c r="E1680" i="1"/>
  <c r="E1642" i="1"/>
  <c r="E1655" i="1"/>
  <c r="E1688" i="1"/>
  <c r="E1739" i="1"/>
  <c r="E1687" i="1"/>
  <c r="E1660" i="1"/>
  <c r="E1695" i="1"/>
  <c r="E1658" i="1"/>
  <c r="E1665" i="1"/>
  <c r="E1659" i="1"/>
  <c r="E1717" i="1"/>
  <c r="E1654" i="1"/>
  <c r="E1712" i="1"/>
  <c r="E1645" i="1"/>
  <c r="E1710" i="1"/>
  <c r="E1728" i="1"/>
  <c r="E1685" i="1"/>
  <c r="E1729" i="1"/>
  <c r="E1714" i="1"/>
  <c r="E1692" i="1"/>
  <c r="E1691" i="1"/>
  <c r="E1690" i="1"/>
  <c r="E1677" i="1"/>
  <c r="E1632" i="1"/>
  <c r="E1676" i="1"/>
  <c r="E1675" i="1"/>
  <c r="E1648" i="1"/>
  <c r="E1631" i="1"/>
  <c r="E1630" i="1"/>
  <c r="E1629" i="1"/>
  <c r="E1674" i="1"/>
  <c r="E1628" i="1"/>
  <c r="E1627" i="1"/>
  <c r="E1656" i="1"/>
  <c r="E1626" i="1"/>
  <c r="E1625" i="1"/>
  <c r="E1573" i="1"/>
  <c r="E1698" i="1"/>
  <c r="E1663" i="1"/>
  <c r="E1624" i="1"/>
  <c r="E1683" i="1"/>
  <c r="E1740" i="1"/>
  <c r="E1653" i="1"/>
  <c r="E1703" i="1"/>
  <c r="E1718" i="1"/>
  <c r="E1643" i="1"/>
  <c r="E1657" i="1"/>
  <c r="E1664" i="1"/>
  <c r="E1723" i="1"/>
  <c r="E1733" i="1"/>
  <c r="E1694" i="1"/>
  <c r="E1640" i="1"/>
  <c r="E1651" i="1"/>
  <c r="E1570" i="1"/>
  <c r="E1669" i="1"/>
  <c r="E1649" i="1"/>
  <c r="E1567" i="1"/>
  <c r="E1697" i="1"/>
  <c r="E1583" i="1"/>
  <c r="E1700" i="1"/>
  <c r="E1684" i="1"/>
  <c r="E1689" i="1"/>
  <c r="E1569" i="1"/>
  <c r="E1727" i="1"/>
  <c r="E1572" i="1"/>
  <c r="E1722" i="1"/>
  <c r="E1617" i="1"/>
  <c r="E1568" i="1"/>
  <c r="E1616" i="1"/>
  <c r="E1644" i="1"/>
  <c r="E1738" i="1"/>
  <c r="E1741" i="1"/>
  <c r="E1662" i="1"/>
  <c r="E1582" i="1"/>
  <c r="E1639" i="1"/>
  <c r="E1681" i="1"/>
  <c r="E1581" i="1"/>
  <c r="E1580" i="1"/>
  <c r="E1579" i="1"/>
  <c r="E1615" i="1"/>
  <c r="E1578" i="1"/>
  <c r="E1652" i="1"/>
  <c r="E1641" i="1"/>
  <c r="E1577" i="1"/>
  <c r="E1713" i="1"/>
  <c r="E1637" i="1"/>
  <c r="E1673" i="1"/>
  <c r="E1576" i="1"/>
  <c r="E1721" i="1"/>
  <c r="E1707" i="1"/>
  <c r="E1709" i="1"/>
  <c r="E1638" i="1"/>
  <c r="E1636" i="1"/>
  <c r="E1715" i="1"/>
  <c r="E1732" i="1"/>
  <c r="E1623" i="1"/>
  <c r="E1614" i="1"/>
  <c r="E1575" i="1"/>
  <c r="E1622" i="1"/>
  <c r="E1621" i="1"/>
  <c r="E1620" i="1"/>
  <c r="E1619" i="1"/>
  <c r="E1731" i="1"/>
  <c r="E1618" i="1"/>
  <c r="E1706" i="1"/>
  <c r="E1699" i="1"/>
  <c r="E1613" i="1"/>
  <c r="E1612" i="1"/>
  <c r="E1574" i="1"/>
  <c r="E1611" i="1"/>
  <c r="E1610" i="1"/>
  <c r="E1609" i="1"/>
  <c r="E1682" i="1"/>
  <c r="E1608" i="1"/>
  <c r="E1661" i="1"/>
  <c r="E1607" i="1"/>
  <c r="E1606" i="1"/>
  <c r="E1605" i="1"/>
  <c r="E1604" i="1"/>
  <c r="E1603" i="1"/>
  <c r="E1670" i="1"/>
  <c r="E1602" i="1"/>
  <c r="E1601" i="1"/>
  <c r="E1600" i="1"/>
  <c r="E1599" i="1"/>
  <c r="E1686" i="1"/>
  <c r="E1571" i="1"/>
  <c r="E1598" i="1"/>
  <c r="E1597" i="1"/>
  <c r="E1596" i="1"/>
  <c r="E1595" i="1"/>
  <c r="E1594" i="1"/>
  <c r="E1726" i="1"/>
  <c r="E1593" i="1"/>
  <c r="E1592" i="1"/>
  <c r="E1591" i="1"/>
  <c r="E1590" i="1"/>
  <c r="E1589" i="1"/>
  <c r="E1588" i="1"/>
  <c r="E1634" i="1"/>
  <c r="E1647" i="1"/>
  <c r="E1672" i="1"/>
  <c r="E1633" i="1"/>
  <c r="E1587" i="1"/>
  <c r="E1586" i="1"/>
  <c r="E1585" i="1"/>
  <c r="E1708" i="1"/>
  <c r="E1584" i="1"/>
  <c r="E1667" i="1"/>
  <c r="U5" i="7"/>
  <c r="T5" i="7"/>
  <c r="S5" i="7"/>
  <c r="U6" i="7"/>
  <c r="T6" i="7"/>
  <c r="S6" i="7"/>
  <c r="U7" i="7"/>
  <c r="T7" i="7"/>
  <c r="S7" i="7"/>
  <c r="U8" i="7"/>
  <c r="T8" i="7"/>
  <c r="S8" i="7"/>
  <c r="U11" i="7"/>
  <c r="T11" i="7"/>
  <c r="S11" i="7"/>
  <c r="U10" i="7"/>
  <c r="T10" i="7"/>
  <c r="S10" i="7"/>
  <c r="U9" i="7"/>
  <c r="T9" i="7"/>
  <c r="S9" i="7"/>
  <c r="S4" i="7"/>
  <c r="T3" i="7"/>
  <c r="S22" i="7" l="1"/>
  <c r="U3" i="7"/>
  <c r="T4" i="7"/>
  <c r="T22" i="7" l="1"/>
  <c r="V7" i="7"/>
  <c r="V10" i="7"/>
  <c r="V5" i="7"/>
  <c r="V8" i="7"/>
  <c r="V11" i="7"/>
  <c r="V6" i="7"/>
  <c r="U4" i="7"/>
  <c r="V9" i="7"/>
  <c r="U22" i="7" l="1"/>
  <c r="E1566" i="1" l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Z5" i="5"/>
  <c r="Z6" i="5"/>
  <c r="Z10" i="5"/>
  <c r="Z7" i="5"/>
  <c r="Z11" i="5"/>
  <c r="Z9" i="5"/>
  <c r="Y12" i="3" l="1"/>
  <c r="Y13" i="3"/>
  <c r="Y9" i="3"/>
  <c r="Y10" i="3"/>
  <c r="Y11" i="3"/>
  <c r="Y8" i="3"/>
  <c r="Y7" i="3"/>
  <c r="Y6" i="3"/>
  <c r="Y5" i="3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D21" i="6"/>
  <c r="U20" i="4"/>
  <c r="U13" i="4"/>
  <c r="U11" i="4"/>
  <c r="U18" i="4"/>
  <c r="U15" i="4"/>
  <c r="U19" i="4"/>
  <c r="U17" i="4"/>
  <c r="U16" i="4"/>
  <c r="U14" i="4"/>
  <c r="U9" i="4"/>
  <c r="U6" i="4"/>
  <c r="U10" i="4"/>
  <c r="U12" i="4"/>
  <c r="U8" i="4"/>
  <c r="U7" i="4"/>
  <c r="U5" i="4"/>
  <c r="U4" i="4"/>
  <c r="D20" i="6"/>
  <c r="C20" i="6"/>
  <c r="C15" i="6"/>
  <c r="C13" i="6"/>
  <c r="C11" i="6"/>
  <c r="C9" i="6"/>
  <c r="M58" i="6"/>
  <c r="M56" i="6"/>
  <c r="M53" i="6"/>
  <c r="M52" i="6"/>
  <c r="M51" i="6"/>
  <c r="M46" i="6"/>
  <c r="M41" i="6"/>
  <c r="M37" i="6"/>
  <c r="M34" i="6"/>
  <c r="M32" i="6"/>
  <c r="M24" i="6"/>
  <c r="U13" i="6"/>
  <c r="U12" i="6"/>
  <c r="U11" i="6"/>
  <c r="V10" i="6"/>
  <c r="U10" i="6"/>
  <c r="V9" i="6"/>
  <c r="U9" i="6"/>
  <c r="U8" i="6"/>
  <c r="V7" i="6"/>
  <c r="U7" i="6"/>
  <c r="V6" i="6"/>
  <c r="U6" i="6"/>
  <c r="M6" i="6"/>
  <c r="V5" i="6"/>
  <c r="U5" i="6"/>
  <c r="V4" i="6"/>
  <c r="U4" i="6"/>
  <c r="V3" i="6"/>
  <c r="V11" i="6" s="1"/>
  <c r="E1198" i="1"/>
  <c r="E1231" i="1"/>
  <c r="E1169" i="1"/>
  <c r="E1228" i="1"/>
  <c r="E1214" i="1"/>
  <c r="E1213" i="1"/>
  <c r="E1220" i="1"/>
  <c r="E1153" i="1"/>
  <c r="E1201" i="1"/>
  <c r="E1168" i="1"/>
  <c r="E1200" i="1"/>
  <c r="E1219" i="1"/>
  <c r="E1224" i="1"/>
  <c r="E1208" i="1"/>
  <c r="E1129" i="1"/>
  <c r="E1187" i="1"/>
  <c r="E1167" i="1"/>
  <c r="E1234" i="1"/>
  <c r="E1131" i="1"/>
  <c r="E1166" i="1"/>
  <c r="E1152" i="1"/>
  <c r="E1156" i="1"/>
  <c r="E1192" i="1"/>
  <c r="E1240" i="1"/>
  <c r="E1136" i="1"/>
  <c r="E1195" i="1"/>
  <c r="E1147" i="1"/>
  <c r="E1138" i="1"/>
  <c r="E1146" i="1"/>
  <c r="E1148" i="1"/>
  <c r="E1188" i="1"/>
  <c r="E1236" i="1"/>
  <c r="E1163" i="1"/>
  <c r="E1124" i="1"/>
  <c r="E1218" i="1"/>
  <c r="E1173" i="1"/>
  <c r="E1227" i="1"/>
  <c r="E1115" i="1"/>
  <c r="E1230" i="1"/>
  <c r="E1215" i="1"/>
  <c r="E1189" i="1"/>
  <c r="E1179" i="1"/>
  <c r="E1204" i="1"/>
  <c r="E1164" i="1"/>
  <c r="E1202" i="1"/>
  <c r="E1197" i="1"/>
  <c r="E1145" i="1"/>
  <c r="E1135" i="1"/>
  <c r="E1209" i="1"/>
  <c r="E1155" i="1"/>
  <c r="E1190" i="1"/>
  <c r="E1123" i="1"/>
  <c r="E1207" i="1"/>
  <c r="E1210" i="1"/>
  <c r="E1175" i="1"/>
  <c r="E1183" i="1"/>
  <c r="E1139" i="1"/>
  <c r="E1206" i="1"/>
  <c r="E1223" i="1"/>
  <c r="E1196" i="1"/>
  <c r="E1181" i="1"/>
  <c r="E1130" i="1"/>
  <c r="E1144" i="1"/>
  <c r="E1226" i="1"/>
  <c r="E1116" i="1"/>
  <c r="E1126" i="1"/>
  <c r="E1071" i="1"/>
  <c r="E1137" i="1"/>
  <c r="E1128" i="1"/>
  <c r="E1070" i="1"/>
  <c r="E1121" i="1"/>
  <c r="E1120" i="1"/>
  <c r="E1076" i="1"/>
  <c r="E1119" i="1"/>
  <c r="E1118" i="1"/>
  <c r="E1141" i="1"/>
  <c r="E1217" i="1"/>
  <c r="E1117" i="1"/>
  <c r="E1194" i="1"/>
  <c r="E1157" i="1"/>
  <c r="E1203" i="1"/>
  <c r="E1154" i="1"/>
  <c r="E1143" i="1"/>
  <c r="E1077" i="1"/>
  <c r="E1134" i="1"/>
  <c r="E1186" i="1"/>
  <c r="E1216" i="1"/>
  <c r="E1221" i="1"/>
  <c r="E1233" i="1"/>
  <c r="E1073" i="1"/>
  <c r="E1232" i="1"/>
  <c r="E1172" i="1"/>
  <c r="E1176" i="1"/>
  <c r="E1127" i="1"/>
  <c r="E1212" i="1"/>
  <c r="E1088" i="1"/>
  <c r="E1140" i="1"/>
  <c r="E1162" i="1"/>
  <c r="E1235" i="1"/>
  <c r="E1114" i="1"/>
  <c r="E1151" i="1"/>
  <c r="E1239" i="1"/>
  <c r="E1150" i="1"/>
  <c r="E1237" i="1"/>
  <c r="E1238" i="1"/>
  <c r="E1084" i="1"/>
  <c r="E1142" i="1"/>
  <c r="E1133" i="1"/>
  <c r="E1174" i="1"/>
  <c r="E1083" i="1"/>
  <c r="E1225" i="1"/>
  <c r="E1113" i="1"/>
  <c r="E1082" i="1"/>
  <c r="E1072" i="1"/>
  <c r="E1081" i="1"/>
  <c r="E1080" i="1"/>
  <c r="E1079" i="1"/>
  <c r="E1211" i="1"/>
  <c r="E1078" i="1"/>
  <c r="E1160" i="1"/>
  <c r="E1193" i="1"/>
  <c r="E1178" i="1"/>
  <c r="E1159" i="1"/>
  <c r="E1075" i="1"/>
  <c r="E1165" i="1"/>
  <c r="E1229" i="1"/>
  <c r="E1074" i="1"/>
  <c r="E1180" i="1"/>
  <c r="E1222" i="1"/>
  <c r="E1149" i="1"/>
  <c r="E1177" i="1"/>
  <c r="E1184" i="1"/>
  <c r="E1205" i="1"/>
  <c r="E1161" i="1"/>
  <c r="E1112" i="1"/>
  <c r="E1111" i="1"/>
  <c r="E1110" i="1"/>
  <c r="E1109" i="1"/>
  <c r="E1108" i="1"/>
  <c r="E1171" i="1"/>
  <c r="E1107" i="1"/>
  <c r="E1106" i="1"/>
  <c r="E1158" i="1"/>
  <c r="E1105" i="1"/>
  <c r="E1104" i="1"/>
  <c r="E1191" i="1"/>
  <c r="E1103" i="1"/>
  <c r="E1102" i="1"/>
  <c r="E1182" i="1"/>
  <c r="E1087" i="1"/>
  <c r="E1101" i="1"/>
  <c r="E1100" i="1"/>
  <c r="E1099" i="1"/>
  <c r="E1098" i="1"/>
  <c r="E1097" i="1"/>
  <c r="E1096" i="1"/>
  <c r="E1095" i="1"/>
  <c r="E1170" i="1"/>
  <c r="E1086" i="1"/>
  <c r="E1094" i="1"/>
  <c r="E1093" i="1"/>
  <c r="E1092" i="1"/>
  <c r="E1091" i="1"/>
  <c r="E1122" i="1"/>
  <c r="E1132" i="1"/>
  <c r="E1125" i="1"/>
  <c r="E1199" i="1"/>
  <c r="E1090" i="1"/>
  <c r="E1089" i="1"/>
  <c r="E1085" i="1"/>
  <c r="E4" i="1"/>
  <c r="N2" i="1"/>
  <c r="N4" i="1"/>
  <c r="N5" i="1"/>
  <c r="E1185" i="1"/>
  <c r="E1015" i="1"/>
  <c r="E1008" i="1"/>
  <c r="E1007" i="1"/>
  <c r="E986" i="1"/>
  <c r="E982" i="1"/>
  <c r="E971" i="1"/>
  <c r="E963" i="1"/>
  <c r="E916" i="1"/>
  <c r="E895" i="1"/>
  <c r="E734" i="1"/>
  <c r="E647" i="1"/>
  <c r="E638" i="1"/>
  <c r="E629" i="1"/>
  <c r="E2" i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30" i="1"/>
  <c r="E631" i="1"/>
  <c r="E632" i="1"/>
  <c r="E633" i="1"/>
  <c r="E634" i="1"/>
  <c r="E635" i="1"/>
  <c r="E636" i="1"/>
  <c r="E637" i="1"/>
  <c r="E639" i="1"/>
  <c r="E640" i="1"/>
  <c r="E641" i="1"/>
  <c r="E642" i="1"/>
  <c r="E643" i="1"/>
  <c r="E644" i="1"/>
  <c r="E645" i="1"/>
  <c r="E646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4" i="1"/>
  <c r="E965" i="1"/>
  <c r="E966" i="1"/>
  <c r="E967" i="1"/>
  <c r="E968" i="1"/>
  <c r="E969" i="1"/>
  <c r="E970" i="1"/>
  <c r="E972" i="1"/>
  <c r="E973" i="1"/>
  <c r="E974" i="1"/>
  <c r="E975" i="1"/>
  <c r="E976" i="1"/>
  <c r="E977" i="1"/>
  <c r="E978" i="1"/>
  <c r="E979" i="1"/>
  <c r="E980" i="1"/>
  <c r="E981" i="1"/>
  <c r="E983" i="1"/>
  <c r="E984" i="1"/>
  <c r="E985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9" i="1"/>
  <c r="E1010" i="1"/>
  <c r="E1011" i="1"/>
  <c r="E1012" i="1"/>
  <c r="E1013" i="1"/>
  <c r="E1014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Z3" i="3"/>
  <c r="Z9" i="3" s="1"/>
  <c r="V3" i="4"/>
  <c r="W3" i="4" s="1"/>
  <c r="M39" i="6"/>
  <c r="V20" i="4" l="1"/>
  <c r="V9" i="4"/>
  <c r="V13" i="4"/>
  <c r="Z13" i="3"/>
  <c r="Z12" i="3"/>
  <c r="Z5" i="3"/>
  <c r="Z6" i="3"/>
  <c r="Z7" i="3"/>
  <c r="Z8" i="3"/>
  <c r="Z11" i="3"/>
  <c r="Z10" i="3"/>
  <c r="V12" i="4"/>
  <c r="V6" i="4"/>
  <c r="V14" i="4"/>
  <c r="V16" i="4"/>
  <c r="V17" i="4"/>
  <c r="V19" i="4"/>
  <c r="V4" i="4"/>
  <c r="V15" i="4"/>
  <c r="V5" i="4"/>
  <c r="V18" i="4"/>
  <c r="V7" i="4"/>
  <c r="V11" i="4"/>
  <c r="V8" i="4"/>
  <c r="V10" i="4"/>
  <c r="V12" i="6"/>
  <c r="V15" i="6" s="1"/>
  <c r="W3" i="6"/>
  <c r="V13" i="6"/>
  <c r="U15" i="6"/>
  <c r="V8" i="6"/>
  <c r="AA3" i="3"/>
  <c r="X13" i="4" l="1"/>
  <c r="X20" i="4"/>
  <c r="AA12" i="3"/>
  <c r="AA13" i="3"/>
  <c r="AA9" i="3"/>
  <c r="AA10" i="3"/>
  <c r="AA11" i="3"/>
  <c r="AA8" i="3"/>
  <c r="AA7" i="3"/>
  <c r="AA6" i="3"/>
  <c r="AA5" i="3"/>
  <c r="W11" i="6"/>
  <c r="X11" i="6" s="1"/>
  <c r="W5" i="6"/>
  <c r="W13" i="6"/>
  <c r="X13" i="6" s="1"/>
  <c r="W10" i="6"/>
  <c r="X10" i="6" s="1"/>
  <c r="W7" i="6"/>
  <c r="X7" i="6" s="1"/>
  <c r="W4" i="6"/>
  <c r="W9" i="6"/>
  <c r="X9" i="6" s="1"/>
  <c r="W12" i="6"/>
  <c r="X12" i="6" s="1"/>
  <c r="W6" i="6"/>
  <c r="X6" i="6" s="1"/>
  <c r="W8" i="6"/>
  <c r="X8" i="6" s="1"/>
  <c r="V22" i="4"/>
  <c r="U22" i="4"/>
  <c r="W15" i="6" l="1"/>
  <c r="X5" i="6"/>
  <c r="W22" i="4"/>
  <c r="Z8" i="5" l="1"/>
  <c r="X11" i="4"/>
  <c r="Z15" i="3" l="1"/>
  <c r="Y15" i="3"/>
  <c r="AA15" i="3"/>
  <c r="G16" i="2" l="1"/>
  <c r="G11" i="2"/>
  <c r="G15" i="2"/>
  <c r="G14" i="2"/>
  <c r="G13" i="2"/>
  <c r="G12" i="2"/>
  <c r="G10" i="2"/>
  <c r="G9" i="2"/>
  <c r="G8" i="2"/>
  <c r="G7" i="2"/>
  <c r="G6" i="2"/>
  <c r="X6" i="4"/>
  <c r="X18" i="4"/>
  <c r="X15" i="4"/>
  <c r="X19" i="4"/>
  <c r="X5" i="4"/>
  <c r="X16" i="4"/>
  <c r="X12" i="4"/>
  <c r="X17" i="4"/>
  <c r="X14" i="4"/>
  <c r="X9" i="4"/>
  <c r="X10" i="4"/>
  <c r="X7" i="4"/>
  <c r="X8" i="4"/>
  <c r="AB10" i="3"/>
  <c r="AB7" i="3"/>
  <c r="AB12" i="3"/>
  <c r="AB13" i="3"/>
  <c r="AB11" i="3"/>
  <c r="AB8" i="3"/>
  <c r="AB5" i="3"/>
  <c r="AB6" i="3"/>
  <c r="AB9" i="3"/>
</calcChain>
</file>

<file path=xl/sharedStrings.xml><?xml version="1.0" encoding="utf-8"?>
<sst xmlns="http://schemas.openxmlformats.org/spreadsheetml/2006/main" count="16461" uniqueCount="1492">
  <si>
    <t>Data</t>
  </si>
  <si>
    <t>Conta Financeira</t>
  </si>
  <si>
    <t>Descricao</t>
  </si>
  <si>
    <t>Categoria</t>
  </si>
  <si>
    <t>Centro de custo</t>
  </si>
  <si>
    <t>Pago para / Recebido de</t>
  </si>
  <si>
    <t>Cliente</t>
  </si>
  <si>
    <t>Documento</t>
  </si>
  <si>
    <t>Caso</t>
  </si>
  <si>
    <t>Responsavel</t>
  </si>
  <si>
    <t>Valor</t>
  </si>
  <si>
    <t>Tipo</t>
  </si>
  <si>
    <t>Status</t>
  </si>
  <si>
    <t>Cartão de Crédito Dra Thaynara</t>
  </si>
  <si>
    <t>Pagamento Cartão de Crédito Dra Thaynara</t>
  </si>
  <si>
    <t>ADM - Cartão de Crédito</t>
  </si>
  <si>
    <t>C6</t>
  </si>
  <si>
    <t>Thaynara Borges</t>
  </si>
  <si>
    <t>Entrada</t>
  </si>
  <si>
    <t>Recebido</t>
  </si>
  <si>
    <t>Cartão de Crédito Dr Ivanildo</t>
  </si>
  <si>
    <t>São Jorge - ultima parcela vaso sanitario Sarah</t>
  </si>
  <si>
    <t>INV - Investimento em Móveis e Utensílios</t>
  </si>
  <si>
    <t>BANCO ITAU</t>
  </si>
  <si>
    <t>Saída</t>
  </si>
  <si>
    <t>Pago</t>
  </si>
  <si>
    <t>Presente de fim de ano para Dra Flavia</t>
  </si>
  <si>
    <t>Lanches</t>
  </si>
  <si>
    <t>ADM - Lanches, Refeições, Copa e Cozinha</t>
  </si>
  <si>
    <t>ASTREA</t>
  </si>
  <si>
    <t>ADM - Softwares</t>
  </si>
  <si>
    <t>Almoço de confraternização final de ano</t>
  </si>
  <si>
    <t>Jusbrasil</t>
  </si>
  <si>
    <t>Cartão de Crédito Dra Sarah</t>
  </si>
  <si>
    <t>DELL - Notebook (será estornado)</t>
  </si>
  <si>
    <t>Cálculo Jurídico</t>
  </si>
  <si>
    <t>ASA*TRINDADE AMADO PRO (Curso de atualização previdenciária)</t>
  </si>
  <si>
    <t>Prévius</t>
  </si>
  <si>
    <t>kabum - última parcela do origem (servidor)</t>
  </si>
  <si>
    <t>INV - Investimento em Informática e Celulares</t>
  </si>
  <si>
    <t>ZapSign programa de assinatura eletronica</t>
  </si>
  <si>
    <t>Google One</t>
  </si>
  <si>
    <t>Bolo aniversario Sarah e Nina</t>
  </si>
  <si>
    <t>Pagamento Cartão de Crédito Dra Sarah</t>
  </si>
  <si>
    <t>Cestas de fim de ano para equipe</t>
  </si>
  <si>
    <t>Pagamento Cartão de Crédito Dr Ivanildo</t>
  </si>
  <si>
    <t>Previdenciarista</t>
  </si>
  <si>
    <t>HTM*ALINEDECKER (Curso Liderança)</t>
  </si>
  <si>
    <t>GOOGLE GSUITE_PREVLEX.</t>
  </si>
  <si>
    <t>Salgados aniversario Sarah e Nina</t>
  </si>
  <si>
    <t>Lisboa e Lisboa</t>
  </si>
  <si>
    <t>Assessoria Contábil</t>
  </si>
  <si>
    <t>ADM - Assessoria Contábil</t>
  </si>
  <si>
    <t>CARLOS ALBERTO GRACIANO RODRIGUES</t>
  </si>
  <si>
    <t>Sarah Alves Lisboa</t>
  </si>
  <si>
    <t>50% sobre implantação (líquido, tirando 10% da Jainy)</t>
  </si>
  <si>
    <t>Honorários</t>
  </si>
  <si>
    <t>MARIA DAS GRAÇAS MOREIRA DA SILVA</t>
  </si>
  <si>
    <t>APOSENTADORIA RURAL</t>
  </si>
  <si>
    <t>50% sobre a implantação</t>
  </si>
  <si>
    <t>JOSELINA ROSA DE SANTANA</t>
  </si>
  <si>
    <t>Consultoria Financeira</t>
  </si>
  <si>
    <t>INV - Consultoria Financeira</t>
  </si>
  <si>
    <t>PROGRESSE CONSULTORIA EMPRESARIAL</t>
  </si>
  <si>
    <t>30% sobre a implantação</t>
  </si>
  <si>
    <t>MARIA JOSE FONSECA ARAUJO MELO ROSETE GOIS</t>
  </si>
  <si>
    <t>REVISÃO DE BENEFÍCIO</t>
  </si>
  <si>
    <t>Thaynara Borges Pereira</t>
  </si>
  <si>
    <t>Parcelamento em 7x</t>
  </si>
  <si>
    <t>MARIA DA SILVA NOGUEIRA</t>
  </si>
  <si>
    <t>Maria da Silva Nogueira x Nathalia dos Santos Nogueira</t>
  </si>
  <si>
    <t>Plano mensal - conta corrente</t>
  </si>
  <si>
    <t>FIN - Tarifas Bancárias</t>
  </si>
  <si>
    <t>30% sobre o 1º pagamento</t>
  </si>
  <si>
    <t>ANTÔNIO BARBOSA DA SILVA FILHO</t>
  </si>
  <si>
    <t>BENEFÍCIO POR INCAPACIDADE</t>
  </si>
  <si>
    <t>GRU</t>
  </si>
  <si>
    <t>Despesa do cliente</t>
  </si>
  <si>
    <t>Jose Francisco Rodrigues da Silva</t>
  </si>
  <si>
    <t>AUXILIO DOENÇA/ APOSENTADORIA POR INVALIDEZ</t>
  </si>
  <si>
    <t>30% sobre os atrasados (valor liquido 50% Fernando)</t>
  </si>
  <si>
    <t>MARCOS ANTONIO LOURENÇO DE TOLEDO</t>
  </si>
  <si>
    <t>AUXILIO DOENÇA</t>
  </si>
  <si>
    <t>Não recebido</t>
  </si>
  <si>
    <t>Sucumbência líquida (70% da Vanessa)</t>
  </si>
  <si>
    <t>LEILA DIAS MARTINS</t>
  </si>
  <si>
    <t>SUSPENÇAO DE ALTA MEDICA CONCEDIDA EM APOSENTADORIA POR INVALIDEZ</t>
  </si>
  <si>
    <t>30% sobre os atrasados (líquidos, 70% da Vanessa)</t>
  </si>
  <si>
    <t>Jarra para cafeteira</t>
  </si>
  <si>
    <t>ADM - Material de Escritório</t>
  </si>
  <si>
    <t>Mercado Livre</t>
  </si>
  <si>
    <t>2 Benefícios parcelados em 6x</t>
  </si>
  <si>
    <t>ISABEL PEREIRA SOUSA</t>
  </si>
  <si>
    <t>APOSENTADORIA POR IDADE</t>
  </si>
  <si>
    <t>FABIANO MAGNO CESAR</t>
  </si>
  <si>
    <t>Condomínio</t>
  </si>
  <si>
    <t>ADM - Condomínios</t>
  </si>
  <si>
    <t>ATON BUSINESS STYLE</t>
  </si>
  <si>
    <t>Limpeza</t>
  </si>
  <si>
    <t>ADM - Limpeza</t>
  </si>
  <si>
    <t>ELIZANGELA FERREIRA DA SILVA</t>
  </si>
  <si>
    <t>Cartão de Crédito Dr Ivanilldo</t>
  </si>
  <si>
    <t>Banner</t>
  </si>
  <si>
    <t>ADM - Serviços de TI</t>
  </si>
  <si>
    <t>Rhuan Carlos Batista</t>
  </si>
  <si>
    <t>30% sobre implantação</t>
  </si>
  <si>
    <t>GERENIAS GOMES DA SILVA</t>
  </si>
  <si>
    <t>Honorários 25% sobre a parte encontrada (tirando parte da Vanessa)</t>
  </si>
  <si>
    <t>PABLO CASSIO MENDES</t>
  </si>
  <si>
    <t>INDENIZACAO POR DANOS MORAIS E MATERIAIS</t>
  </si>
  <si>
    <t>Parceria com Dr. Silvio</t>
  </si>
  <si>
    <t>ANTONIO PEREIRA SOBRINHO</t>
  </si>
  <si>
    <t>Telefone fixo e internet</t>
  </si>
  <si>
    <t>ADM - Internet e Telefonia</t>
  </si>
  <si>
    <t>VIVO</t>
  </si>
  <si>
    <t>Parcelas - honorários 3 benefícios</t>
  </si>
  <si>
    <t>JOÃO BAREICHA FERREIRA GALVÃO</t>
  </si>
  <si>
    <t>APOSENTADORIA</t>
  </si>
  <si>
    <t>Celular</t>
  </si>
  <si>
    <t>Tarifa Bancária</t>
  </si>
  <si>
    <t>BANCO DO BRASIL S/A</t>
  </si>
  <si>
    <t>30% sobre os atrasados</t>
  </si>
  <si>
    <t>CALEB FERNANDES BARCELLOS REPRESENTADO PELA ROSALIA FERNANDES TEIXEIRA</t>
  </si>
  <si>
    <t>AUXILIO RECLUSÃO</t>
  </si>
  <si>
    <t>Publicações Renio</t>
  </si>
  <si>
    <t>PRO JURIDICO</t>
  </si>
  <si>
    <t>Anuidade parcelada em 13x</t>
  </si>
  <si>
    <t>IEL Estagiárias</t>
  </si>
  <si>
    <t>PES - Taxa Estagiários</t>
  </si>
  <si>
    <t>IEL</t>
  </si>
  <si>
    <t>50% dos atrasados (líquido, 10% da jainy)</t>
  </si>
  <si>
    <t>30% dos atrasados + 20% anuidade</t>
  </si>
  <si>
    <t>MARIA APARECIDA DA COSTA DIAS</t>
  </si>
  <si>
    <t>AUXÍLIO DOENÇA RURAL</t>
  </si>
  <si>
    <t>30% SOBRE A IMPLANTAÇÃO</t>
  </si>
  <si>
    <t>ANA PEREIRA DA SILVA JESUS</t>
  </si>
  <si>
    <t>AMPARA AO IDOSO</t>
  </si>
  <si>
    <t>Parcela Honorários Parceria</t>
  </si>
  <si>
    <t>SONIA MARIA DA SILVA</t>
  </si>
  <si>
    <t>Defesa Cível - Parceria Dr Silvio</t>
  </si>
  <si>
    <t>CONSULTA</t>
  </si>
  <si>
    <t>DJEROWILSON ARAÚJO GONÇALVES</t>
  </si>
  <si>
    <t>ANÁLISE</t>
  </si>
  <si>
    <t>Nathalia Louiz</t>
  </si>
  <si>
    <t>Honorário de implantação</t>
  </si>
  <si>
    <t>AMARILDO DE MOURA</t>
  </si>
  <si>
    <t>Publicações aviso urgente</t>
  </si>
  <si>
    <t>AVISO URGENTE T I LTDA</t>
  </si>
  <si>
    <t>SSD para computador da Nina</t>
  </si>
  <si>
    <t>ADM - Manutenção do Escritório</t>
  </si>
  <si>
    <t>LISBOA E LISBOA ADVOGADOS ASSOCIADOS</t>
  </si>
  <si>
    <t>Simples Nacional</t>
  </si>
  <si>
    <t>VAR - Simples Nacional</t>
  </si>
  <si>
    <t>Água</t>
  </si>
  <si>
    <t>ADM - Água e Esgoto</t>
  </si>
  <si>
    <t>SANEAGO GOIAS S/A</t>
  </si>
  <si>
    <t>Anuidade - parceria com Dr Fernando</t>
  </si>
  <si>
    <t>ELVIO DE OLIVEIRA SOARES</t>
  </si>
  <si>
    <t>FGTS</t>
  </si>
  <si>
    <t>PES - FGTS</t>
  </si>
  <si>
    <t>Ministério do Trabalho e Emprego</t>
  </si>
  <si>
    <t>PIX para Gasolina - Sarah (Pleiteio de Cliente)</t>
  </si>
  <si>
    <t>COM - Outras Despesas Comerciais</t>
  </si>
  <si>
    <t>Enviado da conta BB Sarah para a conta Itaú Sarah</t>
  </si>
  <si>
    <t>PIX PARA XEROX (Plenteio de cliente)</t>
  </si>
  <si>
    <t>INSS</t>
  </si>
  <si>
    <t>PES - INSS</t>
  </si>
  <si>
    <t>Receita Federal</t>
  </si>
  <si>
    <t>Indicação para Dra. Karine Domingues</t>
  </si>
  <si>
    <t>KESIA DA SILVA RIBEIRO</t>
  </si>
  <si>
    <t>20% pela parceria com Dra. Nubia</t>
  </si>
  <si>
    <t>GILNETH VIDAL DOS SANTOS</t>
  </si>
  <si>
    <t>ANALISAR PROCESSOS</t>
  </si>
  <si>
    <t>Sucumbencia liquida, tirando Giuliano e Vanessa</t>
  </si>
  <si>
    <t>LUCILENE DOMINGUES DE OLIVEIRA</t>
  </si>
  <si>
    <t>PENSAO POR MORTE</t>
  </si>
  <si>
    <t>30%  sobre atrasados</t>
  </si>
  <si>
    <t>BB da Sarah</t>
  </si>
  <si>
    <t>Parcelas - parceria Dr Silvio</t>
  </si>
  <si>
    <t>GLEYCIANNE RIBEIRO DE SOUZA CABRAL</t>
  </si>
  <si>
    <t>DIVÓRCIO CONSENSUAL C/C REGULAMENTAÇÃO DE GUARDA E ALIMENTOS</t>
  </si>
  <si>
    <t>MANUTENÇÃO DO ESCRITORIO (vazamentos hidráulicos)</t>
  </si>
  <si>
    <t>PIX para IDEAL DEDETIZADORA E DESENTUPIDORA</t>
  </si>
  <si>
    <t>CUSTAS EXECUÇÃO ESPÓLIO REGINALDO</t>
  </si>
  <si>
    <t>ESPÓLIO DE REGINALDO DE SOUZA LIRA</t>
  </si>
  <si>
    <t>ESPÓLIO DE REGINALDO DE SOUZA LIRA x A DEFINIR</t>
  </si>
  <si>
    <t>Parcelas anuidade</t>
  </si>
  <si>
    <t>JOSE NILTON FERREIRA DE SOUZA</t>
  </si>
  <si>
    <t>Suprimentos para o Escritório</t>
  </si>
  <si>
    <t>Boleto agendado</t>
  </si>
  <si>
    <t>Energia</t>
  </si>
  <si>
    <t>ADM - Energia Elétrica</t>
  </si>
  <si>
    <t>EQUATORIAL GOIAS</t>
  </si>
  <si>
    <t>Diferença ref.: 3 Benefícios parcelados</t>
  </si>
  <si>
    <t>ANA ELIA DE SOUZA MANSE</t>
  </si>
  <si>
    <t>Recebimento parcial</t>
  </si>
  <si>
    <t>PENSÃO POR MORTE</t>
  </si>
  <si>
    <t>Salario</t>
  </si>
  <si>
    <t>PES - Salários</t>
  </si>
  <si>
    <t>Nina Araujo</t>
  </si>
  <si>
    <t>Retirada</t>
  </si>
  <si>
    <t>DIR - Distribuição de Lucros</t>
  </si>
  <si>
    <t>Salário - Parcial</t>
  </si>
  <si>
    <t>Nathalia Louiz Alves Vigilato</t>
  </si>
  <si>
    <t>Bolsa Estagio</t>
  </si>
  <si>
    <t>ISABELLA ALVIM BIACHINI</t>
  </si>
  <si>
    <t>Pro labore</t>
  </si>
  <si>
    <t>DIR - Pró-labore</t>
  </si>
  <si>
    <t>Laura Barbosa Marques</t>
  </si>
  <si>
    <t>Raffaela Nunes</t>
  </si>
  <si>
    <t>Cartões</t>
  </si>
  <si>
    <t>Row Labels</t>
  </si>
  <si>
    <t>Grand Total</t>
  </si>
  <si>
    <t>Sum of Valor</t>
  </si>
  <si>
    <t>(Multiple Items)</t>
  </si>
  <si>
    <t>COM - Brindes e Presentes</t>
  </si>
  <si>
    <t>CONTABILIDADE</t>
  </si>
  <si>
    <t>Honorário de implantação sobre 1 competência</t>
  </si>
  <si>
    <t>ADOLFA MARIA DE JESUS ALMEIDA</t>
  </si>
  <si>
    <t>Serviços TI</t>
  </si>
  <si>
    <t>PLANO ADAPT 3</t>
  </si>
  <si>
    <t>Última parcela acordo - parceria Dr. Gustavo</t>
  </si>
  <si>
    <t>ODORICO CANASSA BIANCHINI JUNIOR</t>
  </si>
  <si>
    <t>Pedágios Edilândia</t>
  </si>
  <si>
    <t>COM - Viagens e Hospedagens</t>
  </si>
  <si>
    <t>30% de uma competência</t>
  </si>
  <si>
    <t>EDSON RAEL DE OLIVEIRA</t>
  </si>
  <si>
    <t>Cartão de Crédito</t>
  </si>
  <si>
    <t>Itau Cartões</t>
  </si>
  <si>
    <t>Anuidade</t>
  </si>
  <si>
    <t>LENIR MARIA DOS SANTOS LIMA</t>
  </si>
  <si>
    <t>LENIR MARIA DOS SANTOS LIMA x INSS</t>
  </si>
  <si>
    <t>Parcela 3 e 4 - 3 benefícios</t>
  </si>
  <si>
    <t>ANDREZA CESARIA DA SILVA RODRIGUES</t>
  </si>
  <si>
    <t>Estacionamento - ida ao banco</t>
  </si>
  <si>
    <t>NATALIA ALVES DA SILVA</t>
  </si>
  <si>
    <t>SALÁRIO MATERNIDADE</t>
  </si>
  <si>
    <t>Celular escritório</t>
  </si>
  <si>
    <t>Lanche</t>
  </si>
  <si>
    <t>Telefone e internet</t>
  </si>
  <si>
    <t>Parcela 2 de 2</t>
  </si>
  <si>
    <t>ANTONIO MOREIRA DOS SANTOS</t>
  </si>
  <si>
    <t>DIVÓRCIO</t>
  </si>
  <si>
    <t>Seguros estagiárias</t>
  </si>
  <si>
    <t>Material e troca de todas as tomadas do escritório</t>
  </si>
  <si>
    <t>Luiz Antonio Sousa de Morais</t>
  </si>
  <si>
    <t>30% sobre os atrasados + 20% anuidade + Imposto (líquido, tirando Giuliano e Vanessa)</t>
  </si>
  <si>
    <t>ANA MARIA DE JESUS</t>
  </si>
  <si>
    <t>Sucumbencia líquida (tirando Giuliano e Vanessa)</t>
  </si>
  <si>
    <t>Parceria Dra Flavia</t>
  </si>
  <si>
    <t>JULIANI DOMINGOS DOS REIS</t>
  </si>
  <si>
    <t>AÇÃO DE GUARDA</t>
  </si>
  <si>
    <t>Gastos com cartão de crédito</t>
  </si>
  <si>
    <t>LEONARDO MATEUS BATISTA DE OLIVEIRA</t>
  </si>
  <si>
    <t>Publicações</t>
  </si>
  <si>
    <t>Sucumbencia liquida (tirando Vanessa)</t>
  </si>
  <si>
    <t>UBIRACI LOSI</t>
  </si>
  <si>
    <t>CONCESSÃO DA APOSENTADORIA POR IDADE RURAL</t>
  </si>
  <si>
    <t>2º Parcela 13º salário</t>
  </si>
  <si>
    <t>13º CONTADOR</t>
  </si>
  <si>
    <t>CESTA DE NATAL PARA JAINY</t>
  </si>
  <si>
    <t>A mesma (Pessoa de contato de: Alci Ferraz de Aguiar Barbosa)</t>
  </si>
  <si>
    <t>2ª Parcela 13º salário</t>
  </si>
  <si>
    <t>INSS 13º Salário</t>
  </si>
  <si>
    <t>30% sobre 1 competencia tirando 20% da Dra Nubia (indicação)</t>
  </si>
  <si>
    <t>LUZIMEIRE MARTINS COSTA ALVES</t>
  </si>
  <si>
    <t>3 Benefícios parcelados</t>
  </si>
  <si>
    <t>30% SOBRE IMPLANTAÇÃO</t>
  </si>
  <si>
    <t>FRANCISCA DA COSTA GOMES OLIVEIRA</t>
  </si>
  <si>
    <t>ENERGIA</t>
  </si>
  <si>
    <t>Retirada de lucros</t>
  </si>
  <si>
    <t>Bolsa estágio</t>
  </si>
  <si>
    <t>Salário</t>
  </si>
  <si>
    <t>Pró-labore</t>
  </si>
  <si>
    <t>ADM</t>
  </si>
  <si>
    <t>COM</t>
  </si>
  <si>
    <t>DIR</t>
  </si>
  <si>
    <t>FIN</t>
  </si>
  <si>
    <t>INV</t>
  </si>
  <si>
    <t>PES</t>
  </si>
  <si>
    <t>VAR</t>
  </si>
  <si>
    <t>2024</t>
  </si>
  <si>
    <t>2025</t>
  </si>
  <si>
    <t>Column Labels</t>
  </si>
  <si>
    <t>Computador Dell</t>
  </si>
  <si>
    <t/>
  </si>
  <si>
    <t>Canaã Frios</t>
  </si>
  <si>
    <t>Moreira</t>
  </si>
  <si>
    <t>Honorários contratuais + sucumbência</t>
  </si>
  <si>
    <t>30% da implantação do adicional de 25%. Será descontado na RPV.</t>
  </si>
  <si>
    <t>SANDRA MARIA SOARES</t>
  </si>
  <si>
    <t>RESTABELECIMENTO AUXILIO DOENÇA</t>
  </si>
  <si>
    <t>APPLE.COM/BILL - Assinatura Teleprompter</t>
  </si>
  <si>
    <t>Pão de açúcar</t>
  </si>
  <si>
    <t>Pequenas Coisas</t>
  </si>
  <si>
    <t>Papelaria</t>
  </si>
  <si>
    <t>3 Benefícios em Parcela Única</t>
  </si>
  <si>
    <t>Serviços TI e Marketing</t>
  </si>
  <si>
    <t>ANUIDADE 12X</t>
  </si>
  <si>
    <t>Comissão de meta batida - Janeiro</t>
  </si>
  <si>
    <t>VAR - Comissões e Bonificações</t>
  </si>
  <si>
    <t>IPTU - SALA B73</t>
  </si>
  <si>
    <t>ADM - IPTU</t>
  </si>
  <si>
    <t>PREFEITURA MUNICIPAL DE GOIÂNIA</t>
  </si>
  <si>
    <t>EVANILZA ARAUJO MORAES</t>
  </si>
  <si>
    <t>MARINA MARIA DA CRUZ BARRETO</t>
  </si>
  <si>
    <t>Diárias - limpeza</t>
  </si>
  <si>
    <t>Anuidade OAB de Sarah</t>
  </si>
  <si>
    <t>T&amp;O - Taxas Diversas</t>
  </si>
  <si>
    <t>OAB</t>
  </si>
  <si>
    <t>Pago pela conta Lisboa</t>
  </si>
  <si>
    <t>Anuidade OAB Thaynara</t>
  </si>
  <si>
    <t>30% da implantação</t>
  </si>
  <si>
    <t>JULIANA VILELA DA PAIXÃO</t>
  </si>
  <si>
    <t>EXTINTOR DE INCENDIO</t>
  </si>
  <si>
    <t>ABSAIR MANOEL LAZARO</t>
  </si>
  <si>
    <t>CUSTAS EXECUÇÃO 5917080-42.2024.8.09.0051</t>
  </si>
  <si>
    <t>AÇÃO ACIDENTÁRIA (RESTABELECIMENTO DE AUXÍLIO-DOENÇA/CONCESSÃO DE AUXÍLIO-ACIDENTE/AP. POR INVALIDEZ</t>
  </si>
  <si>
    <t>Honorários de sucumbência</t>
  </si>
  <si>
    <t>HELENA CRISTINA DE MELO</t>
  </si>
  <si>
    <t>APOSENTADORIA POR INVALIDEZ OU RESTABELECIMENTO DE AUXILIO-DOENÇA</t>
  </si>
  <si>
    <t>HONORÁRIOS PERITO</t>
  </si>
  <si>
    <t>SUELLEN DE JESUS LIMA</t>
  </si>
  <si>
    <t>AUXILIO ACIDENTE</t>
  </si>
  <si>
    <t>CHOCOLATES PARA LARISSA DE CROMINIA</t>
  </si>
  <si>
    <t>KOPENHAGEN</t>
  </si>
  <si>
    <t>Almoço - Viagem Crominia</t>
  </si>
  <si>
    <t>SARAH ALVES LISBOA</t>
  </si>
  <si>
    <t>Combustível viagem Cromínia</t>
  </si>
  <si>
    <t>Comissão de participação em viagem</t>
  </si>
  <si>
    <t>Comissão - Ida ao atendimento rural com Dra Sarah</t>
  </si>
  <si>
    <t>REUNIÃO</t>
  </si>
  <si>
    <t>MARIA DE LOURDES NASCIMENTO</t>
  </si>
  <si>
    <t>CAPTAÇÃO MARIA L F NASCIMENTO</t>
  </si>
  <si>
    <t>HUMBERTO PEREIRA DA COSTA</t>
  </si>
  <si>
    <t>APOSENTADORIA POR IDADE RURAL</t>
  </si>
  <si>
    <t>Despesas de Reunião (Lanches)</t>
  </si>
  <si>
    <t>Despesas de Reunião (combustível)</t>
  </si>
  <si>
    <t>IRISMAR REGINA BORGES</t>
  </si>
  <si>
    <t>JOÃO BATISTA RIBAS</t>
  </si>
  <si>
    <t>Água e energético</t>
  </si>
  <si>
    <t>Chocolates brindes para Maria Lourdes</t>
  </si>
  <si>
    <t>MARIA AMELIA DE SOUSA MENDES</t>
  </si>
  <si>
    <t>despesa comercial (combustível)</t>
  </si>
  <si>
    <t>COM - Combustíveis</t>
  </si>
  <si>
    <t>70% para Vanessa do proveito econômico da ação</t>
  </si>
  <si>
    <t>70% SOBRE O PROVEITO ECONOMICO OBTIDO NA AÇÃO</t>
  </si>
  <si>
    <t>40% SOBRE OS VALORES DA IMPLANTAÇÃO</t>
  </si>
  <si>
    <t>IACY DA SILVA MAGALHÃES</t>
  </si>
  <si>
    <t>APOSENTADORIA DO DEFICIENTE</t>
  </si>
  <si>
    <t>IPTU - BOX 82</t>
  </si>
  <si>
    <t>IPTU - SALA B74</t>
  </si>
  <si>
    <t>IPTU - BOX 88</t>
  </si>
  <si>
    <t>IPTU - BOX 78</t>
  </si>
  <si>
    <t>IPTU - BOX 81</t>
  </si>
  <si>
    <t>IPTU - BOX 83</t>
  </si>
  <si>
    <t>Gasolina</t>
  </si>
  <si>
    <t>CAPTAÇÃO - SEBASTIÃO PEIXOTO DE EDILÂNDIA</t>
  </si>
  <si>
    <t>MÔNICA MENDES DA COSTA</t>
  </si>
  <si>
    <t>PENSÃO POR MORTE - RURAL</t>
  </si>
  <si>
    <t>Diárias - Limpeza</t>
  </si>
  <si>
    <t>Reunião</t>
  </si>
  <si>
    <t>SEBASTIAO PEIXOTO DE EDILANDIA (Pessoa de contato de: WILMAR ANASTACIO DOS SANTOS)</t>
  </si>
  <si>
    <t>ARISTEU GONÇALVES DA CRUZ</t>
  </si>
  <si>
    <t>Consulta (parcelado 300 + 200)</t>
  </si>
  <si>
    <t>GEDILANE ROSA DE SA FERREIRA</t>
  </si>
  <si>
    <t>Honorários periciais - guia complementar</t>
  </si>
  <si>
    <t>Guia para emissão de certidão de militância</t>
  </si>
  <si>
    <t>Guia para emissão de certidão de militância - honorários de sucumbência Proc 1004340-77.2020.4.01.3500 VALNEI PORTO MACHADO</t>
  </si>
  <si>
    <t>[$empty$]</t>
  </si>
  <si>
    <t>COMISSÃO POR BATER A META</t>
  </si>
  <si>
    <t>EQUATORIAL GOIAS 0067122663</t>
  </si>
  <si>
    <t>HONORÁRIOS DE SUCUMBÊNCIA</t>
  </si>
  <si>
    <t>SIRLENE PEREIRA DE RESENDE GRATAO</t>
  </si>
  <si>
    <t>RMI</t>
  </si>
  <si>
    <t>INDICAÇÃO NINA</t>
  </si>
  <si>
    <t>Indicação paga para Daniele de Almeida Cardoso</t>
  </si>
  <si>
    <t>MARUZALEN FERREIRA DA CRUZ</t>
  </si>
  <si>
    <t>70% DO PROVEITO ECONÔMICO DA AÇÃO REPASSADO A DRA VANESSA</t>
  </si>
  <si>
    <t>HONORÁRIOS CONTRATUAIS 25% SOBRE O PROVEITO ECONOMICO</t>
  </si>
  <si>
    <t>EQUATORIAL GOIAS 0067122721</t>
  </si>
  <si>
    <t>BISTRO LIA</t>
  </si>
  <si>
    <t>PES - Treinamentos</t>
  </si>
  <si>
    <t>HIPER MOREIRA</t>
  </si>
  <si>
    <t>PANIFICADORA SANTO ANTONIO</t>
  </si>
  <si>
    <t>canaã frios</t>
  </si>
  <si>
    <t>RAFAEL FRANCI (23/01)</t>
  </si>
  <si>
    <t>CANAÃ FRIOS</t>
  </si>
  <si>
    <t>Taxa de Condomínio Sala B-73</t>
  </si>
  <si>
    <t>Taxa de Condomínio Sala B-74</t>
  </si>
  <si>
    <t>Taxa de Condomínio Vaga Garagem A-78</t>
  </si>
  <si>
    <t>Taxa de Condomínio Vaga Garagem A-81</t>
  </si>
  <si>
    <t>Taxa de Condomínio Vaga Garagem A-88</t>
  </si>
  <si>
    <t>Taxa de Condomínio Vaga Garagem A-82</t>
  </si>
  <si>
    <t>Taxa de Condomínio Vaga Garagem A-83</t>
  </si>
  <si>
    <t>PLANEJAMENTO</t>
  </si>
  <si>
    <t>ISMAEL ALVES MADUREIRA</t>
  </si>
  <si>
    <t>Honorários RPV (30% + ANUIDADE)</t>
  </si>
  <si>
    <t>VALERIA ALVES VIEIRA</t>
  </si>
  <si>
    <t>AMPARO AO DEFICIENTE</t>
  </si>
  <si>
    <t>LEILA DO CARMO GONÇALVES OLIVEIRA</t>
  </si>
  <si>
    <t>SERVIÇCOS DE TI</t>
  </si>
  <si>
    <t>CLAUDIA NUNES DOS SANTOS BARCELOS</t>
  </si>
  <si>
    <t>VALNEI PORTO MACHADO</t>
  </si>
  <si>
    <t>APOSENTADORIA POR TEMPO DE CONTRIBUIÇAO / ELETRICISTA</t>
  </si>
  <si>
    <t>HONORÁRIO RPV (30%)</t>
  </si>
  <si>
    <t>Eliane Teixeira do Nascimento Souza</t>
  </si>
  <si>
    <t>RESTABELECIMENTO DE AUXILIO DOENÇA</t>
  </si>
  <si>
    <t>VALDOMIRO ROSA DE OLIVEIRA</t>
  </si>
  <si>
    <t>Consulta (valor residual 200,00)</t>
  </si>
  <si>
    <t>DIÁRIAS DE LIMPEZA/MANUTENÇÃO DO ESCRITÓRIO (2 DIÁRIAS)</t>
  </si>
  <si>
    <t>PAGAMENTO DE HONORÁRIOS</t>
  </si>
  <si>
    <t>VALDIR DE PAIVA BRASIL</t>
  </si>
  <si>
    <t>JOSÉ ROBERTO PEREIRA DA SILVA</t>
  </si>
  <si>
    <t>CARMEM LUCIA MENDES DE OLIVEIRA</t>
  </si>
  <si>
    <t>Honorários sobre o êxito (metade) Ação com Dra Flávia</t>
  </si>
  <si>
    <t>ELLEN BORGES PEREIRA</t>
  </si>
  <si>
    <t>ELLEN BORGES PEREIRA x SODEXO</t>
  </si>
  <si>
    <t>T&amp;O</t>
  </si>
  <si>
    <t>jan</t>
  </si>
  <si>
    <t>fev</t>
  </si>
  <si>
    <t>mar</t>
  </si>
  <si>
    <t>dez</t>
  </si>
  <si>
    <t>TT</t>
  </si>
  <si>
    <t>Condomínios</t>
  </si>
  <si>
    <t>Softwares</t>
  </si>
  <si>
    <t>Lanches, Refeições, Copa e Cozinha</t>
  </si>
  <si>
    <t>Energia Elétrica</t>
  </si>
  <si>
    <t>Internet e Telefonia</t>
  </si>
  <si>
    <t>IPTU</t>
  </si>
  <si>
    <t>Manutenção do Escritório</t>
  </si>
  <si>
    <t>Material de Escritório</t>
  </si>
  <si>
    <t>Serviços de TI</t>
  </si>
  <si>
    <t>Água e Esgoto</t>
  </si>
  <si>
    <t>Presente do dia das mulheres para equipe</t>
  </si>
  <si>
    <t>PLANEJAMENTO - Aposentadoria</t>
  </si>
  <si>
    <t>PAULO MENEZES DA SILVA</t>
  </si>
  <si>
    <t>CONTRATO 9621661899</t>
  </si>
  <si>
    <t>VIVO FIXO</t>
  </si>
  <si>
    <t>CONTRATO 9309114969</t>
  </si>
  <si>
    <t>SCB - 70% Vanessão - 30% Lisboa</t>
  </si>
  <si>
    <t>HELTON GONÇALVES BARSANULFO</t>
  </si>
  <si>
    <t>40% SOBRE A IMPLANTAÇÃO</t>
  </si>
  <si>
    <t>50% da Implantação</t>
  </si>
  <si>
    <t>Viagem de uber</t>
  </si>
  <si>
    <t>comissão de 10% por indicação - LARISSA</t>
  </si>
  <si>
    <t>70% de participação - Wanessa</t>
  </si>
  <si>
    <t>Impressão</t>
  </si>
  <si>
    <t>COM - Impressos Gráficos</t>
  </si>
  <si>
    <t>PAGAMENTO COMISSÃO KARINE 20%</t>
  </si>
  <si>
    <t>Reembolso de despesa</t>
  </si>
  <si>
    <t>RPV SUCUMBENCIA ( R$ 1.290,95 - 70% Vanessa = 371,86)</t>
  </si>
  <si>
    <t>PUBLICAÇÕES - ULTIMO BOLETO</t>
  </si>
  <si>
    <t>Recebido junto com pagamento do CAIO</t>
  </si>
  <si>
    <t>Manutenção em 3 nobreaks</t>
  </si>
  <si>
    <t>NOBREAK E CIA</t>
  </si>
  <si>
    <t>30% sobre a implantação do beneficio</t>
  </si>
  <si>
    <t>30% sob implantação abatendo 50% do Dr Ajnaldo</t>
  </si>
  <si>
    <t>CAIO FERNANDES BORGES</t>
  </si>
  <si>
    <t>Domínio lisboaelisboa</t>
  </si>
  <si>
    <t>COSME FREIRE BESSA</t>
  </si>
  <si>
    <t>Domínio prevlex</t>
  </si>
  <si>
    <t>NIC BR</t>
  </si>
  <si>
    <t>HONORARIOS RPV (50%)</t>
  </si>
  <si>
    <t>40% SOBRE OS ATRASADOS + 3 SALARIOS DE BENEFICIOS.</t>
  </si>
  <si>
    <t>50% dos honorários (Parceria Dr Ajnaldo)</t>
  </si>
  <si>
    <t>Elaboração de novo contrato social</t>
  </si>
  <si>
    <t>IVAN GUSTAVO JUNIO SANTOS TRINDADE</t>
  </si>
  <si>
    <t>40% sobre os atrasados (R$ 8.033,91)</t>
  </si>
  <si>
    <t>Acerto parte da Vanessa sucumbência cumprimento de sentença</t>
  </si>
  <si>
    <t>COMISSÃO 50% DR FERNANDO</t>
  </si>
  <si>
    <t>COMISSÃO 50% DR GUSTAVO</t>
  </si>
  <si>
    <t>RPV SUCUMBENCIA</t>
  </si>
  <si>
    <t>30% SOB A IMPLANTAÇÃO</t>
  </si>
  <si>
    <t>ANDERSON FRADIQUE VINHAL RIBEIRO PEREIRA</t>
  </si>
  <si>
    <t>40% implantação - será descontada nos atrasados (40% de R$6.027 - Implantação)</t>
  </si>
  <si>
    <t>APARELHO TELEFONE - FIXO (Para o escritório)</t>
  </si>
  <si>
    <t>KABUM</t>
  </si>
  <si>
    <t>Energia contrato 0067122721</t>
  </si>
  <si>
    <t>Exame admissional</t>
  </si>
  <si>
    <t>Katyucia G Santos</t>
  </si>
  <si>
    <t>Energia contrato 0067122663</t>
  </si>
  <si>
    <t>Reunião - Comissão</t>
  </si>
  <si>
    <t>Maura Cardoso Borges</t>
  </si>
  <si>
    <t>PRÓ-LABORE</t>
  </si>
  <si>
    <t>PAPELARIA - BOAS VINDAS KATIUCIA</t>
  </si>
  <si>
    <t>DIGITAL COPIAS - GRÁFICA</t>
  </si>
  <si>
    <t>50% SOBRE A IMPLANTAÇÃO</t>
  </si>
  <si>
    <t>IRANY CARDOSO TEIXEIRA</t>
  </si>
  <si>
    <t>ASA TRINDADE</t>
  </si>
  <si>
    <t>CANAA FRIOS</t>
  </si>
  <si>
    <t>ASSAI ATACADISTA</t>
  </si>
  <si>
    <t>MAU NENHUM</t>
  </si>
  <si>
    <t>Clinica e PI</t>
  </si>
  <si>
    <t>50% SOBRE A IMPLANTAÇÃO DO BENEFICIO</t>
  </si>
  <si>
    <t>SIMONE BERNARDES DA SILVA SANTANA</t>
  </si>
  <si>
    <t>DELLA PANIFICADORA</t>
  </si>
  <si>
    <t>BENEDITA GASTRONIMIA</t>
  </si>
  <si>
    <t>BOLOS DO SITIO</t>
  </si>
  <si>
    <t>Honorários 20% sobre os atrasados</t>
  </si>
  <si>
    <t>ELON NOLETO ROCHA</t>
  </si>
  <si>
    <t>ELON NOLETO ROCHA x GOIASPREV</t>
  </si>
  <si>
    <t>PAO DE AÇUCAR</t>
  </si>
  <si>
    <t>Honorários Vanessa Lisboa: lançar como retirada Sarah</t>
  </si>
  <si>
    <t>DEDETIZAÇÃO</t>
  </si>
  <si>
    <t>IDEAL DEDETIZADORA E DESENTUPIDORA</t>
  </si>
  <si>
    <t>COMISSÃO</t>
  </si>
  <si>
    <t>Confecção de contrato de trabalho</t>
  </si>
  <si>
    <t>ADM - Assessorias</t>
  </si>
  <si>
    <t>KARINE RODRIGUES DA SILVA / LAUDIMAR MARCIANO</t>
  </si>
  <si>
    <t>Cesta de despedida Isabella</t>
  </si>
  <si>
    <t>CARLA SILVA (CESTAS)</t>
  </si>
  <si>
    <t>DIÁRIAS - MANUTENÇÃO DO ESCRITÓRIO</t>
  </si>
  <si>
    <t>DARLENE CAIXETA DOS SANTOS</t>
  </si>
  <si>
    <t>Abastecimento Combustível -  Sarah</t>
  </si>
  <si>
    <t>POSTO 2824</t>
  </si>
  <si>
    <t>Acerto estágio</t>
  </si>
  <si>
    <t>Comissão Karine sobre implantação</t>
  </si>
  <si>
    <t>Sucumbência</t>
  </si>
  <si>
    <t>Cartão de crédito Dra Thaynara</t>
  </si>
  <si>
    <t>40% SOB IMPLANTAÇÃO DE BELEFICIO</t>
  </si>
  <si>
    <t>PATRICIA DE GODOI MACHADO</t>
  </si>
  <si>
    <t>Comissão 70% Vanessa: principal e sucumbência (valor nao saiu, Vanessa descontou ao transferir)</t>
  </si>
  <si>
    <t>Clóvis Ribeiro de Morais Neto</t>
  </si>
  <si>
    <t>IMPOSTO SOBRE A NF GERADA (HONORARIOS SOMENTE DA VANESSA)</t>
  </si>
  <si>
    <t>Comissão 70% Vanessa (valor nao entrou, Vanessa descontou ao nos passar)</t>
  </si>
  <si>
    <t>HERMINIO ALVES DO NASCIMENTO</t>
  </si>
  <si>
    <t>APOSENTADORIA ESPECIAL</t>
  </si>
  <si>
    <t>INDICAÇÃO PARA DR SILVIO CARNEIRO ROSA</t>
  </si>
  <si>
    <t>LUENE DE OLIVEIRA GOMES</t>
  </si>
  <si>
    <t>Comissão 20% da RPV para Dra Laiser</t>
  </si>
  <si>
    <t>MARIA DO ROSARIO ALVES 169.892.791-68</t>
  </si>
  <si>
    <t>25% sobre a RPV (parceria laiser)</t>
  </si>
  <si>
    <t>Consulta</t>
  </si>
  <si>
    <t>50% SOB ATRASADOS - RPV</t>
  </si>
  <si>
    <t>50% sobre a RPV (-70% Wanessa = 3.484,335)</t>
  </si>
  <si>
    <t xml:space="preserve">Limpeza e manutenção </t>
  </si>
  <si>
    <t>RECEITA FEDERAL</t>
  </si>
  <si>
    <t>CAIRO OSMUNDO DA SILVA</t>
  </si>
  <si>
    <t>Suprimentos</t>
  </si>
  <si>
    <t>SUPERMERCADO MOREIRA</t>
  </si>
  <si>
    <t>Hospedagem</t>
  </si>
  <si>
    <t>IMPERIO VIAGEM E TURISMO</t>
  </si>
  <si>
    <t>Identidade Visual</t>
  </si>
  <si>
    <t>SOMMA DESIGN STUDIO LTDA</t>
  </si>
  <si>
    <t>Certidão de Militância</t>
  </si>
  <si>
    <t>R3 SUPRIMENTOS CORPORATIVOS LTDA</t>
  </si>
  <si>
    <t>ATRASADOS</t>
  </si>
  <si>
    <t>ALIMENTAÇÃO VIAGEM</t>
  </si>
  <si>
    <t>JERIVA</t>
  </si>
  <si>
    <t>COMBUSTIVEL VIAGEM</t>
  </si>
  <si>
    <t>POSTO SHUKRAN</t>
  </si>
  <si>
    <t>ALIMENTAÇÃO - VIAGEM</t>
  </si>
  <si>
    <t>POSTO GM</t>
  </si>
  <si>
    <t>30% sobre a RPV</t>
  </si>
  <si>
    <t>WANADY JARBAS GRACIO SOARES</t>
  </si>
  <si>
    <t>20% sob implantação</t>
  </si>
  <si>
    <t>PAULA EMILYE ROSA</t>
  </si>
  <si>
    <t>Rescisão Contratual</t>
  </si>
  <si>
    <t>Katyucia Gomes</t>
  </si>
  <si>
    <t>30% Dr Silvio</t>
  </si>
  <si>
    <t>FGTS DE RESCISÃO</t>
  </si>
  <si>
    <t>INSS - INSTITUTO NACIONAL DO SEGURO SOCIAL</t>
  </si>
  <si>
    <t>DÍVIDA DO SIMPLES NACIONAL</t>
  </si>
  <si>
    <t>Comissão evento de Brasilia</t>
  </si>
  <si>
    <t>TAXA DE TED (4 operações de R$12,70)</t>
  </si>
  <si>
    <t>abr</t>
  </si>
  <si>
    <t>Assessorias</t>
  </si>
  <si>
    <t>Itaú - Lisboa e Lisboa</t>
  </si>
  <si>
    <t>Banco do Brasil - Sarah Alves Lisboa</t>
  </si>
  <si>
    <t>SERVIÇOS DE TI</t>
  </si>
  <si>
    <t>DROGASIL</t>
  </si>
  <si>
    <t>NORD 23</t>
  </si>
  <si>
    <t>ASA CURSOS</t>
  </si>
  <si>
    <t>Confraternização de 21/05</t>
  </si>
  <si>
    <t>Caixa Físico</t>
  </si>
  <si>
    <t>Implantação 30%</t>
  </si>
  <si>
    <t>VALDECI ALVES MOREIRA</t>
  </si>
  <si>
    <t>30% SOB IMPLANTAÇÃO</t>
  </si>
  <si>
    <t>MARIA EVA PEREIRA DE QUEIROZ</t>
  </si>
  <si>
    <t>VERA LUCIA PEREIRA DE OLIVEIRA</t>
  </si>
  <si>
    <t>Cha de Bebe Surpresa</t>
  </si>
  <si>
    <t>Renovação de Certificado Digital PJ</t>
  </si>
  <si>
    <t>ZOOP tecnologia</t>
  </si>
  <si>
    <t>LIMPEZA</t>
  </si>
  <si>
    <t>30% do periodo 07/02/2022 - 31/07/2023</t>
  </si>
  <si>
    <t>LUCIA ALMEIDA VIEIRA</t>
  </si>
  <si>
    <t>AUXILIO DOENÇA/APOSENTADORIA POR INVALIDEZ</t>
  </si>
  <si>
    <t>30% Sob RPV</t>
  </si>
  <si>
    <t>Honorários contratuais 50%</t>
  </si>
  <si>
    <t>BENEDITO ADELAR DA SILVA</t>
  </si>
  <si>
    <t>RESTABELECIEMNTO DE AUXILIO DOENÇA, CONCESSAO DE AUXILIO ACIDENTE/ APOSENTADORIA POR INVALIDEZ</t>
  </si>
  <si>
    <t>Indicação Dra Karine. 30%</t>
  </si>
  <si>
    <t>30% sob implantação + 3 Beneficios</t>
  </si>
  <si>
    <t>IURY RENNER PEREIRA DE SOUZA</t>
  </si>
  <si>
    <t>30% Sob a implantação</t>
  </si>
  <si>
    <t>FRYDA MYRNA GONÇALVES PRATES DE OLIVEIRA REIS</t>
  </si>
  <si>
    <t>FRYDA MYRNA GONÇALVES PRATES DE OLIVEIRA REIS x INSS</t>
  </si>
  <si>
    <t>ANUIDADE (3 BENEFICIOS)</t>
  </si>
  <si>
    <t>HERBERTH ALVES PEREIRA</t>
  </si>
  <si>
    <t>Restante da anuidade - Descontado na RPV</t>
  </si>
  <si>
    <t>Desconto R$12,00 (cliente não pagou)</t>
  </si>
  <si>
    <t>ANTONIO FERNANDES DA SILVA</t>
  </si>
  <si>
    <t>30% + 3 BENEFICIOS</t>
  </si>
  <si>
    <t>GILBERTO ORTIZ DA CRUZ</t>
  </si>
  <si>
    <t>APOSENTADORIA POR TEMPO DE CONTRIBUIÇÃO</t>
  </si>
  <si>
    <t>MARTA FREITAS DA COSTA</t>
  </si>
  <si>
    <t>BENEFICIO POR INCAPACIDADE</t>
  </si>
  <si>
    <t>40% implantação</t>
  </si>
  <si>
    <t>SERGIO HENRIQUE  MOREIRA LOPES</t>
  </si>
  <si>
    <t>COMBUSTIVEL</t>
  </si>
  <si>
    <t>COM - Combustíveis e Táxi/Uber</t>
  </si>
  <si>
    <t>POSTO ANTONELLI</t>
  </si>
  <si>
    <t>PARCERIA VANESSA</t>
  </si>
  <si>
    <t>HONORÁRIOS - PARCERIA DR GIULIANO</t>
  </si>
  <si>
    <t>LANCHES DA REUNIÃO</t>
  </si>
  <si>
    <t>COM - Alimentação em Viagens</t>
  </si>
  <si>
    <t>Maria Lourdes Feitosa do Nascimento</t>
  </si>
  <si>
    <t>MARIA EDUARDA SOUZA</t>
  </si>
  <si>
    <t>30% Honorários</t>
  </si>
  <si>
    <t>APARECIDA DOS SANTOS/ ADRIANA PAULA DOS SANTOS VIVEIROS/ DANIELA PAULA</t>
  </si>
  <si>
    <t>APARECIDA DOS SANTOS/ ADRIANA PAULA DOS SANTOS VIVEIROS/ DANIELA PAULA DOS SANTOS VIVEIROS CAMPOS x</t>
  </si>
  <si>
    <t>COMBUSTIVÉL</t>
  </si>
  <si>
    <t>HONORÁRIOS</t>
  </si>
  <si>
    <t>PROCESSO CRIMINAL</t>
  </si>
  <si>
    <t>Reembolso guia certidão de militância</t>
  </si>
  <si>
    <t>Reembolso</t>
  </si>
  <si>
    <t>30% Sob atrasados</t>
  </si>
  <si>
    <t>40% sobre os atrasados</t>
  </si>
  <si>
    <t>Alteração de CNPJ</t>
  </si>
  <si>
    <t>30% sob Implantação</t>
  </si>
  <si>
    <t>VALDELICE DA SILVA MENDES</t>
  </si>
  <si>
    <t>30+20 SOB ATRASADOS</t>
  </si>
  <si>
    <t>Comissão sobre indicação 10% a João Batista pai da Thaynara</t>
  </si>
  <si>
    <t>Cobrança da TED</t>
  </si>
  <si>
    <t>AVENIR RODRIGUES GOMES SOBRINHO</t>
  </si>
  <si>
    <t>20% do Precatório total recebido</t>
  </si>
  <si>
    <t>ROSALIA SOARES LEITE</t>
  </si>
  <si>
    <t>PRECATÓRIO - PROAD</t>
  </si>
  <si>
    <t>ASSESSORIA DE CONTABILIDADE</t>
  </si>
  <si>
    <t>30% sob implantação</t>
  </si>
  <si>
    <t>RESTITUIÇÃO DE IMPOSTO DE RENDA</t>
  </si>
  <si>
    <t>3 Beneficios</t>
  </si>
  <si>
    <t>IRISOLANDA AMARAL DA SILVA</t>
  </si>
  <si>
    <t>Reembolso de despesas comerciais</t>
  </si>
  <si>
    <t>MARIA EDUARDA DE SOUZA</t>
  </si>
  <si>
    <t>Rendimentos para acerto de saldo</t>
  </si>
  <si>
    <t>mai</t>
  </si>
  <si>
    <t>SHOPPING FILT</t>
  </si>
  <si>
    <t>CANNAÃ FRIOS</t>
  </si>
  <si>
    <t>MAU NENHUM RESTAURANTE</t>
  </si>
  <si>
    <t>Diferença ref.: 3 Beneficios</t>
  </si>
  <si>
    <t>COMISSÃO POR INDICAÇÃO - NINA</t>
  </si>
  <si>
    <t>HONORÁRIOS INTEGRALMENTE REPASSADOS A VANESSA (LANÇAR COMO RETIRADA SARAH)</t>
  </si>
  <si>
    <t>CANAÃ FRIOS - ALIMENTAÇÃO</t>
  </si>
  <si>
    <t>SOLUTE CERTIFICADOS</t>
  </si>
  <si>
    <t>SUPERMERCADO UNIÃO</t>
  </si>
  <si>
    <t>RENDIMENTOS</t>
  </si>
  <si>
    <t>INV - Rendimentos financeiros</t>
  </si>
  <si>
    <t>JL PARK ESTACIONAMENTO</t>
  </si>
  <si>
    <t>ADM - Estacionamento e Transporte</t>
  </si>
  <si>
    <t>AMAZON</t>
  </si>
  <si>
    <t>COMISSÃO POR CUMPRIMENTO DE META</t>
  </si>
  <si>
    <t>Comissão a Ednaldo 10%</t>
  </si>
  <si>
    <t>serviços de TI</t>
  </si>
  <si>
    <t>PACOTE OFFICE</t>
  </si>
  <si>
    <t>MATERIAL DE LIMPEZA</t>
  </si>
  <si>
    <t>3 BENEFICIOS</t>
  </si>
  <si>
    <t>50% Sob RPV</t>
  </si>
  <si>
    <t>AUXÍLIO DOENÇA</t>
  </si>
  <si>
    <t>ESTORNO DE COMPRA JANEIRO/2025</t>
  </si>
  <si>
    <t>Cartão de crédito Dra Sarah</t>
  </si>
  <si>
    <t>EVENTO: A COMUNIDADE: VIRANDO A CHAVE DO NETWORKING</t>
  </si>
  <si>
    <t>SYMPLA</t>
  </si>
  <si>
    <t>Pagamento cartão Dra Sarah</t>
  </si>
  <si>
    <t>Diferença ref.: 2 Benefícios parcelados em 6x</t>
  </si>
  <si>
    <t>TERMO SUL ENGENHARIA</t>
  </si>
  <si>
    <t>COMPRA MERCADO LIVRE</t>
  </si>
  <si>
    <t>Tarifa de pacote de serviços</t>
  </si>
  <si>
    <t>30% Sob Implantação - VALOR TOTAL (R$891 - 50% ajnaldo) - Abatido no Débito da Leila</t>
  </si>
  <si>
    <t>Honorários referente a estudo/planejamento previdenciário</t>
  </si>
  <si>
    <t>JOSE VITORIO DE CARVALHO JUNIOR</t>
  </si>
  <si>
    <t>PLANEJAMENTO PREVIDENCIÁRIO</t>
  </si>
  <si>
    <t>30% Sob implantação</t>
  </si>
  <si>
    <t>DALILA DE JESUS MORAES ROCHA</t>
  </si>
  <si>
    <t>MARCOS HENRIQUE SILVA SANTOS</t>
  </si>
  <si>
    <t>Rescisão de Contrato Trabalhista</t>
  </si>
  <si>
    <t>GUIA GFD - Rescisão de Contrato - Raffaela</t>
  </si>
  <si>
    <t>30% sob ação de indenização</t>
  </si>
  <si>
    <t>CAROLINE MATOS DE SOUZA</t>
  </si>
  <si>
    <t>INDENIZAÇÃO DE DANOS MORAIS</t>
  </si>
  <si>
    <t>Compras para Escritório</t>
  </si>
  <si>
    <t>COSTA ATACADISTA</t>
  </si>
  <si>
    <t>CURSO - IMERSÃO R.E.I VOX</t>
  </si>
  <si>
    <t>EDUZZ TECNOLOGIA LTDA</t>
  </si>
  <si>
    <t>3 Benefícios - Implantação</t>
  </si>
  <si>
    <t>MARIA MADALENA ALVES DA SILVA PAULA</t>
  </si>
  <si>
    <t>30% comissão Dra Karine</t>
  </si>
  <si>
    <t>LENY CORREIA DOS SANTOS</t>
  </si>
  <si>
    <t>APOSENTADORIA HÍBRIDA</t>
  </si>
  <si>
    <t>Honorários sob Ação de Interdição</t>
  </si>
  <si>
    <t>LUCIANNA LEAO DIAS DOS REIS</t>
  </si>
  <si>
    <t>INTERDIÇÃO</t>
  </si>
  <si>
    <t>Combustível viagem Dr Sarah</t>
  </si>
  <si>
    <t>Honorários de parceria caso VALENTINA SOUSA FONSECA</t>
  </si>
  <si>
    <t>DR SILVIO CARNEIRO</t>
  </si>
  <si>
    <t>Compras para escritório</t>
  </si>
  <si>
    <t>Valor de saque em Agência Avenida T-7 (Dinheiro para levar em viagem - Dra Sarah)</t>
  </si>
  <si>
    <t>SAQUE DE VALORES</t>
  </si>
  <si>
    <t>Honorário R$ 2.277,00 - Parceria com Dr Fernando  (50%)</t>
  </si>
  <si>
    <t>JAIME RODRIGUES DE SOUZA</t>
  </si>
  <si>
    <t>APOSENTADORIA POR TEMPO DE CONTRIBUIÇÃO COM IDADE MÍNIMA</t>
  </si>
  <si>
    <t>Cartucho para impressora</t>
  </si>
  <si>
    <t>EXTRA CARTUCHOS</t>
  </si>
  <si>
    <t>jun</t>
  </si>
  <si>
    <t>NB BAR E RESTAURANTE</t>
  </si>
  <si>
    <t>Parcela - Valor da Implantação (R$4.554,00)</t>
  </si>
  <si>
    <t>Pagamento de Parceria para Dr Flavia : 50%</t>
  </si>
  <si>
    <t>PAGAMENTO DE HONORÁRIOS - ACORDO APÓS EXECUÇÃO DO CONTRATO</t>
  </si>
  <si>
    <t>AMAZON BR</t>
  </si>
  <si>
    <t>Prévius - LOGIKE</t>
  </si>
  <si>
    <t>MATHEUS HENRIQUE DE CARVALHO MIRANDA</t>
  </si>
  <si>
    <t>Honorários R$5000,00 (Parceria com Dr Luciano R$2.500) - 5 parcelas para cada.</t>
  </si>
  <si>
    <t>LUZIA VIEIRA DE JESUS NASCIMENTO</t>
  </si>
  <si>
    <t>aposentadoria</t>
  </si>
  <si>
    <t>Honorários Sob Implantação</t>
  </si>
  <si>
    <t>SEBASTIAO RIBEIRO NETO</t>
  </si>
  <si>
    <t>APOSENTADORIA POR TEMPO DE CONTRIBUIÇAO DA PESSOA COM DEFICIENCIA</t>
  </si>
  <si>
    <t>Não pago</t>
  </si>
  <si>
    <t>Parcelamento 3 BENEFICIOS</t>
  </si>
  <si>
    <t>CALCULO JURIDICO - DIFERENÇA DE PLANO</t>
  </si>
  <si>
    <t>SANDIA MOTTA MELO</t>
  </si>
  <si>
    <t>JOSELITA ALMEIDA DE SOUSA PEREIRA</t>
  </si>
  <si>
    <t>BENEFICIO ASSISTENCIAL AO DEFICIENTE</t>
  </si>
  <si>
    <t>40% sob Implantação</t>
  </si>
  <si>
    <t>JOAO FERNANDES SOBRINHO</t>
  </si>
  <si>
    <t>ALINE NAOMI KAWAKAMI</t>
  </si>
  <si>
    <t>ELVIRA ALVES DA SILVA</t>
  </si>
  <si>
    <t>30% + ANUIDADE</t>
  </si>
  <si>
    <t>ISAEL MARCULINO DOS SANTOS</t>
  </si>
  <si>
    <t>APOSENTADORIA POR TEMPO DE CONTRIBUIÇAO/ PORTADOR DE NECESSIDADES ESPECIAIS</t>
  </si>
  <si>
    <t>Diferença ref.: 50% dos honorários (Parceria Dr Ajnaldo)</t>
  </si>
  <si>
    <t>100% Sucumbência</t>
  </si>
  <si>
    <t>MARIA MACIEL DE CARVALHO</t>
  </si>
  <si>
    <t>RESTABELECIMENTO DE PENSAO POR MORTE</t>
  </si>
  <si>
    <t>3 BENEFICIOS - PARCIAL (RESTANTE EM 3X de 759,00)</t>
  </si>
  <si>
    <t>GENI MOURA NEVES</t>
  </si>
  <si>
    <t>APOSENTADORIA POR IDADE URBANA</t>
  </si>
  <si>
    <t>Implantação (R$ 4.544,00 sendo: R$ 4.000,00 dia 15/07/2025 e os R$ 554,00 no 5º dia útil de agosto)</t>
  </si>
  <si>
    <t>NILVANDA CANDIDA DE MOURA OLIVEIRA</t>
  </si>
  <si>
    <t>70% Dr Vanessa - Comissão</t>
  </si>
  <si>
    <t>ANA CAROLINA SOARES DA SILVA</t>
  </si>
  <si>
    <t>NATANNE KELLY REIS DE SOUZA</t>
  </si>
  <si>
    <t>BENEFÍCIO ASSISTENCIAL</t>
  </si>
  <si>
    <t>Anuidade R$ 8.967,07 (2.000 + 12x R$580,59)</t>
  </si>
  <si>
    <t>3 SALÁRIOS DE BENEFICIO</t>
  </si>
  <si>
    <t>LUZIA FERREIRA AREBAS SHIMADA</t>
  </si>
  <si>
    <t>BENEFÍCIO ASSISTENCIAL AO IDOSO</t>
  </si>
  <si>
    <t>30% SOB ATRASADOS</t>
  </si>
  <si>
    <t>Comissão por Indicação ( DRA RAFFAELA)</t>
  </si>
  <si>
    <t>30% SOB IMPLANTAÇÃO (Menos 40% parceria Dr Kaique -  Valor total : 2155,2)</t>
  </si>
  <si>
    <t>TELMA ROSA PEREIRA</t>
  </si>
  <si>
    <t>Maria Alves Madureira</t>
  </si>
  <si>
    <t>3 SALÁRIOS DE BENEFICIO (1000,00 + 5X 710,80)</t>
  </si>
  <si>
    <t>ALDENY TELES DE OLIVEIRA NUNES</t>
  </si>
  <si>
    <t>40% sob atrasados</t>
  </si>
  <si>
    <t>LUCIANA TATIANA FERREIRA</t>
  </si>
  <si>
    <t>LUCIMAR APARECIDA DOS REIS</t>
  </si>
  <si>
    <t>Restabelecimento de Benefício por Incapacidade</t>
  </si>
  <si>
    <t>30% sob ATRASADOS - RPV</t>
  </si>
  <si>
    <t>VIAGEM DRA SARAH</t>
  </si>
  <si>
    <t>AUO POSTO MINAS</t>
  </si>
  <si>
    <t xml:space="preserve">VIAGEM </t>
  </si>
  <si>
    <t>LANCHES - VIAGEM DRA SARAH</t>
  </si>
  <si>
    <t>EMPORIO WL BOLOS</t>
  </si>
  <si>
    <t>PARCEIRIA DR SILVIO - Honorários de parceria caso VALENTINA SOUSA FONSECA</t>
  </si>
  <si>
    <t>VALENTINA SOUSA FONSECA</t>
  </si>
  <si>
    <t>SOLICITAR PAGAMENTOS NÃO RECEBIDOS</t>
  </si>
  <si>
    <t>TAXA DA MUDANÇA RAZÃO SOCIAL ESCRITÓRIO</t>
  </si>
  <si>
    <t>REENBOLSO - ANIVERSÁRIO DRA THAYNARA</t>
  </si>
  <si>
    <t>OBRA - REFORMA DO ESCRITÓRIO</t>
  </si>
  <si>
    <t>RAFHAEL LISBOA DA SILVA</t>
  </si>
  <si>
    <t>30% Sob Honorários</t>
  </si>
  <si>
    <t>DOMINGOS DA TRINDADE SILVA</t>
  </si>
  <si>
    <t>DIVINA PEREIRA DA SILVA</t>
  </si>
  <si>
    <t>GLAUCINEIDE RODRIGUES DA SILVA</t>
  </si>
  <si>
    <t>COMISSÃO POR META BATIDA</t>
  </si>
  <si>
    <t>COMPRAS PARA O ESCRITÓRIO</t>
  </si>
  <si>
    <t>BANCO ITAÚ S/A</t>
  </si>
  <si>
    <t>REEMBOLSO DE FRIOS</t>
  </si>
  <si>
    <t>COMISSÃO DE META BATIDA</t>
  </si>
  <si>
    <t>jul</t>
  </si>
  <si>
    <t>ALMOÇO DE META BATIDA</t>
  </si>
  <si>
    <t>CASERATTO</t>
  </si>
  <si>
    <t>MAXX FRIOS</t>
  </si>
  <si>
    <t>RPV DE SUCUMBÊNCIA</t>
  </si>
  <si>
    <t>CONCESSAO DE PROVENTOS INTEGRAIS DA APOSENTADORIA POR INVALIDEZ</t>
  </si>
  <si>
    <t>OBRA - CONSTRUTOR DA REFORMA (VALOR TOTAL R$8.500,00)</t>
  </si>
  <si>
    <t>EDVAN CANDIDO DOS SANTOS</t>
  </si>
  <si>
    <t>LIMPEZA POS OBRA</t>
  </si>
  <si>
    <t>MIRIAM LINA PINTO DOS SANTOS</t>
  </si>
  <si>
    <t>LIMPEZA - 1 DIÁRIA</t>
  </si>
  <si>
    <t>CRISTAL FESTAS - FESTINHA DRA THAYNARA</t>
  </si>
  <si>
    <t>CONSULTORIA ESTRATEGIA</t>
  </si>
  <si>
    <t>OBJECTI SOLUÇÕES</t>
  </si>
  <si>
    <t>40% SOB IMPLANTAÇÃO</t>
  </si>
  <si>
    <t>ELIENE SOUZA SILVA</t>
  </si>
  <si>
    <t>ANDRE E ALZIRA FRIOS</t>
  </si>
  <si>
    <t>ANUIDADE CARTÃO VANESSA</t>
  </si>
  <si>
    <t>ANUIDADE CARTÃO IVANILDO</t>
  </si>
  <si>
    <t>Possivel Anuidade ** confirmar com Nina</t>
  </si>
  <si>
    <t>DANIELA MIGUEL SILVA</t>
  </si>
  <si>
    <t>PENSÃO POR MORTE - RETROAÇÃO DA DIP</t>
  </si>
  <si>
    <t>Valor residual da implantação.</t>
  </si>
  <si>
    <t>Transferencia entre contas honorarios Eliene Souza Silva</t>
  </si>
  <si>
    <t>Transferência</t>
  </si>
  <si>
    <t>REPASSE INTEGRAL DRA VANESSA - RPV DE SUCUMBÊNCIA DE 2006</t>
  </si>
  <si>
    <t>Certidão de Militancia</t>
  </si>
  <si>
    <t>DEA LUCIA DA SILVA DAVID</t>
  </si>
  <si>
    <t>Certidao de militancia LEANNE</t>
  </si>
  <si>
    <t>MARIA APARECIDA SILVA ALVES/ IVANILTON ROCHA ALVES</t>
  </si>
  <si>
    <t>APOSENTADORIA POR TEMPO DE CONTRIBUIÇAO / PORTADOR DE NESCESSIDADES ESPECIAIS</t>
  </si>
  <si>
    <t>Suprimentos pra escritório</t>
  </si>
  <si>
    <t>Certidao de militancia</t>
  </si>
  <si>
    <t>CECILIA GONÇALVES DA SILVA</t>
  </si>
  <si>
    <t>HELIO CURADO FROES</t>
  </si>
  <si>
    <t>ROGERIO JOSE DA SILVEIRA</t>
  </si>
  <si>
    <t>APOSENTADORIA ESPECIAL/ ELETRICISTA</t>
  </si>
  <si>
    <t>Certidao de Militancia</t>
  </si>
  <si>
    <t>JOSE RENATO MARTINS</t>
  </si>
  <si>
    <t xml:space="preserve">Exame admissional </t>
  </si>
  <si>
    <t>SAMARA ALMEIDA BOGEA</t>
  </si>
  <si>
    <t>Transferencia entre contas parcela 1/3 - 3 beneficios Geni Moura Neves</t>
  </si>
  <si>
    <t>(Entrada de 3100 + 1x 1454,00)</t>
  </si>
  <si>
    <t>Horas Extras</t>
  </si>
  <si>
    <t>PAGAMENTO CARTÃO DE CRÉDITO DRA SARAH</t>
  </si>
  <si>
    <t>Defesa administrativa e honorários - R$ 2.000,00 (Entrada de R$1.000,00 + 1x R$1.000,00)</t>
  </si>
  <si>
    <t>LUIZ CARLOS FERREIRA DE MELO</t>
  </si>
  <si>
    <t>DEFESA ADMINISTRATIVA</t>
  </si>
  <si>
    <t>Taxa de uso do solo -  CNPJ Dra Raffaella</t>
  </si>
  <si>
    <t>30%  SOB RECEBIDOS</t>
  </si>
  <si>
    <t>LUCA RACHED NADER</t>
  </si>
  <si>
    <t>AÇÃO DE INDENIZAÇÃO POR DANOS MATERIAIS E MORAIS</t>
  </si>
  <si>
    <t>3 SALÁRIOS DE BENEFICIO (Entrada de 1000,00 + 6x de 492,33 no boleto)</t>
  </si>
  <si>
    <t>Conserto de cabos</t>
  </si>
  <si>
    <t>ADAIR PEREIRA DA SILVA</t>
  </si>
  <si>
    <t>Domínio do escritório (3 anos)</t>
  </si>
  <si>
    <t>HOSTGATOR</t>
  </si>
  <si>
    <t xml:space="preserve">Seguro </t>
  </si>
  <si>
    <t>ADM - Seguros</t>
  </si>
  <si>
    <t>PORTO SEGURO COMPANHIA DE SEGUROS GERAIS</t>
  </si>
  <si>
    <t>Cesta de despedida - Laura</t>
  </si>
  <si>
    <t>Fernanda Aparecida de Farias</t>
  </si>
  <si>
    <t>Pagamento de comissão para BARBARA ARANTES</t>
  </si>
  <si>
    <t>HADASSA  ANJOS DE ALMEIDA LEMES</t>
  </si>
  <si>
    <t>AUXILIO MORADIA EM RESIDÊNCIA MÉDICA</t>
  </si>
  <si>
    <t>Transferência honorários - Sandia Motta - Emissão de NFE</t>
  </si>
  <si>
    <t>Lanche despedida - Laura</t>
  </si>
  <si>
    <t>Viagem Sarah</t>
  </si>
  <si>
    <t>Lanches para Viagem</t>
  </si>
  <si>
    <t>Rescisão de Contrato - Acerto</t>
  </si>
  <si>
    <t>POSTO TAMANDARÉ</t>
  </si>
  <si>
    <t>Comissão viagem Sarah</t>
  </si>
  <si>
    <t>MARIA L F NASCIMENTO</t>
  </si>
  <si>
    <t>Taxa de abertura CNPJ - Raffa</t>
  </si>
  <si>
    <t>3 beneficios</t>
  </si>
  <si>
    <t>ELIO DIVINO NUNES DE BARROS</t>
  </si>
  <si>
    <t>LAIRCE CORREA BARBOSA FRUTUOSO</t>
  </si>
  <si>
    <t>OBRA - CONSTRUTOR DA REFORMA</t>
  </si>
  <si>
    <t>40% de honorarios + 3 beneficios</t>
  </si>
  <si>
    <t>ELCIMAR LOURENÇO DE SOUSA</t>
  </si>
  <si>
    <t>Honorários sob implantação</t>
  </si>
  <si>
    <t>ARLINDO LEITE DOS SANTOS</t>
  </si>
  <si>
    <t>3 salários de beneficio</t>
  </si>
  <si>
    <t>Pagamento de comissões por Iniciais.</t>
  </si>
  <si>
    <t>Dra Raffaela Nunes</t>
  </si>
  <si>
    <t>PRECATÓRIO - 30%</t>
  </si>
  <si>
    <t>PRECATÓRIO - 30% + ANUIDADE</t>
  </si>
  <si>
    <t>CLEUSA ALVES RIBEIRO</t>
  </si>
  <si>
    <t>CUSTAS DE LOCOMOÇÃO</t>
  </si>
  <si>
    <t>Honorários 30%</t>
  </si>
  <si>
    <t>Comissão Giuliano 23%</t>
  </si>
  <si>
    <t>TAXA TED</t>
  </si>
  <si>
    <t>Prêmio São Paulo</t>
  </si>
  <si>
    <t>INQS - Instituto Nacional da Qualidade Social</t>
  </si>
  <si>
    <t>LANCHES</t>
  </si>
  <si>
    <t>TAXA TES</t>
  </si>
  <si>
    <t>Guia para certidão de militância</t>
  </si>
  <si>
    <t>TALYTA VASCONCELOS MELO</t>
  </si>
  <si>
    <t>Compra</t>
  </si>
  <si>
    <t>MARKETPLACE</t>
  </si>
  <si>
    <t xml:space="preserve">Cabine de computador </t>
  </si>
  <si>
    <t>GUIA CERTIDÃO DE MILITÂNCIA</t>
  </si>
  <si>
    <t>CHOCOLATES PARA CLIENTES</t>
  </si>
  <si>
    <t>Complemento salarial - Nina (Empréstimo)</t>
  </si>
  <si>
    <t>TEREZINHA CUSTODIO DE OLIVEIRA</t>
  </si>
  <si>
    <t>ago</t>
  </si>
  <si>
    <t>Parte 2/2 dos honorários de Helio, Cleusa e Leanne</t>
  </si>
  <si>
    <t>Comissão Vanessa 70%</t>
  </si>
  <si>
    <t>3 Iniciais</t>
  </si>
  <si>
    <t>PES - Trabalho Extra</t>
  </si>
  <si>
    <t>ROSEANE REIS</t>
  </si>
  <si>
    <t>DIGISEC</t>
  </si>
  <si>
    <t>Parte 1/2 dos honorários de Helio, Cleusa e Leanne</t>
  </si>
  <si>
    <t>TERMO SUL</t>
  </si>
  <si>
    <t>SUPER MOREIRA</t>
  </si>
  <si>
    <t>EMPORIO DOLCCI</t>
  </si>
  <si>
    <t>RICHESSE</t>
  </si>
  <si>
    <t>PANIFICADORA</t>
  </si>
  <si>
    <t>SUPERMOREIRA</t>
  </si>
  <si>
    <t>SUPER UNIÃO</t>
  </si>
  <si>
    <t>Acordo com Dr Silvio</t>
  </si>
  <si>
    <t>30% Sob Implantação</t>
  </si>
  <si>
    <t>ERINALVA DOS SANTOS ALMEIDA</t>
  </si>
  <si>
    <t>Anuidade 13x de 550</t>
  </si>
  <si>
    <t>40% Sob Implantação</t>
  </si>
  <si>
    <t>BENEFÍCIO POR  INCAPACIDADE</t>
  </si>
  <si>
    <t>Salário Marketing</t>
  </si>
  <si>
    <t>ANNA CLARA JARDIM</t>
  </si>
  <si>
    <t>LANCHES ESCRITÓRIO</t>
  </si>
  <si>
    <t>Video Avulso Marketing</t>
  </si>
  <si>
    <t>GENILDO JANUARIO LEITE</t>
  </si>
  <si>
    <t>30% SOB Implantação</t>
  </si>
  <si>
    <t>GIRLENE FERREIRA DA MATA</t>
  </si>
  <si>
    <t>30% Implantação</t>
  </si>
  <si>
    <t>AGDA SODRE DA SILVA SOUZA</t>
  </si>
  <si>
    <t>30% Sob  recebidos</t>
  </si>
  <si>
    <t>Juarez Fernandes Da Silva</t>
  </si>
  <si>
    <t>Juarez Fernandes Da Silva x Banco Inbursa S.a.</t>
  </si>
  <si>
    <t>Pagamentos - 2 inicias extras (Revisão de RMI - Cairo Osmundo - Revisão de RMI - Jario Alves Duarte)</t>
  </si>
  <si>
    <t>Honorário de SCB</t>
  </si>
  <si>
    <t>Honorário contratual Espólio</t>
  </si>
  <si>
    <t>Honorários (3x1500,00) 50% DR GUSTAVO</t>
  </si>
  <si>
    <t>ELISEU FRADIQUE MARÇAL</t>
  </si>
  <si>
    <t>RECISÃO DE CONTRATO</t>
  </si>
  <si>
    <t>40% Sob precatório</t>
  </si>
  <si>
    <t>Instalação de defletor - Escritório</t>
  </si>
  <si>
    <t>LOURIVALDO SANTOS DE SOUZA</t>
  </si>
  <si>
    <t>30% SOB PRECATÓRIO</t>
  </si>
  <si>
    <t>Comissão Vanessa</t>
  </si>
  <si>
    <t>Distribuição de Lucros</t>
  </si>
  <si>
    <t>PAGAMENTO DE COMISSÃO E AJUDAS DE CUSTO</t>
  </si>
  <si>
    <t>SEBASTIAO PEIXOTO DE OLIVEIRA</t>
  </si>
  <si>
    <t>AJUDA IDA À EDILÂNDIA</t>
  </si>
  <si>
    <t>Maria Eduarda</t>
  </si>
  <si>
    <t>Pagamento de peças - Iniciais</t>
  </si>
  <si>
    <t>Chocolates: Clientes / Escritório</t>
  </si>
  <si>
    <t>Especialização - Dra. Raffaela</t>
  </si>
  <si>
    <t>FASBEN SAO BENTO EDUCACIONAL LTDA</t>
  </si>
  <si>
    <t>Combustível - Viagem Sarah</t>
  </si>
  <si>
    <t>Pia para banheiro do escritório</t>
  </si>
  <si>
    <t>GEAN CARLOS DE SOUZA</t>
  </si>
  <si>
    <t>Retirada de Lucros</t>
  </si>
  <si>
    <t>50% parceria</t>
  </si>
  <si>
    <t>Pós graduação - Dra Thaynara</t>
  </si>
  <si>
    <t>ASA*CURSOSESPECCIALJUS</t>
  </si>
  <si>
    <t>Reembolso de Certidão Solicitada</t>
  </si>
  <si>
    <t>MARIA DA GLORIA RESENDE PAULA</t>
  </si>
  <si>
    <t>EMBARGOS DE TERCEIRO</t>
  </si>
  <si>
    <t>Peças de exaustor - Banheiro (reforma)</t>
  </si>
  <si>
    <t>30% + Saldo devedor 3 beneficios</t>
  </si>
  <si>
    <t>Espelho e Janela - Janela Sarah</t>
  </si>
  <si>
    <t>Eduardo S. Oliveira</t>
  </si>
  <si>
    <t>Contrato de honorários: 40% + 3 benefícios = 3.962,60 (40%) + 8.484,99 (3 benefícios) = 12.447,59</t>
  </si>
  <si>
    <t>ADILSON GOMES GUIMARAES</t>
  </si>
  <si>
    <t>3 SALÁRIOS DE BENEFICIOS (R$ 8.269,50 em 8 vezes)</t>
  </si>
  <si>
    <t>COSME DOS SANTOS VAZ</t>
  </si>
  <si>
    <t>Tintas da reforma</t>
  </si>
  <si>
    <t>BEIJA-FLOR TINTAS</t>
  </si>
  <si>
    <t>40% SOB RPV + R$ 6.045,54 (RESTANTE DA ANUIDADE)</t>
  </si>
  <si>
    <t>Extra (Uber) - Limpeza reforma do banheiro</t>
  </si>
  <si>
    <t>30% SOB RPV</t>
  </si>
  <si>
    <t>Contrato 40% 40% = R$ 2.831,20 - RPV</t>
  </si>
  <si>
    <t>Contrato = 30+20% 30%= 3.945,54 20% está pagando boletos</t>
  </si>
  <si>
    <t>Valor dos honorários R$ 201,999,94 sendo;  20% de R$ 956.857,42 =191.371,48 20% de 1 anuidade sobre as diferenças, R$ 4.087,87 X 13 = R$ 53.142,31 X 20% = R$ 10.628,46.</t>
  </si>
  <si>
    <t>Selma Regina Gebrim Ribeiro</t>
  </si>
  <si>
    <t>Selma Regina Gebrim Ribeiro x INSS</t>
  </si>
  <si>
    <t>Contrato 40% - 40%= 2.503,79 Tem parceria com Dr Gustavo (50%)</t>
  </si>
  <si>
    <t>RAFAELA DAMASIO DE ALMEIDA</t>
  </si>
  <si>
    <t>Contrato 30% 30%= R$ 6.273,90 - RPV</t>
  </si>
  <si>
    <t>Contrato 30+20% 30%= R$ 5.558,56 20%= R$ 3.946,80</t>
  </si>
  <si>
    <t>REGINA CELIA COLLIENNE</t>
  </si>
  <si>
    <t>Parceria 50% DR GUSTAVO</t>
  </si>
  <si>
    <t>Consulta de ROBERT LUCAS FERNANDES LOGRADO (Não virou ação)</t>
  </si>
  <si>
    <t>CARNEIRO E OLIVEIRA ADVOGADOS</t>
  </si>
  <si>
    <t>30% Sob Implantação (2x)</t>
  </si>
  <si>
    <t>MARLENE MARIA DOS SANTOS</t>
  </si>
  <si>
    <t>Pagamento de peça inicial - Extra</t>
  </si>
  <si>
    <t>Material para obra</t>
  </si>
  <si>
    <t>PORTAL DISTRIBUIDORA</t>
  </si>
  <si>
    <t>Honorários sob Precatório recebido</t>
  </si>
  <si>
    <t>IOLANDA ABADIA DE JESUS DIAS</t>
  </si>
  <si>
    <t>COMISSÃO POR REUNIÃO - VIAGEM</t>
  </si>
  <si>
    <t>MARIA JOSEFA DA CONCEIÇÃO</t>
  </si>
  <si>
    <t>35% SOB RPV</t>
  </si>
  <si>
    <t>Materiais para obra</t>
  </si>
  <si>
    <t>BEIJA FLOR TINTAS</t>
  </si>
  <si>
    <t>Alguel sala - Escritório Girassol</t>
  </si>
  <si>
    <t>ADM - Aluguel</t>
  </si>
  <si>
    <t>Persinas para escritorio</t>
  </si>
  <si>
    <t>CENTERFLEX PERSIANAS E CORTINAS</t>
  </si>
  <si>
    <t>Prêmio Águia Americana - São Paulo</t>
  </si>
  <si>
    <t>HONORÁRIOS DE SCB</t>
  </si>
  <si>
    <t>Vidros Janela - Reforma</t>
  </si>
  <si>
    <t>Comissão por reunião</t>
  </si>
  <si>
    <t>Pagamento de pecas avulsas - Benefício por incapacidade - Patrícia Godói Pensão por morte - Geralda Nunes</t>
  </si>
  <si>
    <t>REFORMA DO ESCRITÓRIO</t>
  </si>
  <si>
    <t>WILLIAM DUARTE DE SOUZA</t>
  </si>
  <si>
    <t>Pagamento por gestão e execução de processo seletivo</t>
  </si>
  <si>
    <t>FLUIR MULTICLINICA EM SAÚDE</t>
  </si>
  <si>
    <t>Comissão sucumbencia Vanessa</t>
  </si>
  <si>
    <t>Comissao parcela anuidade 1/12 Vanessa</t>
  </si>
  <si>
    <t>Comissão anuidade 2/12 Vanessa</t>
  </si>
  <si>
    <t>Comissão para Karine Domingues 30%</t>
  </si>
  <si>
    <t>CONVERSAO DE APOSENTADORIA POR TEMPO DE CONTRIBUIÇAO EM APOSENTADORIA POR INVALIDEZ</t>
  </si>
  <si>
    <t>Comissão Implantação Vanessa</t>
  </si>
  <si>
    <t>Comissão principal Vanessa</t>
  </si>
  <si>
    <t>SIRLEY PAULINO DE LIMA</t>
  </si>
  <si>
    <t>Comissão entrada anuidade Vanessa</t>
  </si>
  <si>
    <t>Comissão para Carneiro e Oliveira 50%</t>
  </si>
  <si>
    <t>3 salários de beneficio (restante)</t>
  </si>
  <si>
    <t>set</t>
  </si>
  <si>
    <t>Months (Data)</t>
  </si>
  <si>
    <t>Years (Data)</t>
  </si>
  <si>
    <t>Seguros</t>
  </si>
  <si>
    <t>Aluguel</t>
  </si>
  <si>
    <t>Comissão por meta batida setembro/2025</t>
  </si>
  <si>
    <t>Chocolates para clientes</t>
  </si>
  <si>
    <t>MARANATA CHOCOLATERIA</t>
  </si>
  <si>
    <t>Vale transporte Controler</t>
  </si>
  <si>
    <t>GIOVANNA</t>
  </si>
  <si>
    <t>CLINICA PRO-SAUDE</t>
  </si>
  <si>
    <t>ALUGUEL - ESCRITÓRIO GIRASSOIS (DESCONTO DE SINAL)</t>
  </si>
  <si>
    <t>HELENA PEREIRA DOS REIS</t>
  </si>
  <si>
    <t>Entrada da instalação da FACHADA do escritório (R$1200)</t>
  </si>
  <si>
    <t>WANDERSON NERES SOUZA</t>
  </si>
  <si>
    <t>SAMUA LORENN</t>
  </si>
  <si>
    <t>PAPELARIA TRIBUTÁRIA</t>
  </si>
  <si>
    <t>SEBBA MATERIAIS DE CONSTRUÇÃO</t>
  </si>
  <si>
    <t>R$ 4.554,00 em 9x - IMPLANTAÇÃO</t>
  </si>
  <si>
    <t>ADERSON CARDOSO SANTANA</t>
  </si>
  <si>
    <t>SILVANA FERREIRA DE SOUZA</t>
  </si>
  <si>
    <t>Taxa de uso PIX</t>
  </si>
  <si>
    <t>limpeza</t>
  </si>
  <si>
    <t>ARQUITETA - Projeto Girassois</t>
  </si>
  <si>
    <t>ADM - Serviços de Terceiros</t>
  </si>
  <si>
    <t>AMANDA MONTEIRO DOS SANTOS</t>
  </si>
  <si>
    <t xml:space="preserve">Compras para viagem </t>
  </si>
  <si>
    <t xml:space="preserve">Confecçao de Peças avulsas </t>
  </si>
  <si>
    <t>Sedex de entrega dos cartões</t>
  </si>
  <si>
    <t>Valuu</t>
  </si>
  <si>
    <t>Hotel</t>
  </si>
  <si>
    <t>Agencia de Viagens</t>
  </si>
  <si>
    <t>Agencia de viagens (Premio Águia)</t>
  </si>
  <si>
    <t>LATAM (Premio Águia)</t>
  </si>
  <si>
    <t>Combustível de reunião</t>
  </si>
  <si>
    <t>Posto 2824 GOIÂNIA</t>
  </si>
  <si>
    <t>GOL (Premio Águia)</t>
  </si>
  <si>
    <t>Lanches para escritório</t>
  </si>
  <si>
    <t>COMISSÃO REUNIÕES</t>
  </si>
  <si>
    <t>GIOVANNA G RODRIGUES</t>
  </si>
  <si>
    <t>COMISSÃO REUMIÃO</t>
  </si>
  <si>
    <t>IVONETE MONTEIRO CARTAXO</t>
  </si>
  <si>
    <t>Comissão de reuniões</t>
  </si>
  <si>
    <t>LEONICE LEITE DE OLIVEIRA</t>
  </si>
  <si>
    <t>COMISSÃO DE REUNIÃO</t>
  </si>
  <si>
    <t>JOAO PAULO SOUZA SILVA</t>
  </si>
  <si>
    <t>2/2 de cortinas + adicional por mudança</t>
  </si>
  <si>
    <t>Manutenção de cortinas</t>
  </si>
  <si>
    <t>Beneficio de VT - Proporcional</t>
  </si>
  <si>
    <t>PES - Benefícios</t>
  </si>
  <si>
    <t>Reembolso de compra de lanches para escritório</t>
  </si>
  <si>
    <t>PAGAMENTO DA GUIA DA PREVIDÊNCIA SOCIAL - GPS</t>
  </si>
  <si>
    <t>MARCELO BATISTA DA SILVA</t>
  </si>
  <si>
    <t>Benefícios de colaboradores</t>
  </si>
  <si>
    <t>Pagamento Cartão de Crédito Dra Sarah Lisboa</t>
  </si>
  <si>
    <t>Taxa administrativa para depósito de beneficios</t>
  </si>
  <si>
    <t>Serviços de contabilidade (Empresa Dra Raffaela)</t>
  </si>
  <si>
    <t>ELLEN BORGES PEREIRA GOULARTE</t>
  </si>
  <si>
    <t>Peças avulsas</t>
  </si>
  <si>
    <t>Pós Thaynara</t>
  </si>
  <si>
    <t>CHAT GPT</t>
  </si>
  <si>
    <t>OPENAI *CHATGPT SUBSCR SA</t>
  </si>
  <si>
    <t>Repasse de porcentagem 50% - Parceria</t>
  </si>
  <si>
    <t>VINDI *CALCULOJURIDIC</t>
  </si>
  <si>
    <t>Pagamento restante da fechada.</t>
  </si>
  <si>
    <t>40% Sob implantação</t>
  </si>
  <si>
    <t>Lanche de viagem</t>
  </si>
  <si>
    <t>PD PÃES DE DELICIAS</t>
  </si>
  <si>
    <t>Pedágio viagem</t>
  </si>
  <si>
    <t>CONCEBRA - PEDÁGIO</t>
  </si>
  <si>
    <t>Pedágio - viagem</t>
  </si>
  <si>
    <t>40% Sob recebimento de RPV</t>
  </si>
  <si>
    <t>30% sobre os atrasados RPV</t>
  </si>
  <si>
    <t>Pedágio de viagem</t>
  </si>
  <si>
    <t>Serviços de chaveiro</t>
  </si>
  <si>
    <t>CHAVEIRO BOUGANVILLE</t>
  </si>
  <si>
    <t>30% sobre a implantação da revisão</t>
  </si>
  <si>
    <t>ANA CLARA CARDOSO FERNANDES</t>
  </si>
  <si>
    <t>REVISÃO</t>
  </si>
  <si>
    <t>20% para Maria de Lourdes: Honorários: 4.554,00 Honorários líquidos (-10,96%) R$ 4.054,88 20% Lourdes= R$ 810,97</t>
  </si>
  <si>
    <t>Honorários 30% LEONARDO</t>
  </si>
  <si>
    <t>Combustível de viagem</t>
  </si>
  <si>
    <t>Comissão de reunião</t>
  </si>
  <si>
    <t>JOAO BATISTA PEREIRA DE SOUZA</t>
  </si>
  <si>
    <t>ROSA NUNES LOPES</t>
  </si>
  <si>
    <t>Pagamentos de pecas avulsas</t>
  </si>
  <si>
    <t>100% de honorários</t>
  </si>
  <si>
    <t>Bolos e lanches para viagem</t>
  </si>
  <si>
    <t>Pedágio</t>
  </si>
  <si>
    <t>Lanches para viagem</t>
  </si>
  <si>
    <t xml:space="preserve">Comissão por viagem </t>
  </si>
  <si>
    <t>Giovanna Victoria</t>
  </si>
  <si>
    <t>3 BENEFÍCIOS COM RMI DE R$ 3.470,20 (10.410,60)
Pagará 5.000,00 e posteriormente o restante.</t>
  </si>
  <si>
    <t>FRANCISCO DO NASCIMENTO</t>
  </si>
  <si>
    <t>Compras viagem</t>
  </si>
  <si>
    <t>SUPERMERCADO BARATEX</t>
  </si>
  <si>
    <t>Comissão, parceiria Dr Silvio</t>
  </si>
  <si>
    <t>CHRISYA  MATOS AZEVEDO</t>
  </si>
  <si>
    <t>DEFESA DIVÓRCIO</t>
  </si>
  <si>
    <t>Honorários de 2.500 (500 + 500 + 3x500)</t>
  </si>
  <si>
    <t>FRANCISCA PEREIRA DA SILVA</t>
  </si>
  <si>
    <t>Parcelamento 3 Ben</t>
  </si>
  <si>
    <t>DIVINA CEZARIA DA SILVA FERREIRA</t>
  </si>
  <si>
    <t>2 PARCELA DA ENTRADA</t>
  </si>
  <si>
    <t>ELIANA MARIA DE CASTRO</t>
  </si>
  <si>
    <t>Comissão por parceria 50%</t>
  </si>
  <si>
    <t>JAQUELINE BIZIACH BARBOSA DA SILVEIRA</t>
  </si>
  <si>
    <t>AÇÃO DE RESTABELECIMENTO DO BENEFÍCIO PREVIDENCIÁRIO POR INCAPACIDADE TEMPORÁRIA POR ACIDENTE DO TRA</t>
  </si>
  <si>
    <t>30 sob atrasados</t>
  </si>
  <si>
    <t>Pagamento de procuração -  Cartório</t>
  </si>
  <si>
    <t>JALES ROBERTO MANSE</t>
  </si>
  <si>
    <t>JALES ROBERTO MANSE x INSS</t>
  </si>
  <si>
    <t>Transferência de SCB cliente JAQUELINE BIZIACH BARBOSA DA SILVEIRA</t>
  </si>
  <si>
    <t>Curso Dra Thaynara</t>
  </si>
  <si>
    <t>EMPRESA BLINDADA TREINAMENTOS</t>
  </si>
  <si>
    <t>Benefícios - GIOVANNA VICTORIA GOMES RODRIGUES (163,00 - 19 DIAS - Vale transporte) + 2,50 Taxas Valuu</t>
  </si>
  <si>
    <t>NAAMA MENDES JUNIOR - VALUU</t>
  </si>
  <si>
    <t>SHIRLEY PEREIRA DE REZENDE/ RAFAELA</t>
  </si>
  <si>
    <t>INVENTÁRIO</t>
  </si>
  <si>
    <t>Pagamento de benefícios: SAMARA ALMEIDA BOGEA (300,00) - MARIA EDUARDA DE SOUZA (300,00) - RAFFAELA NUNES SANTANA (300,00) - NINA ARAUJO (300,00) + Taxas da VALUU (2,50)</t>
  </si>
  <si>
    <t>GIOVANNA VICTORIA GOMES RODRIGUES</t>
  </si>
  <si>
    <t>Transferência de Honorários 30% - cliente: JAQUELINE BIZIACH BARBOSA DA SILVEIRA</t>
  </si>
  <si>
    <t>Comissão para Vanessa</t>
  </si>
  <si>
    <t>Honorários contratuais - inventário</t>
  </si>
  <si>
    <t>out</t>
  </si>
  <si>
    <t>Ago</t>
  </si>
  <si>
    <t>Set</t>
  </si>
  <si>
    <t>Out</t>
  </si>
  <si>
    <t>Salários</t>
  </si>
  <si>
    <t>Trabalho Extra</t>
  </si>
  <si>
    <t>Benefícios</t>
  </si>
  <si>
    <t>Treinamentos</t>
  </si>
  <si>
    <t>Taxa Estagiários</t>
  </si>
  <si>
    <t>ALUGUEL - ESCRITÓRIO GIRASSOIS</t>
  </si>
  <si>
    <t>Comissão por indicação de cliente</t>
  </si>
  <si>
    <t>MANTIMENTOS PARA ESCRITÓRIO</t>
  </si>
  <si>
    <t>POTENCIA FRIOS</t>
  </si>
  <si>
    <t>Cestas e Panetones de parceiros</t>
  </si>
  <si>
    <t>CASA CAFE</t>
  </si>
  <si>
    <t>ALMOÇO MENSAL DE METAS</t>
  </si>
  <si>
    <t>PAPELARIA BA</t>
  </si>
  <si>
    <t>LUCIA ALVES DA SILVA</t>
  </si>
  <si>
    <t>Cartões de visita</t>
  </si>
  <si>
    <t>Honorários de Sucumbência</t>
  </si>
  <si>
    <t>MARIA ISMENIA FURTADO SILVA</t>
  </si>
  <si>
    <t>Compras para viagem</t>
  </si>
  <si>
    <t>Marcelo Pereira de</t>
  </si>
  <si>
    <t>COMPRAS PARA VIAGEM</t>
  </si>
  <si>
    <t>Combustível - Viagem</t>
  </si>
  <si>
    <t>POSTO SÃO ROQUE</t>
  </si>
  <si>
    <t>PEDÁGIO</t>
  </si>
  <si>
    <t>CORUMBA CONCESSOES LTDA</t>
  </si>
  <si>
    <t>AG DE TURISMO</t>
  </si>
  <si>
    <t>Cartão de Crédito Dra Thaynara - Itaú</t>
  </si>
  <si>
    <t>Saldo inicial</t>
  </si>
  <si>
    <t>AMAZON BR - SITE</t>
  </si>
  <si>
    <t>Pagamento Cartão de Crédito Dra Thaynara - Itaú</t>
  </si>
  <si>
    <t>KABUM KABUM</t>
  </si>
  <si>
    <t>Repasse de comissão por reunião</t>
  </si>
  <si>
    <t>Marketing</t>
  </si>
  <si>
    <t>Pagamento cartão de crédito Dra Thaynara - Itaú</t>
  </si>
  <si>
    <t>Lanches de viagem</t>
  </si>
  <si>
    <t>MAURICIO HENRIQUE MARTINS</t>
  </si>
  <si>
    <t>40% sob RPV</t>
  </si>
  <si>
    <t>IVANESSA ADRIANA SILVA DE SOUSA</t>
  </si>
  <si>
    <t>30% sob RPV</t>
  </si>
  <si>
    <t>WELLINGTON FERREIRA DE ALMEIDA</t>
  </si>
  <si>
    <t>JOEL ANDRADE FERREIRA</t>
  </si>
  <si>
    <t>30% + 20% honorários</t>
  </si>
  <si>
    <t>MARIA APARECIDA QUEIROZ BARROS MONTEIRO</t>
  </si>
  <si>
    <t>40% SOB RPV</t>
  </si>
  <si>
    <t>30  % Sob recebimento de RPV + Anuidade</t>
  </si>
  <si>
    <t>Adiantamento para procuração em cartório</t>
  </si>
  <si>
    <t>JACINTO ALVES FALCÃO</t>
  </si>
  <si>
    <t>AMPARO AO IDOSO</t>
  </si>
  <si>
    <t>Comissão por indicação</t>
  </si>
  <si>
    <t>BRENNO VICTOR CASSIMIRO</t>
  </si>
  <si>
    <t>SUPRIMENTOS PARA ESCRITÓRIO</t>
  </si>
  <si>
    <t>Transferência de honorários da cliente SIRLEY PAULINO (NFE)</t>
  </si>
  <si>
    <t>Gratificação por reuniões</t>
  </si>
  <si>
    <t>Pagamento de 50% DR SILVIO/GUSTAVO</t>
  </si>
  <si>
    <t>CESTAS E PRESENTES PARA DOAÇÃO</t>
  </si>
  <si>
    <t>THIAGO SILVA AGUIAR</t>
  </si>
  <si>
    <t>Custas finais do processo</t>
  </si>
  <si>
    <t>GERALDINA CANDIDA DA SILVA</t>
  </si>
  <si>
    <t>INEXIGIBILIDADE DE DÉBITO C/C REPETIÇÃO DE INDÉBITO C/C DANOS MORAIS</t>
  </si>
  <si>
    <t>Mantimentos para escritório</t>
  </si>
  <si>
    <t>Pagamento de uber</t>
  </si>
  <si>
    <t>SILMARA ALVES ROSA</t>
  </si>
  <si>
    <t>Pagamento de Uber para comparecimento de INSS</t>
  </si>
  <si>
    <t>Peças a vulsas</t>
  </si>
  <si>
    <t>R$ 10.410,60 (ENTRADA DE 5.000,00 + 3X DE 1.803,53)</t>
  </si>
  <si>
    <t>Parceria com Dr (Consultas e Laudos)</t>
  </si>
  <si>
    <t>RODOLFO CARVALHO CUNHA</t>
  </si>
  <si>
    <t>MARIA NIELIA EVANGELISTA GOMES</t>
  </si>
  <si>
    <t>Cartão de Crédito Dra Thaynara - C6</t>
  </si>
  <si>
    <t>BIGLAR - PORTA RETRATOS</t>
  </si>
  <si>
    <t>GOOGLE ONE</t>
  </si>
  <si>
    <t>CALCULO JURIDICO</t>
  </si>
  <si>
    <t>GOOGLE WHATSAPP BUSINESS</t>
  </si>
  <si>
    <t>POS THAYNARA</t>
  </si>
  <si>
    <t>AÇÃO SOCIAL</t>
  </si>
  <si>
    <t>CAPPTA</t>
  </si>
  <si>
    <t>JOSE BATISTA DE ANDRADE</t>
  </si>
  <si>
    <t>100% sob recebimento de sucumbência</t>
  </si>
  <si>
    <t>Comissões de indicações</t>
  </si>
  <si>
    <t>GEZIEL SANTOS</t>
  </si>
  <si>
    <t>Combustível viagem</t>
  </si>
  <si>
    <t>Honorários de implantação (655,4 em 2x)</t>
  </si>
  <si>
    <t>1.000,00 no pix e R$ 3.000,00 em 12 vezes no boleto</t>
  </si>
  <si>
    <t>ANGELA FULGENCIA DOS SANTOS</t>
  </si>
  <si>
    <t>Comissão à Vanessa sobre honorários contratuais</t>
  </si>
  <si>
    <t>Comissao a Giuliano sobre honorário contratual</t>
  </si>
  <si>
    <t>Comissão à Vanessa sobre honorários de sucumbência</t>
  </si>
  <si>
    <t>Comissão ao Giuliano sobre honorário de sucumbencia</t>
  </si>
  <si>
    <t>Pagamento de benefícios: SAMARA ALMEIDA BOGEA (300,00) - MARIA EDUARDA DE SOUZA (300,00) - GIOVANNA VICTORIA GOMES RODRIGUES (300,00) - NINA ARAUJO (300,00) + Taxas da VALUU (2,50)</t>
  </si>
  <si>
    <t>Recarga de Cartão</t>
  </si>
  <si>
    <t>30% + 20% sob RPV</t>
  </si>
  <si>
    <t>JOAQUIM DE QUEIROZ MONTEIRO</t>
  </si>
  <si>
    <t>Reembolso de Pedágios - Viagem SP</t>
  </si>
  <si>
    <t>Pagamento do 13° salário</t>
  </si>
  <si>
    <t>Pagamentos de peças avulsas</t>
  </si>
  <si>
    <t>nov</t>
  </si>
  <si>
    <t>Impressos Gráficos</t>
  </si>
  <si>
    <t>Alimentação em Viagens</t>
  </si>
  <si>
    <t>Combustíveis</t>
  </si>
  <si>
    <t>Combustíveis e Táxi/Uber</t>
  </si>
  <si>
    <t>Brindes e Presentes</t>
  </si>
  <si>
    <t>Viagens e Hospedagens</t>
  </si>
  <si>
    <t>Outras Despesas Comerciais</t>
  </si>
  <si>
    <t>Honorários R$5000,00 (Parceria com Dr Luciano R$2.500) - PARCELAS DO DR LUCIANO - Todas em diante</t>
  </si>
  <si>
    <t>30% de honorários</t>
  </si>
  <si>
    <t>SUELY IRENE DA MOTA</t>
  </si>
  <si>
    <t>NULIDADE DE CONTRATO ASSOCIAÇÃO E INDENIZAÇÃO POR DANOS MORAIS</t>
  </si>
  <si>
    <t>ROSAURA SOARES DA SILVA</t>
  </si>
  <si>
    <t>ROYELETRONIC</t>
  </si>
  <si>
    <t>PG* ZAPSIGN</t>
  </si>
  <si>
    <t>MERCADO CENTRAL</t>
  </si>
  <si>
    <t>Almoço mensal</t>
  </si>
  <si>
    <t>JAPA'S FOOD</t>
  </si>
  <si>
    <t>EA EXPRESS</t>
  </si>
  <si>
    <t>13° salário - Contador</t>
  </si>
  <si>
    <t>GOIÂNIA -CT A</t>
  </si>
  <si>
    <t>ANUIDADE DIFERENCIADA</t>
  </si>
  <si>
    <t>Anuidade 13x de 550 (duas parcelas)</t>
  </si>
  <si>
    <t>IPREMIUM STO-CT</t>
  </si>
  <si>
    <t>Comissão por Indicação - Nina</t>
  </si>
  <si>
    <t>ATVAQUA*ATVAQUA</t>
  </si>
  <si>
    <t>Assessoria</t>
  </si>
  <si>
    <t>ZOOM CASAS BAHIA</t>
  </si>
  <si>
    <t>Honorários sob RPV</t>
  </si>
  <si>
    <t>BENVINDA PEREIRA GODOY</t>
  </si>
  <si>
    <t>BENVINDA PEREIRA GODOY x A DEFINIR</t>
  </si>
  <si>
    <t>Comissão à Dra Karine sobre os honorários sucumbenciais (26.376,62 Líquido (-10,86% de imposto)= 23.512,11 Parte Dra Karine (40%)= 9.404,84)</t>
  </si>
  <si>
    <t>Comissão à Dra Karine sobre honorários contratuais (Honorários contratuais 78.885,90 Líquido (-10,86% de imposto)= 70.318,89 Parte Dra Karine (40%)= 28.127,55)</t>
  </si>
  <si>
    <t>Comissão à Vanessa sobre honorários contratuais (78.885,90 Líquido (-10,86% de imposto)= 70.318,89 Parte Dra Karine (40%)= 28.127,55 Liquido= 42.191,33 *Vanessa (70%)= 29.533,93*)</t>
  </si>
  <si>
    <t>Comissão à Vanessa sobre honorários de sucumbência (26.376,62 Líquido (-10,86% de imposto)= 23.512,11 Parte Dra Karine (40%)= 9.404,84 Liquido= 14.107,26 *Vanessa (70%)= 9.875,08*)</t>
  </si>
  <si>
    <t>Compras de escritório</t>
  </si>
  <si>
    <t>Combustivel</t>
  </si>
  <si>
    <t>S TEODORO LEITE</t>
  </si>
  <si>
    <t>QG</t>
  </si>
  <si>
    <t>Espumantes</t>
  </si>
  <si>
    <t>POSTO DAS BEBIDAS</t>
  </si>
  <si>
    <t>SAQUE EM AGENCIA T-7</t>
  </si>
  <si>
    <t>SAQUE EM DINHEIRO</t>
  </si>
  <si>
    <t>Combustível</t>
  </si>
  <si>
    <t>RHAM AUTO POSTO</t>
  </si>
  <si>
    <t>Distribuidora</t>
  </si>
  <si>
    <t>INSTALAÇÃO DE QUADROS - ZELADOR</t>
  </si>
  <si>
    <t>Peças  avulsas</t>
  </si>
  <si>
    <t>ADNALIA MARIA RIBEIRO PRATEADO</t>
  </si>
  <si>
    <t>REEMBOLSO UBER - VIAGEM</t>
  </si>
  <si>
    <t>Materiais de reforma</t>
  </si>
  <si>
    <t>SEBBA</t>
  </si>
  <si>
    <t>Comissão Nina. Cliente Adnalia Maria Ribeiro Prateado.</t>
  </si>
  <si>
    <t>Honorário</t>
  </si>
  <si>
    <t>Comissão</t>
  </si>
  <si>
    <t>Parcela de inventário</t>
  </si>
  <si>
    <t>EDINALDO BEZERRA DE ABREU</t>
  </si>
  <si>
    <t>Valor líquido: R$ 45.205,98 40%: 18.714,55 + 3 salários de BN: R$ 13.711,11. Total de honorários: R$ 32.425,66</t>
  </si>
  <si>
    <t>Bonificação de meta final</t>
  </si>
  <si>
    <t>RETIRADA SÓCIAS</t>
  </si>
  <si>
    <t>Bonificação de final de ano</t>
  </si>
  <si>
    <t>30% RPV
Valor total: R$ 29.620,98</t>
  </si>
  <si>
    <t>GIOVANNA MENDES REGINO</t>
  </si>
  <si>
    <t>RECEBIMENTO BANCARIO</t>
  </si>
  <si>
    <t>MAST CD</t>
  </si>
  <si>
    <t>Exame asmssional</t>
  </si>
  <si>
    <t>Anna Luiza Estanislau</t>
  </si>
  <si>
    <t>Bolo Raffa</t>
  </si>
  <si>
    <t>40% sob implantação</t>
  </si>
  <si>
    <t>EVANDRO ALVES PEIXOTO</t>
  </si>
  <si>
    <t>Verificado do WhatsApp</t>
  </si>
  <si>
    <t>30% RPV</t>
  </si>
  <si>
    <t>KASSYA CRYSTINA DE SOUSA OLIVEIRA</t>
  </si>
  <si>
    <t>TRABALHISTA</t>
  </si>
  <si>
    <t>20% sob recebidos (R$1.106,32)</t>
  </si>
  <si>
    <t>EDILSON DE ARAUJO REIS</t>
  </si>
  <si>
    <t>NULIDADE DE CONTRATO DE ASSOCIAÇÃO E INDENIZAÇÃO POR DANOS MORAIS</t>
  </si>
  <si>
    <t>SCB 00%</t>
  </si>
  <si>
    <t>Comissão à Karine ref honorários de sucumbência: 48.612,69: Honorários de sucumbência líquido (-10,86%): 43.333,35 *40% Karine= 17.333,34*</t>
  </si>
  <si>
    <t>Carem Lucia Freire Arriel</t>
  </si>
  <si>
    <t>Comissão à Karine ref honorários contratuais: 97.225,38, Honorários contratuais líquidos (-10,86%): 86.666,70 *40% Karine= 34.666,68*</t>
  </si>
  <si>
    <t>Valor de 2% - Inventário</t>
  </si>
  <si>
    <t>MARIA APARECIDA ALVES DE MORAES</t>
  </si>
  <si>
    <t>Honorários de 30% (Integral Dr Vanessa)</t>
  </si>
  <si>
    <t>Comissão ao Carneiro e Oliveira: honorários totais R$ 28.171.86</t>
  </si>
  <si>
    <t>20% SOB DEVOLVIDOS</t>
  </si>
  <si>
    <t>SIRLENE DONIZETTI DOS REIS</t>
  </si>
  <si>
    <t>DESCONTOS DE ASSOCIAÇÃO</t>
  </si>
  <si>
    <t>REFORMA DOS SOFÁS</t>
  </si>
  <si>
    <t>LUISMAR ALVES MORAES</t>
  </si>
  <si>
    <t>Suprimentos para escritório (Boleto whats lisboa)</t>
  </si>
  <si>
    <t>Pagamento de peças avulsas</t>
  </si>
  <si>
    <t>FÉRIAS</t>
  </si>
  <si>
    <t>COMPUTADOR NOVO</t>
  </si>
  <si>
    <t>MAGAZINE LUIZA</t>
  </si>
  <si>
    <t>Honorários RPV</t>
  </si>
  <si>
    <t>MARCOS ANTONIO GOMES</t>
  </si>
  <si>
    <t>REVISÃO APOSENTADORIA POR TEMPO DE CONTRIBUIÇÃO</t>
  </si>
  <si>
    <t>30% sob contrato</t>
  </si>
  <si>
    <t>PEDREIRO - REFORMA BANHEIRO</t>
  </si>
  <si>
    <t>20% Sob recebimento de devolvidos</t>
  </si>
  <si>
    <t>Leila Silva de Araujo</t>
  </si>
  <si>
    <t>REPETIÇÃO DE INDÉBITO C/C INDENIZAÇÃO POR DANOS MORAIS</t>
  </si>
  <si>
    <t>Reembolso de Valores pagos em pedágio - Viagem SP</t>
  </si>
  <si>
    <t>Indicação paga a Dra Raffaela Nunes</t>
  </si>
  <si>
    <t>Comissão integral à Vanessa descontando o valor do imposto</t>
  </si>
  <si>
    <t>HERRISON DA SILVA SA</t>
  </si>
  <si>
    <t>INFORMÁTICA</t>
  </si>
  <si>
    <t>SAFETECH CONSULTORIA GESTÃO E TECNOLOGIA LTDA</t>
  </si>
  <si>
    <t>BENEFÍCIOS</t>
  </si>
  <si>
    <t>Reforma do escritório</t>
  </si>
  <si>
    <t>UNITINTAS</t>
  </si>
  <si>
    <t>PONTO QUENTE - CT</t>
  </si>
  <si>
    <t>SUPER VI</t>
  </si>
  <si>
    <t>JUS BRASIL</t>
  </si>
  <si>
    <t>VALORI*CANA</t>
  </si>
  <si>
    <t>PG*NUVEM YACAN</t>
  </si>
  <si>
    <t>LOGIKE*LOGIKE</t>
  </si>
  <si>
    <t>ROYETRONIC</t>
  </si>
  <si>
    <t>LOJAS AMERICANAS</t>
  </si>
  <si>
    <t>DELL</t>
  </si>
  <si>
    <t>ASA*CursosEspeccialJus</t>
  </si>
  <si>
    <t>EXTRACARTUCHOS</t>
  </si>
  <si>
    <t>ferialafifye</t>
  </si>
  <si>
    <t>LOCCITANE BR</t>
  </si>
  <si>
    <t>Consultoria contábil</t>
  </si>
  <si>
    <t>Assessoria Contabíl</t>
  </si>
  <si>
    <t>Pagamento cartão de crédito Dr Ivanildo - Itaú</t>
  </si>
  <si>
    <t>Condomínio vaga A88</t>
  </si>
  <si>
    <t>Condomínio sala B73</t>
  </si>
  <si>
    <t>Condomínio sala B74</t>
  </si>
  <si>
    <t>Condomínio vaga A81</t>
  </si>
  <si>
    <t>Condomínio vaga A78</t>
  </si>
  <si>
    <t>Peças de computador</t>
  </si>
  <si>
    <t>Condomínio vaga A82</t>
  </si>
  <si>
    <t>Parcela da reforma -  Banheiro Sarah</t>
  </si>
  <si>
    <t>Tarifa PIX</t>
  </si>
  <si>
    <t>Condomínio vaga A83</t>
  </si>
  <si>
    <t>Beneficios</t>
  </si>
  <si>
    <t>Telefone - Escritório</t>
  </si>
  <si>
    <t>TELEFONICA BRASIL S/A</t>
  </si>
  <si>
    <t>3 salários de benefício</t>
  </si>
  <si>
    <t>SISTEMA DE EMISSÃO NFE</t>
  </si>
  <si>
    <t>Nota Control Tecnologia Ltda</t>
  </si>
  <si>
    <t>50% de comissão</t>
  </si>
  <si>
    <t>RONE DA COSTA GOMES</t>
  </si>
  <si>
    <t>Valor pago para atendimento</t>
  </si>
  <si>
    <t>Pisos para escritório de Girassois</t>
  </si>
  <si>
    <t>SÓ REPAROS</t>
  </si>
  <si>
    <t>Tintas para reforma - Girassol</t>
  </si>
  <si>
    <t>Diferença ref.: Honorários 40% sobre os atrasados - RPV</t>
  </si>
  <si>
    <t>Honorários 40% sobre os atrasados - RPV</t>
  </si>
  <si>
    <t>Parcelamento inventário</t>
  </si>
  <si>
    <t>VIVO FIXO - 9621661899</t>
  </si>
  <si>
    <t>VIVO - TELEGOIAS CELULAR S/A</t>
  </si>
  <si>
    <t>Compra de lanches e frios</t>
  </si>
  <si>
    <t>AMAZON BRASIL</t>
  </si>
  <si>
    <t>Cuba e pedras do Banheiro - Reforma</t>
  </si>
  <si>
    <t>REQUINT MARMORARIA</t>
  </si>
  <si>
    <t>LANCHONETE FLORES</t>
  </si>
  <si>
    <t>CLUB MAIS CE</t>
  </si>
  <si>
    <t>POSTO FLORES</t>
  </si>
  <si>
    <t>Reforma do banheiro Dra Sarah</t>
  </si>
  <si>
    <t>EDER ELIEL RIGONATO</t>
  </si>
  <si>
    <t>POSTO MARINE</t>
  </si>
  <si>
    <t>JAGUAR HOTEL</t>
  </si>
  <si>
    <t>RESTAURANTE FRANGOS</t>
  </si>
  <si>
    <t>Espelho para banheiro - Escritório</t>
  </si>
  <si>
    <t>WILLIAN DUARTE DE SOUZA</t>
  </si>
  <si>
    <t>POSTO RANCHO</t>
  </si>
  <si>
    <t>1.000,00 no pix e R$ 3.000,00 em 12 vezes no boleto (R$4.000,00)</t>
  </si>
  <si>
    <t>POSTO SEIS</t>
  </si>
  <si>
    <t>BAHREM BAR</t>
  </si>
  <si>
    <t>MERCURE SP</t>
  </si>
  <si>
    <t>STOPPARK</t>
  </si>
  <si>
    <t>CANTE RESTAURANTE</t>
  </si>
  <si>
    <t>SILVIO ROBERTO DE SOUZA</t>
  </si>
  <si>
    <t>AUXILIO DOENÇA OU APOSENTADORIA POR INVALIDEZ</t>
  </si>
  <si>
    <t>Tarifa de pacote de Serviços</t>
  </si>
  <si>
    <t>Assessoria de TI</t>
  </si>
  <si>
    <t>Gesso para reforma escritório Girassol</t>
  </si>
  <si>
    <t>VISUAL GESSO</t>
  </si>
  <si>
    <t>Sistema de recebimento - SISDEB</t>
  </si>
  <si>
    <t>30% sob atrasados - RPV</t>
  </si>
  <si>
    <t>LUCIVANIA MARCELINO DE CARVALHO MIRANDA</t>
  </si>
  <si>
    <t>BENEFICIO POR INCAPACIDADE PERMANENTE RURAL</t>
  </si>
  <si>
    <t>Mouses para escritório</t>
  </si>
  <si>
    <t>Honorários Eliene Souza Silva</t>
  </si>
  <si>
    <t>LUIZ ROGERIO COELHO</t>
  </si>
  <si>
    <t>BENEFÍCIO ASSISTENCIAL AO DEFICIENTE</t>
  </si>
  <si>
    <t>SIMONE SOUZA DE MOURA SILVA</t>
  </si>
  <si>
    <t>Comissão atendimento Dr Silvio</t>
  </si>
  <si>
    <t>JAIANE LOPES DA SILVA</t>
  </si>
  <si>
    <t>ANALISE</t>
  </si>
  <si>
    <t>Instalação de computadores</t>
  </si>
  <si>
    <t>50% Parceria Dr Silvio</t>
  </si>
  <si>
    <t>3 SALÁRIOS DE BENEFÍCIO</t>
  </si>
  <si>
    <t>EDLEUZA FERREIRA CABRAL DE SOUZA</t>
  </si>
  <si>
    <t>Honorários R$6.285,78 em 4x</t>
  </si>
  <si>
    <t>ANDREA COUTO DE PAIVA NASCIMENTO</t>
  </si>
  <si>
    <t>Honorários R$2.500,00 em 5x</t>
  </si>
  <si>
    <t>ZIZANI SOARES DE BRITO SILVA</t>
  </si>
  <si>
    <t>AÇÃO DE RESPONSABILIDADE CIVÍL POR ERRO MÉDICO</t>
  </si>
  <si>
    <t>Troca de Gabinetes de computadores</t>
  </si>
  <si>
    <t>Pagamento cartão de crédito Dra Thaynara -C6</t>
  </si>
  <si>
    <t>Lanche para escritório</t>
  </si>
  <si>
    <t>Uber/Ajuda de custo</t>
  </si>
  <si>
    <t>20% de honorários</t>
  </si>
  <si>
    <t>VALORES  NÃO RECEBIDOS</t>
  </si>
  <si>
    <t>Mão de obra - Pedreiro Girassol</t>
  </si>
  <si>
    <t>JOAO BATISTA PEREIRA DA SILVA</t>
  </si>
  <si>
    <t>Troco via pix de honorários pagos em dinheiro (caixa físico)</t>
  </si>
  <si>
    <t>Ajuda de custo para Iacy</t>
  </si>
  <si>
    <t>PES - Gratificações</t>
  </si>
  <si>
    <t>MORGANA DA LUA MAGALHÃES</t>
  </si>
  <si>
    <t>SANEAGO CONTA 16388844</t>
  </si>
  <si>
    <t>50% parceria Dr Silvio Carneiro</t>
  </si>
  <si>
    <t>FGTS 13° SALÁRIO</t>
  </si>
  <si>
    <t>T.IT SOLUÇÕES TECNOLÓGICAS</t>
  </si>
  <si>
    <t>peças avulsas</t>
  </si>
  <si>
    <t>Insumos pedreiro Girassol</t>
  </si>
  <si>
    <t>Materiais de construção - Obra girassol</t>
  </si>
  <si>
    <t>PABLO CAVALCANTE MENDONÇA</t>
  </si>
  <si>
    <t>Implantação de sistema de informática</t>
  </si>
  <si>
    <t>Arquiteta - Projeto escritório Goiânia</t>
  </si>
  <si>
    <t>Pagamento a Dr Rodolfo Carvalho Cunha - Consulta médica</t>
  </si>
  <si>
    <t>ANTONIA BATISTA DE SOUZA</t>
  </si>
  <si>
    <t>Contrato 20%.</t>
  </si>
  <si>
    <t>ELIETH DIAS DE PAIVA RODRIGUES</t>
  </si>
  <si>
    <t>VALE TRANSPORTE DE GIOVANA V</t>
  </si>
  <si>
    <t>Retiradas de Sócias</t>
  </si>
  <si>
    <t>Anuidade OAB DR Sarah</t>
  </si>
  <si>
    <t>T&amp;O - Anuidade OAB</t>
  </si>
  <si>
    <t>Anuidade OAB DR Raffaela</t>
  </si>
  <si>
    <t>Pagamento de Salários</t>
  </si>
  <si>
    <t>ANNA UIZA ESTANISLAU SIQUEIRA</t>
  </si>
  <si>
    <t>Anuidade OAB DR Thaynara</t>
  </si>
  <si>
    <t>Retirada de Sócias</t>
  </si>
  <si>
    <t>Assistência de T.I</t>
  </si>
  <si>
    <t>Pagamento de salários</t>
  </si>
  <si>
    <t>GIOVANNA MENDES REGINO DE SOUZA</t>
  </si>
  <si>
    <t>20% recebidos de devolução INSS</t>
  </si>
  <si>
    <t>SARA FERREIRA RIBEIRO ROCHA</t>
  </si>
  <si>
    <t>2026</t>
  </si>
  <si>
    <t>INV - Escritório Girassol</t>
  </si>
  <si>
    <t>PES - Exame admissional</t>
  </si>
  <si>
    <t>Dra Raffaela Nunes - PJ</t>
  </si>
  <si>
    <t>ANNA CLARA JARDIM - PJ</t>
  </si>
  <si>
    <t>Nathalia Louiz Alves Vigilato -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</si>
</sst>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mmm/yyyy"/>
    <numFmt numFmtId="165" formatCode="#,##0.00_ ;[Red]\-#,##0.00\ "/>
    <numFmt numFmtId="166" formatCode="0.0%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Fill="1"/>
    <xf numFmtId="0" fontId="2" fillId="5" borderId="2" xfId="0" applyFont="1" applyFill="1" applyBorder="1"/>
    <xf numFmtId="0" fontId="2" fillId="5" borderId="0" xfId="0" applyFont="1" applyFill="1"/>
    <xf numFmtId="3" fontId="2" fillId="4" borderId="1" xfId="0" applyNumberFormat="1" applyFont="1" applyFill="1" applyBorder="1"/>
    <xf numFmtId="3" fontId="0" fillId="0" borderId="0" xfId="0" applyNumberFormat="1"/>
    <xf numFmtId="3" fontId="1" fillId="0" borderId="0" xfId="0" applyNumberFormat="1" applyFont="1"/>
    <xf numFmtId="164" fontId="3" fillId="5" borderId="2" xfId="0" applyNumberFormat="1" applyFont="1" applyFill="1" applyBorder="1"/>
    <xf numFmtId="0" fontId="3" fillId="5" borderId="0" xfId="0" applyFont="1" applyFill="1"/>
    <xf numFmtId="0" fontId="3" fillId="4" borderId="1" xfId="0" applyFont="1" applyFill="1" applyBorder="1" applyAlignment="1">
      <alignment horizontal="left"/>
    </xf>
    <xf numFmtId="8" fontId="0" fillId="0" borderId="0" xfId="0" applyNumberFormat="1"/>
    <xf numFmtId="0" fontId="0" fillId="2" borderId="0" xfId="0" applyFill="1"/>
    <xf numFmtId="0" fontId="0" fillId="6" borderId="0" xfId="0" applyFill="1"/>
    <xf numFmtId="0" fontId="3" fillId="5" borderId="2" xfId="0" applyFont="1" applyFill="1" applyBorder="1"/>
    <xf numFmtId="0" fontId="1" fillId="6" borderId="0" xfId="0" applyFont="1" applyFill="1"/>
    <xf numFmtId="10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165" fontId="1" fillId="0" borderId="0" xfId="0" applyNumberFormat="1" applyFont="1"/>
    <xf numFmtId="165" fontId="0" fillId="2" borderId="0" xfId="0" applyNumberFormat="1" applyFill="1"/>
    <xf numFmtId="165" fontId="0" fillId="6" borderId="0" xfId="0" applyNumberFormat="1" applyFill="1"/>
    <xf numFmtId="0" fontId="1" fillId="0" borderId="0" xfId="0" pivotButton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4" fontId="0" fillId="7" borderId="0" xfId="0" applyNumberFormat="1" applyFill="1"/>
    <xf numFmtId="0" fontId="0" fillId="7" borderId="0" xfId="0" applyFill="1"/>
    <xf numFmtId="165" fontId="0" fillId="7" borderId="0" xfId="0" applyNumberFormat="1" applyFill="1"/>
    <xf numFmtId="14" fontId="0" fillId="2" borderId="0" xfId="0" applyNumberFormat="1" applyFill="1"/>
    <xf numFmtId="166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038430975944517E-2"/>
          <c:y val="0.10534979423868313"/>
          <c:w val="0.922141997158612"/>
          <c:h val="0.706803538446583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Comissões!$U$4</c:f>
              <c:strCache>
                <c:ptCount val="1"/>
                <c:pt idx="0">
                  <c:v>jan/1900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Comissões!$T$5:$T$12</c:f>
              <c:strCache>
                <c:ptCount val="8"/>
                <c:pt idx="0">
                  <c:v>VAR</c:v>
                </c:pt>
                <c:pt idx="1">
                  <c:v>PES</c:v>
                </c:pt>
                <c:pt idx="2">
                  <c:v>DIR</c:v>
                </c:pt>
                <c:pt idx="3">
                  <c:v>ADM</c:v>
                </c:pt>
                <c:pt idx="4">
                  <c:v>T&amp;O</c:v>
                </c:pt>
                <c:pt idx="5">
                  <c:v>INV</c:v>
                </c:pt>
                <c:pt idx="6">
                  <c:v>COM</c:v>
                </c:pt>
                <c:pt idx="7">
                  <c:v>FIN</c:v>
                </c:pt>
              </c:strCache>
            </c:strRef>
          </c:cat>
          <c:val>
            <c:numRef>
              <c:f>Comissões!$U$5:$U$12</c:f>
              <c:numCache>
                <c:formatCode>#,##0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3-4708-92D4-537AF4588308}"/>
            </c:ext>
          </c:extLst>
        </c:ser>
        <c:ser>
          <c:idx val="1"/>
          <c:order val="1"/>
          <c:tx>
            <c:strRef>
              <c:f>Comissões!$V$4</c:f>
              <c:strCache>
                <c:ptCount val="1"/>
                <c:pt idx="0">
                  <c:v>jan/1900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Comissões!$T$5:$T$12</c:f>
              <c:strCache>
                <c:ptCount val="8"/>
                <c:pt idx="0">
                  <c:v>VAR</c:v>
                </c:pt>
                <c:pt idx="1">
                  <c:v>PES</c:v>
                </c:pt>
                <c:pt idx="2">
                  <c:v>DIR</c:v>
                </c:pt>
                <c:pt idx="3">
                  <c:v>ADM</c:v>
                </c:pt>
                <c:pt idx="4">
                  <c:v>T&amp;O</c:v>
                </c:pt>
                <c:pt idx="5">
                  <c:v>INV</c:v>
                </c:pt>
                <c:pt idx="6">
                  <c:v>COM</c:v>
                </c:pt>
                <c:pt idx="7">
                  <c:v>FIN</c:v>
                </c:pt>
              </c:strCache>
            </c:strRef>
          </c:cat>
          <c:val>
            <c:numRef>
              <c:f>Comissões!$V$5:$V$12</c:f>
              <c:numCache>
                <c:formatCode>#,##0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E3-4708-92D4-537AF4588308}"/>
            </c:ext>
          </c:extLst>
        </c:ser>
        <c:ser>
          <c:idx val="2"/>
          <c:order val="2"/>
          <c:tx>
            <c:strRef>
              <c:f>Comissões!$W$4</c:f>
              <c:strCache>
                <c:ptCount val="1"/>
                <c:pt idx="0">
                  <c:v>jan/1900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Comissões!$T$5:$T$12</c:f>
              <c:strCache>
                <c:ptCount val="8"/>
                <c:pt idx="0">
                  <c:v>VAR</c:v>
                </c:pt>
                <c:pt idx="1">
                  <c:v>PES</c:v>
                </c:pt>
                <c:pt idx="2">
                  <c:v>DIR</c:v>
                </c:pt>
                <c:pt idx="3">
                  <c:v>ADM</c:v>
                </c:pt>
                <c:pt idx="4">
                  <c:v>T&amp;O</c:v>
                </c:pt>
                <c:pt idx="5">
                  <c:v>INV</c:v>
                </c:pt>
                <c:pt idx="6">
                  <c:v>COM</c:v>
                </c:pt>
                <c:pt idx="7">
                  <c:v>FIN</c:v>
                </c:pt>
              </c:strCache>
            </c:strRef>
          </c:cat>
          <c:val>
            <c:numRef>
              <c:f>Comissões!$W$5:$W$12</c:f>
              <c:numCache>
                <c:formatCode>#,##0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E3-4708-92D4-537AF45883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2421216"/>
        <c:axId val="592418336"/>
      </c:barChart>
      <c:catAx>
        <c:axId val="59242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418336"/>
        <c:crosses val="autoZero"/>
        <c:auto val="1"/>
        <c:lblAlgn val="ctr"/>
        <c:lblOffset val="100"/>
        <c:noMultiLvlLbl val="0"/>
      </c:catAx>
      <c:valAx>
        <c:axId val="5924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4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038430975944517E-2"/>
          <c:y val="0.10534979423868313"/>
          <c:w val="0.922141997158612"/>
          <c:h val="0.706803538446583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TOTAL!$Y$4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TOTAL!$X$5:$X$12</c:f>
              <c:strCache>
                <c:ptCount val="8"/>
                <c:pt idx="0">
                  <c:v>VAR</c:v>
                </c:pt>
                <c:pt idx="1">
                  <c:v>PES</c:v>
                </c:pt>
                <c:pt idx="2">
                  <c:v>DIR</c:v>
                </c:pt>
                <c:pt idx="3">
                  <c:v>ADM</c:v>
                </c:pt>
                <c:pt idx="4">
                  <c:v>COM</c:v>
                </c:pt>
                <c:pt idx="5">
                  <c:v>INV</c:v>
                </c:pt>
                <c:pt idx="6">
                  <c:v>T&amp;O</c:v>
                </c:pt>
                <c:pt idx="7">
                  <c:v>Despesa do cliente</c:v>
                </c:pt>
              </c:strCache>
            </c:strRef>
          </c:cat>
          <c:val>
            <c:numRef>
              <c:f>TOTAL!$Y$5:$Y$12</c:f>
              <c:numCache>
                <c:formatCode>#,##0</c:formatCode>
                <c:ptCount val="8"/>
                <c:pt idx="0">
                  <c:v>45256.2</c:v>
                </c:pt>
                <c:pt idx="1">
                  <c:v>29850.050000000003</c:v>
                </c:pt>
                <c:pt idx="2">
                  <c:v>12500</c:v>
                </c:pt>
                <c:pt idx="3">
                  <c:v>12919.84</c:v>
                </c:pt>
                <c:pt idx="4">
                  <c:v>9793.67</c:v>
                </c:pt>
                <c:pt idx="5">
                  <c:v>2083.2399999999998</c:v>
                </c:pt>
                <c:pt idx="6">
                  <c:v>0</c:v>
                </c:pt>
                <c:pt idx="7">
                  <c:v>1816.5700000000002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6-41F4-8544-6DF179BF471F}"/>
            </c:ext>
          </c:extLst>
        </c:ser>
        <c:ser>
          <c:idx val="1"/>
          <c:order val="1"/>
          <c:tx>
            <c:strRef>
              <c:f>TOTAL!$Z$4</c:f>
              <c:strCache>
                <c:ptCount val="1"/>
                <c:pt idx="0">
                  <c:v>dez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TOTAL!$X$5:$X$12</c:f>
              <c:strCache>
                <c:ptCount val="8"/>
                <c:pt idx="0">
                  <c:v>VAR</c:v>
                </c:pt>
                <c:pt idx="1">
                  <c:v>PES</c:v>
                </c:pt>
                <c:pt idx="2">
                  <c:v>DIR</c:v>
                </c:pt>
                <c:pt idx="3">
                  <c:v>ADM</c:v>
                </c:pt>
                <c:pt idx="4">
                  <c:v>COM</c:v>
                </c:pt>
                <c:pt idx="5">
                  <c:v>INV</c:v>
                </c:pt>
                <c:pt idx="6">
                  <c:v>T&amp;O</c:v>
                </c:pt>
                <c:pt idx="7">
                  <c:v>Despesa do cliente</c:v>
                </c:pt>
              </c:strCache>
            </c:strRef>
          </c:cat>
          <c:val>
            <c:numRef>
              <c:f>TOTAL!$Z$5:$Z$12</c:f>
              <c:numCache>
                <c:formatCode>#,##0</c:formatCode>
                <c:ptCount val="8"/>
                <c:pt idx="0">
                  <c:v>396622.68</c:v>
                </c:pt>
                <c:pt idx="1">
                  <c:v>31074.13</c:v>
                </c:pt>
                <c:pt idx="2">
                  <c:v>62500</c:v>
                </c:pt>
                <c:pt idx="3">
                  <c:v>19723.22</c:v>
                </c:pt>
                <c:pt idx="4">
                  <c:v>4692.88</c:v>
                </c:pt>
                <c:pt idx="5">
                  <c:v>11129.259999999998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6-41F4-8544-6DF179BF471F}"/>
            </c:ext>
          </c:extLst>
        </c:ser>
        <c:ser>
          <c:idx val="2"/>
          <c:order val="2"/>
          <c:tx>
            <c:strRef>
              <c:f>TOTAL!$AA$4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TOTAL!$X$5:$X$12</c:f>
              <c:strCache>
                <c:ptCount val="8"/>
                <c:pt idx="0">
                  <c:v>VAR</c:v>
                </c:pt>
                <c:pt idx="1">
                  <c:v>PES</c:v>
                </c:pt>
                <c:pt idx="2">
                  <c:v>DIR</c:v>
                </c:pt>
                <c:pt idx="3">
                  <c:v>ADM</c:v>
                </c:pt>
                <c:pt idx="4">
                  <c:v>COM</c:v>
                </c:pt>
                <c:pt idx="5">
                  <c:v>INV</c:v>
                </c:pt>
                <c:pt idx="6">
                  <c:v>T&amp;O</c:v>
                </c:pt>
                <c:pt idx="7">
                  <c:v>Despesa do cliente</c:v>
                </c:pt>
              </c:strCache>
            </c:strRef>
          </c:cat>
          <c:val>
            <c:numRef>
              <c:f>TOTAL!$AA$5:$AA$12</c:f>
              <c:numCache>
                <c:formatCode>#,##0</c:formatCode>
                <c:ptCount val="8"/>
                <c:pt idx="0">
                  <c:v>1450</c:v>
                </c:pt>
                <c:pt idx="1">
                  <c:v>30450.5</c:v>
                </c:pt>
                <c:pt idx="2">
                  <c:v>14000</c:v>
                </c:pt>
                <c:pt idx="3">
                  <c:v>26286.969999999998</c:v>
                </c:pt>
                <c:pt idx="4">
                  <c:v>3295.79</c:v>
                </c:pt>
                <c:pt idx="5">
                  <c:v>19913.060000000001</c:v>
                </c:pt>
                <c:pt idx="6">
                  <c:v>2548</c:v>
                </c:pt>
                <c:pt idx="7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16-41F4-8544-6DF179BF47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2421216"/>
        <c:axId val="592418336"/>
      </c:barChart>
      <c:catAx>
        <c:axId val="59242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418336"/>
        <c:crosses val="autoZero"/>
        <c:auto val="1"/>
        <c:lblAlgn val="ctr"/>
        <c:lblOffset val="100"/>
        <c:noMultiLvlLbl val="0"/>
      </c:catAx>
      <c:valAx>
        <c:axId val="5924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4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932353314203721E-2"/>
          <c:y val="0.11041562418417124"/>
          <c:w val="0.922141997158612"/>
          <c:h val="0.622812798983759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ADM!$U$4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ADM!$T$5:$T$18</c:f>
              <c:strCache>
                <c:ptCount val="14"/>
                <c:pt idx="0">
                  <c:v>Manutenção do Escritório</c:v>
                </c:pt>
                <c:pt idx="1">
                  <c:v>Material de Escritório</c:v>
                </c:pt>
                <c:pt idx="2">
                  <c:v>Condomínios</c:v>
                </c:pt>
                <c:pt idx="3">
                  <c:v>Assessoria Contábil</c:v>
                </c:pt>
                <c:pt idx="4">
                  <c:v>Lanches, Refeições, Copa e Cozinha</c:v>
                </c:pt>
                <c:pt idx="5">
                  <c:v>Softwares</c:v>
                </c:pt>
                <c:pt idx="6">
                  <c:v>Assessorias</c:v>
                </c:pt>
                <c:pt idx="7">
                  <c:v>Limpeza</c:v>
                </c:pt>
                <c:pt idx="8">
                  <c:v>Aluguel</c:v>
                </c:pt>
                <c:pt idx="9">
                  <c:v>Energia Elétrica</c:v>
                </c:pt>
                <c:pt idx="10">
                  <c:v>Serviços de TI</c:v>
                </c:pt>
                <c:pt idx="11">
                  <c:v>Internet e Telefonia</c:v>
                </c:pt>
                <c:pt idx="12">
                  <c:v>Cartão de Crédito</c:v>
                </c:pt>
                <c:pt idx="13">
                  <c:v>Água e Esgoto</c:v>
                </c:pt>
              </c:strCache>
            </c:strRef>
          </c:cat>
          <c:val>
            <c:numRef>
              <c:f>ADM!$U$5:$U$18</c:f>
              <c:numCache>
                <c:formatCode>#,##0</c:formatCode>
                <c:ptCount val="14"/>
                <c:pt idx="0">
                  <c:v>177.97</c:v>
                </c:pt>
                <c:pt idx="1">
                  <c:v>719.88000000000011</c:v>
                </c:pt>
                <c:pt idx="2">
                  <c:v>2892.0200000000004</c:v>
                </c:pt>
                <c:pt idx="3">
                  <c:v>1518</c:v>
                </c:pt>
                <c:pt idx="4">
                  <c:v>1075.0899999999999</c:v>
                </c:pt>
                <c:pt idx="5">
                  <c:v>1411.13</c:v>
                </c:pt>
                <c:pt idx="6">
                  <c:v>300.05</c:v>
                </c:pt>
                <c:pt idx="7">
                  <c:v>1190</c:v>
                </c:pt>
                <c:pt idx="8">
                  <c:v>1000</c:v>
                </c:pt>
                <c:pt idx="9">
                  <c:v>1007.97</c:v>
                </c:pt>
                <c:pt idx="10">
                  <c:v>0</c:v>
                </c:pt>
                <c:pt idx="11">
                  <c:v>397.95</c:v>
                </c:pt>
                <c:pt idx="12">
                  <c:v>224.98999999999978</c:v>
                </c:pt>
                <c:pt idx="13">
                  <c:v>179.27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E-46F5-814D-E8C5F208268C}"/>
            </c:ext>
          </c:extLst>
        </c:ser>
        <c:ser>
          <c:idx val="1"/>
          <c:order val="1"/>
          <c:tx>
            <c:strRef>
              <c:f>ADM!$V$4</c:f>
              <c:strCache>
                <c:ptCount val="1"/>
                <c:pt idx="0">
                  <c:v>dez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ADM!$T$5:$T$18</c:f>
              <c:strCache>
                <c:ptCount val="14"/>
                <c:pt idx="0">
                  <c:v>Manutenção do Escritório</c:v>
                </c:pt>
                <c:pt idx="1">
                  <c:v>Material de Escritório</c:v>
                </c:pt>
                <c:pt idx="2">
                  <c:v>Condomínios</c:v>
                </c:pt>
                <c:pt idx="3">
                  <c:v>Assessoria Contábil</c:v>
                </c:pt>
                <c:pt idx="4">
                  <c:v>Lanches, Refeições, Copa e Cozinha</c:v>
                </c:pt>
                <c:pt idx="5">
                  <c:v>Softwares</c:v>
                </c:pt>
                <c:pt idx="6">
                  <c:v>Assessorias</c:v>
                </c:pt>
                <c:pt idx="7">
                  <c:v>Limpeza</c:v>
                </c:pt>
                <c:pt idx="8">
                  <c:v>Aluguel</c:v>
                </c:pt>
                <c:pt idx="9">
                  <c:v>Energia Elétrica</c:v>
                </c:pt>
                <c:pt idx="10">
                  <c:v>Serviços de TI</c:v>
                </c:pt>
                <c:pt idx="11">
                  <c:v>Internet e Telefonia</c:v>
                </c:pt>
                <c:pt idx="12">
                  <c:v>Cartão de Crédito</c:v>
                </c:pt>
                <c:pt idx="13">
                  <c:v>Água e Esgoto</c:v>
                </c:pt>
              </c:strCache>
            </c:strRef>
          </c:cat>
          <c:val>
            <c:numRef>
              <c:f>ADM!$V$5:$V$18</c:f>
              <c:numCache>
                <c:formatCode>#,##0</c:formatCode>
                <c:ptCount val="14"/>
                <c:pt idx="0">
                  <c:v>4682.75</c:v>
                </c:pt>
                <c:pt idx="1">
                  <c:v>584.64</c:v>
                </c:pt>
                <c:pt idx="2">
                  <c:v>2781.8200000000006</c:v>
                </c:pt>
                <c:pt idx="3">
                  <c:v>3036</c:v>
                </c:pt>
                <c:pt idx="4">
                  <c:v>1662.23</c:v>
                </c:pt>
                <c:pt idx="5">
                  <c:v>1506.0099999999998</c:v>
                </c:pt>
                <c:pt idx="6">
                  <c:v>2045.7199999999998</c:v>
                </c:pt>
                <c:pt idx="7">
                  <c:v>1020</c:v>
                </c:pt>
                <c:pt idx="8">
                  <c:v>1000</c:v>
                </c:pt>
                <c:pt idx="9">
                  <c:v>0</c:v>
                </c:pt>
                <c:pt idx="10">
                  <c:v>0</c:v>
                </c:pt>
                <c:pt idx="11">
                  <c:v>397.95</c:v>
                </c:pt>
                <c:pt idx="12">
                  <c:v>224.99</c:v>
                </c:pt>
                <c:pt idx="13">
                  <c:v>132.22999999999999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E-46F5-814D-E8C5F208268C}"/>
            </c:ext>
          </c:extLst>
        </c:ser>
        <c:ser>
          <c:idx val="2"/>
          <c:order val="2"/>
          <c:tx>
            <c:strRef>
              <c:f>ADM!$W$4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ADM!$T$5:$T$18</c:f>
              <c:strCache>
                <c:ptCount val="14"/>
                <c:pt idx="0">
                  <c:v>Manutenção do Escritório</c:v>
                </c:pt>
                <c:pt idx="1">
                  <c:v>Material de Escritório</c:v>
                </c:pt>
                <c:pt idx="2">
                  <c:v>Condomínios</c:v>
                </c:pt>
                <c:pt idx="3">
                  <c:v>Assessoria Contábil</c:v>
                </c:pt>
                <c:pt idx="4">
                  <c:v>Lanches, Refeições, Copa e Cozinha</c:v>
                </c:pt>
                <c:pt idx="5">
                  <c:v>Softwares</c:v>
                </c:pt>
                <c:pt idx="6">
                  <c:v>Assessorias</c:v>
                </c:pt>
                <c:pt idx="7">
                  <c:v>Limpeza</c:v>
                </c:pt>
                <c:pt idx="8">
                  <c:v>Aluguel</c:v>
                </c:pt>
                <c:pt idx="9">
                  <c:v>Energia Elétrica</c:v>
                </c:pt>
                <c:pt idx="10">
                  <c:v>Serviços de TI</c:v>
                </c:pt>
                <c:pt idx="11">
                  <c:v>Internet e Telefonia</c:v>
                </c:pt>
                <c:pt idx="12">
                  <c:v>Cartão de Crédito</c:v>
                </c:pt>
                <c:pt idx="13">
                  <c:v>Água e Esgoto</c:v>
                </c:pt>
              </c:strCache>
            </c:strRef>
          </c:cat>
          <c:val>
            <c:numRef>
              <c:f>ADM!$W$5:$W$18</c:f>
              <c:numCache>
                <c:formatCode>#,##0</c:formatCode>
                <c:ptCount val="14"/>
                <c:pt idx="0">
                  <c:v>7854.9</c:v>
                </c:pt>
                <c:pt idx="1">
                  <c:v>1033.94</c:v>
                </c:pt>
                <c:pt idx="2">
                  <c:v>2884.6000000000004</c:v>
                </c:pt>
                <c:pt idx="3">
                  <c:v>1518</c:v>
                </c:pt>
                <c:pt idx="4">
                  <c:v>2942.8</c:v>
                </c:pt>
                <c:pt idx="5">
                  <c:v>1954.0400000000004</c:v>
                </c:pt>
                <c:pt idx="6">
                  <c:v>1693.72</c:v>
                </c:pt>
                <c:pt idx="7">
                  <c:v>1530</c:v>
                </c:pt>
                <c:pt idx="8">
                  <c:v>1000</c:v>
                </c:pt>
                <c:pt idx="9">
                  <c:v>1281.44</c:v>
                </c:pt>
                <c:pt idx="10">
                  <c:v>1818</c:v>
                </c:pt>
                <c:pt idx="11">
                  <c:v>400.87</c:v>
                </c:pt>
                <c:pt idx="12">
                  <c:v>224.99000000000024</c:v>
                </c:pt>
                <c:pt idx="13">
                  <c:v>109.67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5E-46F5-814D-E8C5F20826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2421216"/>
        <c:axId val="592418336"/>
      </c:barChart>
      <c:catAx>
        <c:axId val="59242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418336"/>
        <c:crosses val="autoZero"/>
        <c:auto val="1"/>
        <c:lblAlgn val="ctr"/>
        <c:lblOffset val="100"/>
        <c:noMultiLvlLbl val="0"/>
      </c:catAx>
      <c:valAx>
        <c:axId val="5924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4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038430975944517E-2"/>
          <c:y val="0.10534979423868313"/>
          <c:w val="0.922141997158612"/>
          <c:h val="0.622812798983759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CML!$S$4</c:f>
              <c:strCache>
                <c:ptCount val="1"/>
                <c:pt idx="0">
                  <c:v>set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CML!$R$5:$R$11</c:f>
              <c:strCache>
                <c:ptCount val="7"/>
                <c:pt idx="0">
                  <c:v>Outras Despesas Comerciais</c:v>
                </c:pt>
                <c:pt idx="1">
                  <c:v>Viagens e Hospedagens</c:v>
                </c:pt>
                <c:pt idx="2">
                  <c:v>Brindes e Presentes</c:v>
                </c:pt>
                <c:pt idx="3">
                  <c:v>Combustíveis e Táxi/Uber</c:v>
                </c:pt>
                <c:pt idx="4">
                  <c:v>Impressos Gráficos</c:v>
                </c:pt>
                <c:pt idx="5">
                  <c:v>Alimentação em Viagens</c:v>
                </c:pt>
                <c:pt idx="6">
                  <c:v>Combustíveis</c:v>
                </c:pt>
              </c:strCache>
            </c:strRef>
          </c:cat>
          <c:val>
            <c:numRef>
              <c:f>CML!$S$5:$S$11</c:f>
              <c:numCache>
                <c:formatCode>#,##0</c:formatCode>
                <c:ptCount val="7"/>
                <c:pt idx="0">
                  <c:v>925</c:v>
                </c:pt>
                <c:pt idx="1">
                  <c:v>0</c:v>
                </c:pt>
                <c:pt idx="2">
                  <c:v>0</c:v>
                </c:pt>
                <c:pt idx="3">
                  <c:v>227.71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B-4C62-99B5-969B97B582AA}"/>
            </c:ext>
          </c:extLst>
        </c:ser>
        <c:ser>
          <c:idx val="1"/>
          <c:order val="1"/>
          <c:tx>
            <c:strRef>
              <c:f>CML!$T$4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CML!$R$5:$R$11</c:f>
              <c:strCache>
                <c:ptCount val="7"/>
                <c:pt idx="0">
                  <c:v>Outras Despesas Comerciais</c:v>
                </c:pt>
                <c:pt idx="1">
                  <c:v>Viagens e Hospedagens</c:v>
                </c:pt>
                <c:pt idx="2">
                  <c:v>Brindes e Presentes</c:v>
                </c:pt>
                <c:pt idx="3">
                  <c:v>Combustíveis e Táxi/Uber</c:v>
                </c:pt>
                <c:pt idx="4">
                  <c:v>Impressos Gráficos</c:v>
                </c:pt>
                <c:pt idx="5">
                  <c:v>Alimentação em Viagens</c:v>
                </c:pt>
                <c:pt idx="6">
                  <c:v>Combustíveis</c:v>
                </c:pt>
              </c:strCache>
            </c:strRef>
          </c:cat>
          <c:val>
            <c:numRef>
              <c:f>CML!$T$5:$T$11</c:f>
              <c:numCache>
                <c:formatCode>#,##0</c:formatCode>
                <c:ptCount val="7"/>
                <c:pt idx="0">
                  <c:v>1067.5999999999999</c:v>
                </c:pt>
                <c:pt idx="1">
                  <c:v>1873.7700000000002</c:v>
                </c:pt>
                <c:pt idx="2">
                  <c:v>129.80000000000001</c:v>
                </c:pt>
                <c:pt idx="3">
                  <c:v>566.33999999999992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8B-4C62-99B5-969B97B582AA}"/>
            </c:ext>
          </c:extLst>
        </c:ser>
        <c:ser>
          <c:idx val="2"/>
          <c:order val="2"/>
          <c:tx>
            <c:strRef>
              <c:f>CML!$U$4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CML!$R$5:$R$11</c:f>
              <c:strCache>
                <c:ptCount val="7"/>
                <c:pt idx="0">
                  <c:v>Outras Despesas Comerciais</c:v>
                </c:pt>
                <c:pt idx="1">
                  <c:v>Viagens e Hospedagens</c:v>
                </c:pt>
                <c:pt idx="2">
                  <c:v>Brindes e Presentes</c:v>
                </c:pt>
                <c:pt idx="3">
                  <c:v>Combustíveis e Táxi/Uber</c:v>
                </c:pt>
                <c:pt idx="4">
                  <c:v>Impressos Gráficos</c:v>
                </c:pt>
                <c:pt idx="5">
                  <c:v>Alimentação em Viagens</c:v>
                </c:pt>
                <c:pt idx="6">
                  <c:v>Combustíveis</c:v>
                </c:pt>
              </c:strCache>
            </c:strRef>
          </c:cat>
          <c:val>
            <c:numRef>
              <c:f>CML!$U$5:$U$11</c:f>
              <c:numCache>
                <c:formatCode>#,##0</c:formatCode>
                <c:ptCount val="7"/>
                <c:pt idx="0">
                  <c:v>5367</c:v>
                </c:pt>
                <c:pt idx="1">
                  <c:v>1254.3799999999999</c:v>
                </c:pt>
                <c:pt idx="2">
                  <c:v>2347.11</c:v>
                </c:pt>
                <c:pt idx="3">
                  <c:v>535.18000000000006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8B-4C62-99B5-969B97B582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2421216"/>
        <c:axId val="592418336"/>
      </c:barChart>
      <c:catAx>
        <c:axId val="59242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418336"/>
        <c:crosses val="autoZero"/>
        <c:auto val="1"/>
        <c:lblAlgn val="ctr"/>
        <c:lblOffset val="100"/>
        <c:noMultiLvlLbl val="0"/>
      </c:catAx>
      <c:valAx>
        <c:axId val="5924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4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038430975944517E-2"/>
          <c:y val="0.10534979423868313"/>
          <c:w val="0.922141997158612"/>
          <c:h val="0.648355578009960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RH!$W$4</c:f>
              <c:strCache>
                <c:ptCount val="1"/>
                <c:pt idx="0">
                  <c:v>Ago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RH!$V$5:$V$11</c:f>
              <c:strCache>
                <c:ptCount val="7"/>
                <c:pt idx="0">
                  <c:v>Salários</c:v>
                </c:pt>
                <c:pt idx="1">
                  <c:v>INSS</c:v>
                </c:pt>
                <c:pt idx="2">
                  <c:v>Trabalho Extra</c:v>
                </c:pt>
                <c:pt idx="3">
                  <c:v>Benefícios</c:v>
                </c:pt>
                <c:pt idx="4">
                  <c:v>FGTS</c:v>
                </c:pt>
                <c:pt idx="5">
                  <c:v>Treinamentos</c:v>
                </c:pt>
                <c:pt idx="6">
                  <c:v>Taxa Estagiários</c:v>
                </c:pt>
              </c:strCache>
            </c:strRef>
          </c:cat>
          <c:val>
            <c:numRef>
              <c:f>RH!$W$5:$W$11</c:f>
              <c:numCache>
                <c:formatCode>#,##0</c:formatCode>
                <c:ptCount val="7"/>
                <c:pt idx="0">
                  <c:v>15704.4</c:v>
                </c:pt>
                <c:pt idx="1">
                  <c:v>2885.94</c:v>
                </c:pt>
                <c:pt idx="2">
                  <c:v>1660</c:v>
                </c:pt>
                <c:pt idx="3">
                  <c:v>0</c:v>
                </c:pt>
                <c:pt idx="4">
                  <c:v>789.17</c:v>
                </c:pt>
                <c:pt idx="5">
                  <c:v>778.2</c:v>
                </c:pt>
                <c:pt idx="6">
                  <c:v>106.73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6-443B-88F6-B0ABCB3C4605}"/>
            </c:ext>
          </c:extLst>
        </c:ser>
        <c:ser>
          <c:idx val="1"/>
          <c:order val="1"/>
          <c:tx>
            <c:strRef>
              <c:f>RH!$X$4</c:f>
              <c:strCache>
                <c:ptCount val="1"/>
                <c:pt idx="0">
                  <c:v>Set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RH!$V$5:$V$11</c:f>
              <c:strCache>
                <c:ptCount val="7"/>
                <c:pt idx="0">
                  <c:v>Salários</c:v>
                </c:pt>
                <c:pt idx="1">
                  <c:v>INSS</c:v>
                </c:pt>
                <c:pt idx="2">
                  <c:v>Trabalho Extra</c:v>
                </c:pt>
                <c:pt idx="3">
                  <c:v>Benefícios</c:v>
                </c:pt>
                <c:pt idx="4">
                  <c:v>FGTS</c:v>
                </c:pt>
                <c:pt idx="5">
                  <c:v>Treinamentos</c:v>
                </c:pt>
                <c:pt idx="6">
                  <c:v>Taxa Estagiários</c:v>
                </c:pt>
              </c:strCache>
            </c:strRef>
          </c:cat>
          <c:val>
            <c:numRef>
              <c:f>RH!$X$5:$X$11</c:f>
              <c:numCache>
                <c:formatCode>#,##0</c:formatCode>
                <c:ptCount val="7"/>
                <c:pt idx="0">
                  <c:v>19246.02</c:v>
                </c:pt>
                <c:pt idx="1">
                  <c:v>3107.19</c:v>
                </c:pt>
                <c:pt idx="2">
                  <c:v>1450</c:v>
                </c:pt>
                <c:pt idx="3">
                  <c:v>2699.9</c:v>
                </c:pt>
                <c:pt idx="4">
                  <c:v>858.17</c:v>
                </c:pt>
                <c:pt idx="5">
                  <c:v>485.9</c:v>
                </c:pt>
                <c:pt idx="6">
                  <c:v>106.73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56-443B-88F6-B0ABCB3C4605}"/>
            </c:ext>
          </c:extLst>
        </c:ser>
        <c:ser>
          <c:idx val="2"/>
          <c:order val="2"/>
          <c:tx>
            <c:strRef>
              <c:f>RH!$Y$4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RH!$V$5:$V$11</c:f>
              <c:strCache>
                <c:ptCount val="7"/>
                <c:pt idx="0">
                  <c:v>Salários</c:v>
                </c:pt>
                <c:pt idx="1">
                  <c:v>INSS</c:v>
                </c:pt>
                <c:pt idx="2">
                  <c:v>Trabalho Extra</c:v>
                </c:pt>
                <c:pt idx="3">
                  <c:v>Benefícios</c:v>
                </c:pt>
                <c:pt idx="4">
                  <c:v>FGTS</c:v>
                </c:pt>
                <c:pt idx="5">
                  <c:v>Treinamentos</c:v>
                </c:pt>
                <c:pt idx="6">
                  <c:v>Taxa Estagiários</c:v>
                </c:pt>
              </c:strCache>
            </c:strRef>
          </c:cat>
          <c:val>
            <c:numRef>
              <c:f>RH!$Y$5:$Y$11</c:f>
              <c:numCache>
                <c:formatCode>#,##0</c:formatCode>
                <c:ptCount val="7"/>
                <c:pt idx="0">
                  <c:v>21870.579999999998</c:v>
                </c:pt>
                <c:pt idx="1">
                  <c:v>3959.05</c:v>
                </c:pt>
                <c:pt idx="2">
                  <c:v>1400</c:v>
                </c:pt>
                <c:pt idx="3">
                  <c:v>1334</c:v>
                </c:pt>
                <c:pt idx="4">
                  <c:v>997.52</c:v>
                </c:pt>
                <c:pt idx="5">
                  <c:v>288.89999999999998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56-443B-88F6-B0ABCB3C46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2421216"/>
        <c:axId val="592418336"/>
      </c:barChart>
      <c:catAx>
        <c:axId val="59242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418336"/>
        <c:crosses val="autoZero"/>
        <c:auto val="1"/>
        <c:lblAlgn val="ctr"/>
        <c:lblOffset val="100"/>
        <c:noMultiLvlLbl val="0"/>
      </c:catAx>
      <c:valAx>
        <c:axId val="5924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4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</xdr:colOff>
      <xdr:row>15</xdr:row>
      <xdr:rowOff>85724</xdr:rowOff>
    </xdr:from>
    <xdr:to>
      <xdr:col>29</xdr:col>
      <xdr:colOff>466725</xdr:colOff>
      <xdr:row>38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B3D74-396A-49AE-88B9-1C7914CA9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263115</xdr:colOff>
      <xdr:row>15</xdr:row>
      <xdr:rowOff>126739</xdr:rowOff>
    </xdr:from>
    <xdr:to>
      <xdr:col>33</xdr:col>
      <xdr:colOff>497430</xdr:colOff>
      <xdr:row>39</xdr:row>
      <xdr:rowOff>32386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5165C-3D81-8E8D-6727-DE218030A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200025</xdr:colOff>
      <xdr:row>23</xdr:row>
      <xdr:rowOff>142873</xdr:rowOff>
    </xdr:from>
    <xdr:to>
      <xdr:col>33</xdr:col>
      <xdr:colOff>438150</xdr:colOff>
      <xdr:row>48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FC29B9-133F-4B5A-9A00-3E177712B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200025</xdr:colOff>
      <xdr:row>23</xdr:row>
      <xdr:rowOff>142873</xdr:rowOff>
    </xdr:from>
    <xdr:to>
      <xdr:col>31</xdr:col>
      <xdr:colOff>438150</xdr:colOff>
      <xdr:row>48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1B6B00-EC00-4185-B6F2-9483B93DA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200025</xdr:colOff>
      <xdr:row>23</xdr:row>
      <xdr:rowOff>142873</xdr:rowOff>
    </xdr:from>
    <xdr:to>
      <xdr:col>35</xdr:col>
      <xdr:colOff>438150</xdr:colOff>
      <xdr:row>48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D21187-40F4-4B5D-93B6-7C4F131FB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Dias Machado" refreshedDate="45747.984604282407" createdVersion="8" refreshedVersion="8" minRefreshableVersion="3" recordCount="423" xr:uid="{1BD94E6B-7742-46B6-9751-AB73F029D53B}">
  <cacheSource type="worksheet">
    <worksheetSource ref="A1:M424" sheet="Base"/>
  </cacheSource>
  <cacheFields count="16">
    <cacheField name="Data" numFmtId="14">
      <sharedItems containsSemiMixedTypes="0" containsNonDate="0" containsDate="1" containsString="0" minDate="2024-12-02T00:00:00" maxDate="2025-04-01T00:00:00" count="79"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4T00:00:00"/>
        <d v="2024-12-16T00:00:00"/>
        <d v="2024-12-17T00:00:00"/>
        <d v="2024-12-19T00:00:00"/>
        <d v="2024-12-20T00:00:00"/>
        <d v="2024-12-23T00:00:00"/>
        <d v="2024-12-27T00:00:00"/>
        <d v="2024-12-30T00:00:00"/>
        <d v="2024-12-31T00:00:00"/>
        <d v="2025-01-0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8T00:00:00"/>
        <d v="2025-01-29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8T00:00:00"/>
        <d v="2025-03-01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8T00:00:00"/>
        <d v="2025-03-31T00:00:00"/>
      </sharedItems>
      <fieldGroup par="15"/>
    </cacheField>
    <cacheField name="Conta Financeira" numFmtId="0">
      <sharedItems/>
    </cacheField>
    <cacheField name="Descricao" numFmtId="0">
      <sharedItems/>
    </cacheField>
    <cacheField name="Categoria" numFmtId="0">
      <sharedItems count="34">
        <s v="INV - Consultoria Financeira"/>
        <s v="ADM - Assessoria Contábil"/>
        <s v="Honorários"/>
        <s v="ADM - Serviços de TI"/>
        <s v="FIN - Tarifas Bancárias"/>
        <s v="COM - Viagens e Hospedagens"/>
        <s v="ADM - Cartão de Crédito"/>
        <s v="Despesa do cliente"/>
        <s v="ADM - Internet e Telefonia"/>
        <s v="ADM - Limpeza"/>
        <s v="ADM - Condomínios"/>
        <s v="ADM - Lanches, Refeições, Copa e Cozinha"/>
        <s v="ADM - Softwares"/>
        <s v="PES - Taxa Estagiários"/>
        <s v="ADM - Manutenção do Escritório"/>
        <s v="PES - Salários"/>
        <s v="COM - Brindes e Presentes"/>
        <s v="ADM - Água e Esgoto"/>
        <s v="PES - FGTS"/>
        <s v="PES - INSS"/>
        <s v="VAR - Simples Nacional"/>
        <s v="ADM - Energia Elétrica"/>
        <s v="DIR - Distribuição de Lucros"/>
        <s v="DIR - Pró-labore"/>
        <s v="INV - Investimento em Móveis e Utensílios"/>
        <s v="INV - Investimento em Informática e Celulares"/>
        <s v="ADM - Material de Escritório"/>
        <s v="COM - Outras Despesas Comerciais"/>
        <s v="VAR - Comissões e Bonificações"/>
        <s v="ADM - IPTU"/>
        <s v="T&amp;O - Taxas Diversas"/>
        <s v="COM - Combustíveis"/>
        <s v="PES - Treinamentos"/>
        <s v="COM - Impressos Gráficos"/>
      </sharedItems>
    </cacheField>
    <cacheField name="Centro de custo" numFmtId="0">
      <sharedItems count="10">
        <s v="INV"/>
        <s v="ADM"/>
        <s v="Honorários"/>
        <s v="FIN"/>
        <s v="COM"/>
        <s v="Despesa do cliente"/>
        <s v="PES"/>
        <s v="VAR"/>
        <s v="DIR"/>
        <s v="T&amp;O"/>
      </sharedItems>
    </cacheField>
    <cacheField name="Pago para / Recebido de" numFmtId="0">
      <sharedItems/>
    </cacheField>
    <cacheField name="Cliente" numFmtId="0">
      <sharedItems/>
    </cacheField>
    <cacheField name="Documento" numFmtId="0">
      <sharedItems containsBlank="1"/>
    </cacheField>
    <cacheField name="Caso" numFmtId="0">
      <sharedItems containsBlank="1"/>
    </cacheField>
    <cacheField name="Responsavel" numFmtId="0">
      <sharedItems/>
    </cacheField>
    <cacheField name="Valor" numFmtId="4">
      <sharedItems containsSemiMixedTypes="0" containsString="0" containsNumber="1" minValue="-23725.45" maxValue="33893.51"/>
    </cacheField>
    <cacheField name="Tipo" numFmtId="0">
      <sharedItems/>
    </cacheField>
    <cacheField name="Status" numFmtId="0">
      <sharedItems containsBlank="1" count="4">
        <s v="Pago"/>
        <s v="Recebido"/>
        <s v="Não recebido"/>
        <m/>
      </sharedItems>
    </cacheField>
    <cacheField name="Months (Data)" numFmtId="0" databaseField="0">
      <fieldGroup base="0">
        <rangePr groupBy="months" startDate="2024-12-02T00:00:00" endDate="2025-04-01T00:00:00"/>
        <groupItems count="14">
          <s v="&lt;02/12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4/2025"/>
        </groupItems>
      </fieldGroup>
    </cacheField>
    <cacheField name="Quarters (Data)" numFmtId="0" databaseField="0">
      <fieldGroup base="0">
        <rangePr groupBy="quarters" startDate="2024-12-02T00:00:00" endDate="2025-04-01T00:00:00"/>
        <groupItems count="6">
          <s v="&lt;02/12/2024"/>
          <s v="Qtr1"/>
          <s v="Qtr2"/>
          <s v="Qtr3"/>
          <s v="Qtr4"/>
          <s v="&gt;01/04/2025"/>
        </groupItems>
      </fieldGroup>
    </cacheField>
    <cacheField name="Years (Data)" numFmtId="0" databaseField="0">
      <fieldGroup base="0">
        <rangePr groupBy="years" startDate="2024-12-02T00:00:00" endDate="2025-04-01T00:00:00"/>
        <groupItems count="4">
          <s v="&lt;02/12/2024"/>
          <s v="2024"/>
          <s v="2025"/>
          <s v="&gt;01/0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Dias Machado" refreshedDate="45936.005087384263" createdVersion="8" refreshedVersion="8" minRefreshableVersion="3" recordCount="1239" xr:uid="{F5922FEC-A34E-49B7-A572-F57DA42BD6DD}">
  <cacheSource type="worksheet">
    <worksheetSource ref="A1:M1240" sheet="Base"/>
  </cacheSource>
  <cacheFields count="16">
    <cacheField name="Data" numFmtId="14">
      <sharedItems containsSemiMixedTypes="0" containsNonDate="0" containsDate="1" containsString="0" minDate="2024-12-02T00:00:00" maxDate="2025-10-01T00:00:00" count="200"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4T00:00:00"/>
        <d v="2024-12-16T00:00:00"/>
        <d v="2024-12-17T00:00:00"/>
        <d v="2024-12-19T00:00:00"/>
        <d v="2024-12-20T00:00:00"/>
        <d v="2024-12-23T00:00:00"/>
        <d v="2024-12-27T00:00:00"/>
        <d v="2024-12-30T00:00:00"/>
        <d v="2024-12-31T00:00:00"/>
        <d v="2025-01-0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8T00:00:00"/>
        <d v="2025-01-29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8T00:00:00"/>
        <d v="2025-03-01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8T00:00:00"/>
        <d v="2025-03-31T00:00:00"/>
        <d v="2025-04-01T00:00:00"/>
        <d v="2025-04-02T00:00:00"/>
        <d v="2025-04-03T00:00:00"/>
        <d v="2025-04-04T00:00:00"/>
        <d v="2025-04-05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20T00:00:00"/>
        <d v="2025-04-21T00:00:00"/>
        <d v="2025-04-22T00:00:00"/>
        <d v="2025-04-24T00:00:00"/>
        <d v="2025-04-25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5-31T00:00:00"/>
        <d v="2025-06-02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5T00:00:00"/>
        <d v="2025-07-07T00:00:00"/>
        <d v="2025-07-08T00:00:00"/>
        <d v="2025-07-09T00:00:00"/>
        <d v="2025-07-10T00:00:00"/>
        <d v="2025-07-11T00:00:00"/>
        <d v="2025-07-15T00:00:00"/>
        <d v="2025-07-16T00:00:00"/>
        <d v="2025-07-18T00:00:00"/>
        <d v="2025-07-21T00:00:00"/>
        <d v="2025-07-22T00:00:00"/>
        <d v="2025-07-23T00:00:00"/>
        <d v="2025-07-25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6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5T00:00:00"/>
        <d v="2025-09-26T00:00:00"/>
        <d v="2025-09-29T00:00:00"/>
        <d v="2025-09-30T00:00:00"/>
      </sharedItems>
      <fieldGroup par="15"/>
    </cacheField>
    <cacheField name="Conta Financeira" numFmtId="0">
      <sharedItems/>
    </cacheField>
    <cacheField name="Descricao" numFmtId="0">
      <sharedItems/>
    </cacheField>
    <cacheField name="Categoria" numFmtId="0">
      <sharedItems count="44">
        <s v="INV - Consultoria Financeira"/>
        <s v="ADM - Assessoria Contábil"/>
        <s v="Honorários"/>
        <s v="ADM - Serviços de TI"/>
        <s v="FIN - Tarifas Bancárias"/>
        <s v="COM - Viagens e Hospedagens"/>
        <s v="ADM - Cartão de Crédito"/>
        <s v="Despesa do cliente"/>
        <s v="ADM - Internet e Telefonia"/>
        <s v="ADM - Limpeza"/>
        <s v="ADM - Condomínios"/>
        <s v="ADM - Lanches, Refeições, Copa e Cozinha"/>
        <s v="ADM - Softwares"/>
        <s v="PES - Taxa Estagiários"/>
        <s v="ADM - Manutenção do Escritório"/>
        <s v="PES - Salários"/>
        <s v="COM - Brindes e Presentes"/>
        <s v="ADM - Água e Esgoto"/>
        <s v="PES - FGTS"/>
        <s v="PES - INSS"/>
        <s v="VAR - Simples Nacional"/>
        <s v="ADM - Energia Elétrica"/>
        <s v="DIR - Distribuição de Lucros"/>
        <s v="DIR - Pró-labore"/>
        <s v="INV - Investimento em Móveis e Utensílios"/>
        <s v="INV - Investimento em Informática e Celulares"/>
        <s v="ADM - Material de Escritório"/>
        <s v="COM - Outras Despesas Comerciais"/>
        <s v="VAR - Comissões e Bonificações"/>
        <s v="ADM - IPTU"/>
        <s v="T&amp;O - Taxas Diversas"/>
        <s v="COM - Combustíveis"/>
        <s v="PES - Treinamentos"/>
        <s v="COM - Impressos Gráficos"/>
        <s v="ADM - Assessorias"/>
        <s v="COM - Combustíveis e Táxi/Uber"/>
        <s v="COM - Alimentação em Viagens"/>
        <s v="Reembolso"/>
        <s v="INV - Rendimentos financeiros"/>
        <s v="ADM - Estacionamento e Transporte"/>
        <s v="Transferência"/>
        <s v="ADM - Seguros"/>
        <s v="PES - Trabalho Extra"/>
        <s v="ADM - Aluguel"/>
      </sharedItems>
    </cacheField>
    <cacheField name="Centro de custo" numFmtId="0">
      <sharedItems count="14">
        <s v="INV"/>
        <s v="ADM"/>
        <s v="Honorários"/>
        <s v="FIN"/>
        <s v="COM"/>
        <s v="Despesa do cliente"/>
        <s v="PES"/>
        <s v="VAR"/>
        <s v="DIR"/>
        <s v="T&amp;O"/>
        <s v="Reembolso"/>
        <s v="Transferência"/>
        <s v="Ree" u="1"/>
        <s v="Tra" u="1"/>
      </sharedItems>
    </cacheField>
    <cacheField name="Pago para / Recebido de" numFmtId="0">
      <sharedItems count="273">
        <s v="PROGRESSE CONSULTORIA EMPRESARIAL"/>
        <s v="CARLOS ALBERTO GRACIANO RODRIGUES"/>
        <s v="MARIA DA SILVA NOGUEIRA"/>
        <s v="ADOLFA MARIA DE JESUS ALMEIDA"/>
        <s v="Rhuan Carlos Batista"/>
        <s v="BANCO ITAU"/>
        <s v="ODORICO CANASSA BIANCHINI JUNIOR"/>
        <s v="Sarah Alves Lisboa"/>
        <s v="EDSON RAEL DE OLIVEIRA"/>
        <s v="Itau Cartões"/>
        <s v="ISABEL PEREIRA SOUSA"/>
        <s v="LENIR MARIA DOS SANTOS LIMA"/>
        <s v="ANDREZA CESARIA DA SILVA RODRIGUES"/>
        <s v="NATALIA ALVES DA SILVA"/>
        <s v="VIVO"/>
        <s v="ELIZANGELA FERREIRA DA SILVA"/>
        <s v="ATON BUSINESS STYLE"/>
        <s v="CALEB FERNANDES BARCELLOS REPRESENTADO PELA ROSALIA FERNANDES TEIXEIRA"/>
        <s v="ISABELLA ALVIM BIACHINI"/>
        <s v="PRO JURIDICO"/>
        <s v="ANTONIO MOREIRA DOS SANTOS"/>
        <s v="IEL"/>
        <s v="BANCO DO BRASIL S/A"/>
        <s v="SONIA MARIA DA SILVA"/>
        <s v="Luiz Antonio Sousa de Morais"/>
        <s v="ANA MARIA DE JESUS"/>
        <s v="JULIANI DOMINGOS DOS REIS"/>
        <s v="Thaynara Borges Pereira"/>
        <s v="LEONARDO MATEUS BATISTA DE OLIVEIRA"/>
        <s v="AVISO URGENTE T I LTDA"/>
        <s v="ELVIO DE OLIVEIRA SOARES"/>
        <s v="UBIRACI LOSI"/>
        <s v="Raffaela Nunes"/>
        <s v="A mesma (Pessoa de contato de: Alci Ferraz de Aguiar Barbosa)"/>
        <s v="SANEAGO GOIAS S/A"/>
        <s v="Ministério do Trabalho e Emprego"/>
        <s v="GILNETH VIDAL DOS SANTOS"/>
        <s v="Nina Araujo"/>
        <s v="Receita Federal"/>
        <s v="Simples Nacional"/>
        <s v="GLEYCIANNE RIBEIRO DE SOUZA CABRAL"/>
        <s v="LUZIMEIRE MARTINS COSTA ALVES"/>
        <s v="JOSE NILTON FERREIRA DE SOUZA"/>
        <s v="ANA ELIA DE SOUZA MANSE"/>
        <s v="FRANCISCA DA COSTA GOMES OLIVEIRA"/>
        <s v="EQUATORIAL GOIAS"/>
        <s v="Laura Barbosa Marques"/>
        <s v="C6"/>
        <s v="MARIA DAS GRAÇAS MOREIRA DA SILVA"/>
        <s v="JOSELINA ROSA DE SANTANA"/>
        <s v="MARIA JOSE FONSECA ARAUJO MELO ROSETE GOIS"/>
        <s v="ANTÔNIO BARBOSA DA SILVA FILHO"/>
        <s v="Jose Francisco Rodrigues da Silva"/>
        <s v="MARCOS ANTONIO LOURENÇO DE TOLEDO"/>
        <s v="LEILA DIAS MARTINS"/>
        <s v="Mercado Livre"/>
        <s v="FABIANO MAGNO CESAR"/>
        <s v="GERENIAS GOMES DA SILVA"/>
        <s v="PABLO CASSIO MENDES"/>
        <s v="ANTONIO PEREIRA SOBRINHO"/>
        <s v="JOÃO BAREICHA FERREIRA GALVÃO"/>
        <s v="MARIA APARECIDA DA COSTA DIAS"/>
        <s v="ANA PEREIRA DA SILVA JESUS"/>
        <s v="DJEROWILSON ARAÚJO GONÇALVES"/>
        <s v="AMARILDO DE MOURA"/>
        <s v="LISBOA E LISBOA ADVOGADOS ASSOCIADOS"/>
        <s v="KESIA DA SILVA RIBEIRO"/>
        <s v="LUCILENE DOMINGUES DE OLIVEIRA"/>
        <s v="ESPÓLIO DE REGINALDO DE SOUZA LIRA"/>
        <s v="Nathalia Louiz Alves Vigilato"/>
        <s v="SANDRA MARIA SOARES"/>
        <s v="PREFEITURA MUNICIPAL DE GOIÂNIA"/>
        <s v="EVANILZA ARAUJO MORAES"/>
        <s v="MARINA MARIA DA CRUZ BARRETO"/>
        <s v="OAB"/>
        <s v="JULIANA VILELA DA PAIXÃO"/>
        <s v="ABSAIR MANOEL LAZARO"/>
        <s v="HELENA CRISTINA DE MELO"/>
        <s v="SUELLEN DE JESUS LIMA"/>
        <s v="KOPENHAGEN"/>
        <s v="MARIA DE LOURDES NASCIMENTO"/>
        <s v="HUMBERTO PEREIRA DA COSTA"/>
        <s v="IRISMAR REGINA BORGES"/>
        <s v="JOÃO BATISTA RIBAS"/>
        <s v="MARIA AMELIA DE SOUSA MENDES"/>
        <s v="IACY DA SILVA MAGALHÃES"/>
        <s v="MÔNICA MENDES DA COSTA"/>
        <s v="SEBASTIAO PEIXOTO DE EDILANDIA (Pessoa de contato de: WILMAR ANASTACIO DOS SANTOS)"/>
        <s v="ARISTEU GONÇALVES DA CRUZ"/>
        <s v="GEDILANE ROSA DE SA FERREIRA"/>
        <s v="[$empty$]"/>
        <s v="EQUATORIAL GOIAS 0067122663"/>
        <s v="SIRLENE PEREIRA DE RESENDE GRATAO"/>
        <s v="MARUZALEN FERREIRA DA CRUZ"/>
        <s v="EQUATORIAL GOIAS 0067122721"/>
        <s v="ISMAEL ALVES MADUREIRA"/>
        <s v="VALDIR DE PAIVA BRASIL"/>
        <s v="PAULO MENEZES DA SILVA"/>
        <s v="VIVO FIXO"/>
        <s v="HELTON GONÇALVES BARSANULFO"/>
        <s v="CLAUDIA NUNES DOS SANTOS BARCELOS"/>
        <s v="JOSÉ ROBERTO PEREIRA DA SILVA"/>
        <s v="VALNEI PORTO MACHADO"/>
        <s v="ELLEN BORGES PEREIRA"/>
        <s v="LEILA DO CARMO GONÇALVES OLIVEIRA"/>
        <s v="NOBREAK E CIA"/>
        <s v="CARMEM LUCIA MENDES DE OLIVEIRA"/>
        <s v="CAIO FERNANDES BORGES"/>
        <s v="COSME FREIRE BESSA"/>
        <s v="NIC BR"/>
        <s v="VALERIA ALVES VIEIRA"/>
        <s v="Eliane Teixeira do Nascimento Souza"/>
        <s v="IVAN GUSTAVO JUNIO SANTOS TRINDADE"/>
        <s v="VALDOMIRO ROSA DE OLIVEIRA"/>
        <s v="ANDERSON FRADIQUE VINHAL RIBEIRO PEREIRA"/>
        <s v="KABUM"/>
        <s v="Katyucia G Santos"/>
        <s v="Maura Cardoso Borges"/>
        <s v="DIGITAL COPIAS - GRÁFICA"/>
        <s v="IRANY CARDOSO TEIXEIRA"/>
        <s v="SIMONE BERNARDES DA SILVA SANTANA"/>
        <s v="ELON NOLETO ROCHA"/>
        <s v="IDEAL DEDETIZADORA E DESENTUPIDORA"/>
        <s v="KARINE RODRIGUES DA SILVA / LAUDIMAR MARCIANO"/>
        <s v="CARLA SILVA (CESTAS)"/>
        <s v="DARLENE CAIXETA DOS SANTOS"/>
        <s v="POSTO 2824"/>
        <s v="PATRICIA DE GODOI MACHADO"/>
        <s v="Clóvis Ribeiro de Morais Neto"/>
        <s v="HERMINIO ALVES DO NASCIMENTO"/>
        <s v="LUENE DE OLIVEIRA GOMES"/>
        <s v="MARIA DO ROSARIO ALVES 169.892.791-68"/>
        <s v="CAIRO OSMUNDO DA SILVA"/>
        <s v="FGTS"/>
        <s v="SUPERMERCADO MOREIRA"/>
        <s v="IMPERIO VIAGEM E TURISMO"/>
        <s v="SOMMA DESIGN STUDIO LTDA"/>
        <s v="R3 SUPRIMENTOS CORPORATIVOS LTDA"/>
        <s v="JERIVA"/>
        <s v="POSTO SHUKRAN"/>
        <s v="POSTO GM"/>
        <s v="WANADY JARBAS GRACIO SOARES"/>
        <s v="PAULA EMILYE ROSA"/>
        <s v="Katyucia Gomes"/>
        <s v="INSS - INSTITUTO NACIONAL DO SEGURO SOCIAL"/>
        <s v="VALDECI ALVES MOREIRA"/>
        <s v="MARIA EVA PEREIRA DE QUEIROZ"/>
        <s v="VERA LUCIA PEREIRA DE OLIVEIRA"/>
        <s v="ZOOP tecnologia"/>
        <s v="LUCIA ALMEIDA VIEIRA"/>
        <s v="BENEDITO ADELAR DA SILVA"/>
        <s v="IURY RENNER PEREIRA DE SOUZA"/>
        <s v="FRYDA MYRNA GONÇALVES PRATES DE OLIVEIRA REIS"/>
        <s v="HERBERTH ALVES PEREIRA"/>
        <s v="ANTONIO FERNANDES DA SILVA"/>
        <s v="GILBERTO ORTIZ DA CRUZ"/>
        <s v="MARTA FREITAS DA COSTA"/>
        <s v="SERGIO HENRIQUE  MOREIRA LOPES"/>
        <s v="POSTO ANTONELLI"/>
        <s v="Maria Lourdes Feitosa do Nascimento"/>
        <s v="MARIA EDUARDA SOUZA"/>
        <s v="APARECIDA DOS SANTOS/ ADRIANA PAULA DOS SANTOS VIVEIROS/ DANIELA PAULA"/>
        <s v="VALDELICE DA SILVA MENDES"/>
        <s v="AVENIR RODRIGUES GOMES SOBRINHO"/>
        <s v="ROSALIA SOARES LEITE"/>
        <s v="IRISOLANDA AMARAL DA SILVA"/>
        <s v="MARIA EDUARDA DE SOUZA"/>
        <s v="SYMPLA"/>
        <s v="JOSE VITORIO DE CARVALHO JUNIOR"/>
        <s v="DALILA DE JESUS MORAES ROCHA"/>
        <s v="MARCOS HENRIQUE SILVA SANTOS"/>
        <s v="CAROLINE MATOS DE SOUZA"/>
        <s v="COSTA ATACADISTA"/>
        <s v="EDUZZ TECNOLOGIA LTDA"/>
        <s v="MARIA MADALENA ALVES DA SILVA PAULA"/>
        <s v="LENY CORREIA DOS SANTOS"/>
        <s v="LUCIANNA LEAO DIAS DOS REIS"/>
        <s v="DR SILVIO CARNEIRO"/>
        <s v="SAQUE DE VALORES"/>
        <s v="JAIME RODRIGUES DE SOUZA"/>
        <s v="EXTRA CARTUCHOS"/>
        <s v="MATHEUS HENRIQUE DE CARVALHO MIRANDA"/>
        <s v="LUZIA VIEIRA DE JESUS NASCIMENTO"/>
        <s v="SEBASTIAO RIBEIRO NETO"/>
        <s v="SANDIA MOTTA MELO"/>
        <s v="JOSELITA ALMEIDA DE SOUSA PEREIRA"/>
        <s v="JOAO FERNANDES SOBRINHO"/>
        <s v="ALINE NAOMI KAWAKAMI"/>
        <s v="ISAEL MARCULINO DOS SANTOS"/>
        <s v="MARIA MACIEL DE CARVALHO"/>
        <s v="GENI MOURA NEVES"/>
        <s v="NILVANDA CANDIDA DE MOURA OLIVEIRA"/>
        <s v="ANA CAROLINA SOARES DA SILVA"/>
        <s v="NATANNE KELLY REIS DE SOUZA"/>
        <s v="LUZIA FERREIRA AREBAS SHIMADA"/>
        <s v="TELMA ROSA PEREIRA"/>
        <s v="Maria Alves Madureira"/>
        <s v="ALDENY TELES DE OLIVEIRA NUNES"/>
        <s v="LUCIANA TATIANA FERREIRA"/>
        <s v="LUCIMAR APARECIDA DOS REIS"/>
        <s v="AUO POSTO MINAS"/>
        <s v="EMPORIO WL BOLOS"/>
        <s v="VALENTINA SOUSA FONSECA"/>
        <s v="RAFHAEL LISBOA DA SILVA"/>
        <s v="DOMINGOS DA TRINDADE SILVA"/>
        <s v="DIVINA PEREIRA DA SILVA"/>
        <s v="GLAUCINEIDE RODRIGUES DA SILVA"/>
        <s v="BANCO ITAÚ S/A"/>
        <s v="CASERATTO"/>
        <s v="EDVAN CANDIDO DOS SANTOS"/>
        <s v="MIRIAM LINA PINTO DOS SANTOS"/>
        <s v="ELIENE SOUZA SILVA"/>
        <s v="DANIELA MIGUEL SILVA"/>
        <s v="Itaú - Lisboa e Lisboa"/>
        <s v="Banco do Brasil - Sarah Alves Lisboa"/>
        <s v="DEA LUCIA DA SILVA DAVID"/>
        <s v="MARIA APARECIDA SILVA ALVES/ IVANILTON ROCHA ALVES"/>
        <s v="CECILIA GONÇALVES DA SILVA"/>
        <s v="HELIO CURADO FROES"/>
        <s v="ROGERIO JOSE DA SILVEIRA"/>
        <s v="JOSE RENATO MARTINS"/>
        <s v="SAMARA ALMEIDA BOGEA"/>
        <s v="LUIZ CARLOS FERREIRA DE MELO"/>
        <s v="LUCA RACHED NADER"/>
        <s v="ADAIR PEREIRA DA SILVA"/>
        <s v="HOSTGATOR"/>
        <s v="PORTO SEGURO COMPANHIA DE SEGUROS GERAIS"/>
        <s v="Fernanda Aparecida de Farias"/>
        <s v="HADASSA  ANJOS DE ALMEIDA LEMES"/>
        <s v="POSTO TAMANDARÉ"/>
        <s v="MARIA L F NASCIMENTO"/>
        <s v="ELIO DIVINO NUNES DE BARROS"/>
        <s v="LAIRCE CORREA BARBOSA FRUTUOSO"/>
        <s v="ELCIMAR LOURENÇO DE SOUSA"/>
        <s v="ARLINDO LEITE DOS SANTOS"/>
        <s v="Dra Raffaela Nunes"/>
        <s v="CLEUSA ALVES RIBEIRO"/>
        <s v="INQS - Instituto Nacional da Qualidade Social"/>
        <s v="TALYTA VASCONCELOS MELO"/>
        <s v="MARKETPLACE"/>
        <s v="TEREZINHA CUSTODIO DE OLIVEIRA"/>
        <s v="ERINALVA DOS SANTOS ALMEIDA"/>
        <s v="ANNA CLARA JARDIM"/>
        <s v="GENILDO JANUARIO LEITE"/>
        <s v="GIRLENE FERREIRA DA MATA"/>
        <s v="AGDA SODRE DA SILVA SOUZA"/>
        <s v="Juarez Fernandes Da Silva"/>
        <s v="ELISEU FRADIQUE MARÇAL"/>
        <s v="LOURIVALDO SANTOS DE SOUZA"/>
        <s v="SEBASTIAO PEIXOTO DE OLIVEIRA"/>
        <s v="Maria Eduarda"/>
        <s v="ASSAI ATACADISTA"/>
        <s v="FASBEN SAO BENTO EDUCACIONAL LTDA"/>
        <s v="GEAN CARLOS DE SOUZA"/>
        <s v="ASA*CURSOSESPECCIALJUS"/>
        <s v="MARIA DA GLORIA RESENDE PAULA"/>
        <s v="Eduardo S. Oliveira"/>
        <s v="ADILSON GOMES GUIMARAES"/>
        <s v="COSME DOS SANTOS VAZ"/>
        <s v="BEIJA-FLOR TINTAS"/>
        <s v="Selma Regina Gebrim Ribeiro"/>
        <s v="RAFAELA DAMASIO DE ALMEIDA"/>
        <s v="REGINA CELIA COLLIENNE"/>
        <s v="CARNEIRO E OLIVEIRA ADVOGADOS"/>
        <s v="MARLENE MARIA DOS SANTOS"/>
        <s v="PORTAL DISTRIBUIDORA"/>
        <s v="IOLANDA ABADIA DE JESUS DIAS"/>
        <s v="MARIA JOSEFA DA CONCEIÇÃO"/>
        <s v="BEIJA FLOR TINTAS"/>
        <s v="CENTERFLEX PERSIANAS E CORTINAS"/>
        <s v="WILLIAM DUARTE DE SOUZA"/>
        <s v="FLUIR MULTICLINICA EM SAÚDE"/>
        <s v="SIRLEY PAULINO DE LIMA"/>
      </sharedItems>
    </cacheField>
    <cacheField name="Cliente" numFmtId="0">
      <sharedItems/>
    </cacheField>
    <cacheField name="Documento" numFmtId="0">
      <sharedItems containsBlank="1"/>
    </cacheField>
    <cacheField name="Caso" numFmtId="0">
      <sharedItems containsBlank="1"/>
    </cacheField>
    <cacheField name="Responsavel" numFmtId="0">
      <sharedItems/>
    </cacheField>
    <cacheField name="Valor" numFmtId="4">
      <sharedItems containsSemiMixedTypes="0" containsString="0" containsNumber="1" minValue="-125902.51" maxValue="201999.94"/>
    </cacheField>
    <cacheField name="Tipo" numFmtId="0">
      <sharedItems/>
    </cacheField>
    <cacheField name="Status" numFmtId="0">
      <sharedItems containsBlank="1" count="5">
        <s v="Pago"/>
        <s v="Recebido"/>
        <s v="Não recebido"/>
        <m/>
        <s v="Não pago"/>
      </sharedItems>
    </cacheField>
    <cacheField name="Months (Data)" numFmtId="0" databaseField="0">
      <fieldGroup base="0">
        <rangePr groupBy="months" startDate="2024-12-02T00:00:00" endDate="2025-10-01T00:00:00"/>
        <groupItems count="14">
          <s v="&lt;02/12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10/2025"/>
        </groupItems>
      </fieldGroup>
    </cacheField>
    <cacheField name="Quarters (Data)" numFmtId="0" databaseField="0">
      <fieldGroup base="0">
        <rangePr groupBy="quarters" startDate="2024-12-02T00:00:00" endDate="2025-10-01T00:00:00"/>
        <groupItems count="6">
          <s v="&lt;02/12/2024"/>
          <s v="Qtr1"/>
          <s v="Qtr2"/>
          <s v="Qtr3"/>
          <s v="Qtr4"/>
          <s v="&gt;01/10/2025"/>
        </groupItems>
      </fieldGroup>
    </cacheField>
    <cacheField name="Years (Data)" numFmtId="0" databaseField="0">
      <fieldGroup base="0">
        <rangePr groupBy="years" startDate="2024-12-02T00:00:00" endDate="2025-10-01T00:00:00"/>
        <groupItems count="4">
          <s v="&lt;02/12/2024"/>
          <s v="2024"/>
          <s v="2025"/>
          <s v="&gt;01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Dias Machado" refreshedDate="45992.5375599537" createdVersion="8" refreshedVersion="8" minRefreshableVersion="3" recordCount="1565" xr:uid="{527C9C04-8F91-47ED-BCC2-14CC51D5EE9E}">
  <cacheSource type="worksheet">
    <worksheetSource ref="A1:M1566" sheet="Base"/>
  </cacheSource>
  <cacheFields count="16">
    <cacheField name="Data" numFmtId="14">
      <sharedItems containsSemiMixedTypes="0" containsNonDate="0" containsDate="1" containsString="0" minDate="2024-12-02T00:00:00" maxDate="2025-11-29T00:00:00" count="243"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4T00:00:00"/>
        <d v="2024-12-16T00:00:00"/>
        <d v="2024-12-17T00:00:00"/>
        <d v="2024-12-19T00:00:00"/>
        <d v="2024-12-20T00:00:00"/>
        <d v="2024-12-23T00:00:00"/>
        <d v="2024-12-27T00:00:00"/>
        <d v="2024-12-30T00:00:00"/>
        <d v="2024-12-31T00:00:00"/>
        <d v="2025-01-0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8T00:00:00"/>
        <d v="2025-01-29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8T00:00:00"/>
        <d v="2025-03-01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8T00:00:00"/>
        <d v="2025-03-31T00:00:00"/>
        <d v="2025-04-01T00:00:00"/>
        <d v="2025-04-02T00:00:00"/>
        <d v="2025-04-03T00:00:00"/>
        <d v="2025-04-04T00:00:00"/>
        <d v="2025-04-05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20T00:00:00"/>
        <d v="2025-04-21T00:00:00"/>
        <d v="2025-04-22T00:00:00"/>
        <d v="2025-04-24T00:00:00"/>
        <d v="2025-04-25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5-31T00:00:00"/>
        <d v="2025-06-02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5T00:00:00"/>
        <d v="2025-07-07T00:00:00"/>
        <d v="2025-07-08T00:00:00"/>
        <d v="2025-07-09T00:00:00"/>
        <d v="2025-07-10T00:00:00"/>
        <d v="2025-07-11T00:00:00"/>
        <d v="2025-07-15T00:00:00"/>
        <d v="2025-07-16T00:00:00"/>
        <d v="2025-07-18T00:00:00"/>
        <d v="2025-07-21T00:00:00"/>
        <d v="2025-07-22T00:00:00"/>
        <d v="2025-07-23T00:00:00"/>
        <d v="2025-07-25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6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7T00:00:00"/>
        <d v="2025-10-28T00:00:00"/>
        <d v="2025-10-29T00:00:00"/>
        <d v="2025-10-30T00:00:00"/>
        <d v="2025-10-31T00:00:00"/>
        <d v="2025-11-02T00:00:00"/>
        <d v="2025-11-03T00:00:00"/>
        <d v="2025-11-04T00:00:00"/>
        <d v="2025-11-05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9T00:00:00"/>
        <d v="2025-11-21T00:00:00"/>
        <d v="2025-11-24T00:00:00"/>
        <d v="2025-11-25T00:00:00"/>
        <d v="2025-11-26T00:00:00"/>
        <d v="2025-11-27T00:00:00"/>
        <d v="2025-11-28T00:00:00"/>
      </sharedItems>
      <fieldGroup par="15"/>
    </cacheField>
    <cacheField name="Conta Financeira" numFmtId="0">
      <sharedItems/>
    </cacheField>
    <cacheField name="Descricao" numFmtId="0">
      <sharedItems/>
    </cacheField>
    <cacheField name="Categoria" numFmtId="0">
      <sharedItems count="49">
        <s v="INV - Consultoria Financeira"/>
        <s v="ADM - Assessoria Contábil"/>
        <s v="Honorários"/>
        <s v="ADM - Serviços de TI"/>
        <s v="FIN - Tarifas Bancárias"/>
        <s v="COM - Viagens e Hospedagens"/>
        <s v="ADM - Cartão de Crédito"/>
        <s v="Despesa do cliente"/>
        <s v="ADM - Internet e Telefonia"/>
        <s v="ADM - Limpeza"/>
        <s v="ADM - Condomínios"/>
        <s v="ADM - Lanches, Refeições, Copa e Cozinha"/>
        <s v="ADM - Softwares"/>
        <s v="PES - Taxa Estagiários"/>
        <s v="ADM - Manutenção do Escritório"/>
        <s v="PES - Salários"/>
        <s v="COM - Brindes e Presentes"/>
        <s v="ADM - Água e Esgoto"/>
        <s v="PES - FGTS"/>
        <s v="PES - INSS"/>
        <s v="VAR - Simples Nacional"/>
        <s v="ADM - Energia Elétrica"/>
        <s v="DIR - Distribuição de Lucros"/>
        <s v="DIR - Pró-labore"/>
        <s v="INV - Investimento em Móveis e Utensílios"/>
        <s v="INV - Investimento em Informática e Celulares"/>
        <s v="ADM - Material de Escritório"/>
        <s v="COM - Outras Despesas Comerciais"/>
        <s v="VAR - Comissões e Bonificações"/>
        <s v="ADM - IPTU"/>
        <s v="T&amp;O - Taxas Diversas"/>
        <s v="COM - Combustíveis"/>
        <s v="PES - Treinamentos"/>
        <s v="COM - Impressos Gráficos"/>
        <s v="ADM - Assessorias"/>
        <s v="COM - Combustíveis e Táxi/Uber"/>
        <s v="COM - Alimentação em Viagens"/>
        <s v="Reembolso"/>
        <s v="INV - Rendimentos financeiros"/>
        <s v="ADM - Estacionamento e Transporte"/>
        <s v="Transferência"/>
        <s v="ADM - Seguros"/>
        <s v="PES - Trabalho Extra"/>
        <s v="ADM - Aluguel"/>
        <s v="ADM - Serviços de Terceiros"/>
        <s v="PES - Benefícios"/>
        <s v="Saldo inicial"/>
        <s v="T&amp;O - Cartão de Crédito" u="1"/>
        <s v="Pagamento Cartão de Crédito" u="1"/>
      </sharedItems>
    </cacheField>
    <cacheField name="Centro de custo" numFmtId="0">
      <sharedItems count="14">
        <s v="INV"/>
        <s v="ADM"/>
        <s v="Honorários"/>
        <s v="FIN"/>
        <s v="COM"/>
        <s v="Despesa do cliente"/>
        <s v="PES"/>
        <s v="VAR"/>
        <s v="DIR"/>
        <s v="T&amp;O"/>
        <s v="Reembolso"/>
        <s v="Transferência"/>
        <s v="Saldo inicial"/>
        <s v="Pagamento Cartão de Crédito" u="1"/>
      </sharedItems>
    </cacheField>
    <cacheField name="Pago para / Recebido de" numFmtId="0">
      <sharedItems/>
    </cacheField>
    <cacheField name="Cliente" numFmtId="0">
      <sharedItems/>
    </cacheField>
    <cacheField name="Documento" numFmtId="0">
      <sharedItems containsBlank="1"/>
    </cacheField>
    <cacheField name="Caso" numFmtId="0">
      <sharedItems containsBlank="1"/>
    </cacheField>
    <cacheField name="Responsavel" numFmtId="0">
      <sharedItems containsBlank="1"/>
    </cacheField>
    <cacheField name="Valor" numFmtId="165">
      <sharedItems containsSemiMixedTypes="0" containsString="0" containsNumber="1" minValue="-125902.51" maxValue="201999.94"/>
    </cacheField>
    <cacheField name="Tipo" numFmtId="0">
      <sharedItems/>
    </cacheField>
    <cacheField name="Status" numFmtId="0">
      <sharedItems containsBlank="1" count="5">
        <s v="Pago"/>
        <s v="Recebido"/>
        <s v="Não recebido"/>
        <m/>
        <s v="Não pago"/>
      </sharedItems>
    </cacheField>
    <cacheField name="Months (Data)" numFmtId="0" databaseField="0">
      <fieldGroup base="0">
        <rangePr groupBy="months" startDate="2024-12-02T00:00:00" endDate="2025-11-29T00:00:00"/>
        <groupItems count="14">
          <s v="&lt;02/12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9/11/2025"/>
        </groupItems>
      </fieldGroup>
    </cacheField>
    <cacheField name="Quarters (Data)" numFmtId="0" databaseField="0">
      <fieldGroup base="0">
        <rangePr groupBy="quarters" startDate="2024-12-02T00:00:00" endDate="2025-11-29T00:00:00"/>
        <groupItems count="6">
          <s v="&lt;02/12/2024"/>
          <s v="Qtr1"/>
          <s v="Qtr2"/>
          <s v="Qtr3"/>
          <s v="Qtr4"/>
          <s v="&gt;29/11/2025"/>
        </groupItems>
      </fieldGroup>
    </cacheField>
    <cacheField name="Years (Data)" numFmtId="0" databaseField="0">
      <fieldGroup base="0">
        <rangePr groupBy="years" startDate="2024-12-02T00:00:00" endDate="2025-11-29T00:00:00"/>
        <groupItems count="4">
          <s v="&lt;02/12/2024"/>
          <s v="2024"/>
          <s v="2025"/>
          <s v="&gt;29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Dias Machado" refreshedDate="46069.914764930552" createdVersion="8" refreshedVersion="8" minRefreshableVersion="3" recordCount="1915" xr:uid="{28495547-E7E1-4EDD-8663-AE7D2510585D}">
  <cacheSource type="worksheet">
    <worksheetSource ref="A1:M1916" sheet="Base"/>
  </cacheSource>
  <cacheFields count="16">
    <cacheField name="Data" numFmtId="14">
      <sharedItems containsSemiMixedTypes="0" containsNonDate="0" containsDate="1" containsString="0" minDate="2024-12-02T00:00:00" maxDate="2026-01-31T00:00:00" count="286"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4T00:00:00"/>
        <d v="2024-12-16T00:00:00"/>
        <d v="2024-12-17T00:00:00"/>
        <d v="2024-12-19T00:00:00"/>
        <d v="2024-12-20T00:00:00"/>
        <d v="2024-12-23T00:00:00"/>
        <d v="2024-12-27T00:00:00"/>
        <d v="2024-12-30T00:00:00"/>
        <d v="2024-12-31T00:00:00"/>
        <d v="2025-01-0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8T00:00:00"/>
        <d v="2025-01-29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8T00:00:00"/>
        <d v="2025-03-01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8T00:00:00"/>
        <d v="2025-03-31T00:00:00"/>
        <d v="2025-04-01T00:00:00"/>
        <d v="2025-04-02T00:00:00"/>
        <d v="2025-04-03T00:00:00"/>
        <d v="2025-04-04T00:00:00"/>
        <d v="2025-04-05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20T00:00:00"/>
        <d v="2025-04-21T00:00:00"/>
        <d v="2025-04-22T00:00:00"/>
        <d v="2025-04-24T00:00:00"/>
        <d v="2025-04-25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5-31T00:00:00"/>
        <d v="2025-06-02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5T00:00:00"/>
        <d v="2025-07-07T00:00:00"/>
        <d v="2025-07-08T00:00:00"/>
        <d v="2025-07-09T00:00:00"/>
        <d v="2025-07-10T00:00:00"/>
        <d v="2025-07-11T00:00:00"/>
        <d v="2025-07-15T00:00:00"/>
        <d v="2025-07-16T00:00:00"/>
        <d v="2025-07-18T00:00:00"/>
        <d v="2025-07-21T00:00:00"/>
        <d v="2025-07-22T00:00:00"/>
        <d v="2025-07-23T00:00:00"/>
        <d v="2025-07-25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6T00:00:00"/>
        <d v="2025-08-28T00:00:00"/>
        <d v="2025-08-29T00:00:00"/>
        <d v="2025-09-16T00:00:00"/>
        <d v="2025-09-05T00:00:00"/>
        <d v="2025-09-11T00:00:00"/>
        <d v="2025-09-02T00:00:00"/>
        <d v="2025-09-15T00:00:00"/>
        <d v="2025-09-12T00:00:00"/>
        <d v="2025-09-01T00:00:00"/>
        <d v="2025-09-10T00:00:00"/>
        <d v="2025-09-09T00:00:00"/>
        <d v="2025-09-22T00:00:00"/>
        <d v="2025-09-19T00:00:00"/>
        <d v="2025-09-25T00:00:00"/>
        <d v="2025-09-30T00:00:00"/>
        <d v="2025-09-17T00:00:00"/>
        <d v="2025-09-26T00:00:00"/>
        <d v="2025-09-08T00:00:00"/>
        <d v="2025-09-29T00:00:00"/>
        <d v="2025-09-03T00:00:00"/>
        <d v="2025-09-04T00:00:00"/>
        <d v="2025-09-23T00:00:00"/>
        <d v="2025-09-18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7T00:00:00"/>
        <d v="2025-10-28T00:00:00"/>
        <d v="2025-10-29T00:00:00"/>
        <d v="2025-10-30T00:00:00"/>
        <d v="2025-10-31T00:00:00"/>
        <d v="2025-11-02T00:00:00"/>
        <d v="2025-11-03T00:00:00"/>
        <d v="2025-11-04T00:00:00"/>
        <d v="2025-11-05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9T00:00:00"/>
        <d v="2025-11-21T00:00:00"/>
        <d v="2025-11-24T00:00:00"/>
        <d v="2025-11-25T00:00:00"/>
        <d v="2025-11-26T00:00:00"/>
        <d v="2025-11-27T00:00:00"/>
        <d v="2025-11-28T00:00:00"/>
        <d v="2025-12-10T00:00:00"/>
        <d v="2025-12-09T00:00:00"/>
        <d v="2025-12-11T00:00:00"/>
        <d v="2025-12-02T00:00:00"/>
        <d v="2025-12-15T00:00:00"/>
        <d v="2025-12-03T00:00:00"/>
        <d v="2025-12-05T00:00:00"/>
        <d v="2025-12-01T00:00:00"/>
        <d v="2025-12-16T00:00:00"/>
        <d v="2025-12-17T00:00:00"/>
        <d v="2025-12-27T00:00:00"/>
        <d v="2025-12-04T00:00:00"/>
        <d v="2025-12-12T00:00:00"/>
        <d v="2025-12-22T00:00:00"/>
        <d v="2025-12-08T00:00:00"/>
        <d v="2025-12-19T00:00:00"/>
        <d v="2025-12-24T00:00:00"/>
        <d v="2025-12-31T00:00:00"/>
        <d v="2025-12-23T00:00:00"/>
        <d v="2025-12-18T00:00:00"/>
        <d v="2025-12-30T00:00:00"/>
        <d v="2025-12-26T00:00:00"/>
        <d v="2026-01-01T00:00:00"/>
        <d v="2026-01-05T00:00:00"/>
        <d v="2026-01-09T00:00:00"/>
        <d v="2026-01-13T00:00:00"/>
        <d v="2026-01-02T00:00:00"/>
        <d v="2026-01-06T00:00:00"/>
        <d v="2026-01-07T00:00:00"/>
        <d v="2026-01-08T00:00:00"/>
        <d v="2026-01-26T00:00:00"/>
        <d v="2026-01-23T00:00:00"/>
        <d v="2026-01-10T00:00:00"/>
        <d v="2026-01-12T00:00:00"/>
        <d v="2026-01-14T00:00:00"/>
        <d v="2026-01-15T00:00:00"/>
        <d v="2026-01-16T00:00:00"/>
        <d v="2026-01-19T00:00:00"/>
        <d v="2026-01-20T00:00:00"/>
        <d v="2026-01-22T00:00:00"/>
        <d v="2026-01-28T00:00:00"/>
        <d v="2026-01-29T00:00:00"/>
        <d v="2026-01-30T00:00:00"/>
      </sharedItems>
      <fieldGroup par="15"/>
    </cacheField>
    <cacheField name="Conta Financeira" numFmtId="0">
      <sharedItems/>
    </cacheField>
    <cacheField name="Descricao" numFmtId="0">
      <sharedItems/>
    </cacheField>
    <cacheField name="Categoria" numFmtId="0">
      <sharedItems count="56">
        <s v="INV - Consultoria Financeira"/>
        <s v="ADM - Assessoria Contábil"/>
        <s v="Honorários"/>
        <s v="ADM - Serviços de TI"/>
        <s v="FIN - Tarifas Bancárias"/>
        <s v="COM - Viagens e Hospedagens"/>
        <s v="ADM - Cartão de Crédito"/>
        <s v="Despesa do cliente"/>
        <s v="ADM - Internet e Telefonia"/>
        <s v="ADM - Limpeza"/>
        <s v="ADM - Condomínios"/>
        <s v="ADM - Lanches, Refeições, Copa e Cozinha"/>
        <s v="ADM - Softwares"/>
        <s v="PES - Taxa Estagiários"/>
        <s v="ADM - Manutenção do Escritório"/>
        <s v="PES - Salários"/>
        <s v="COM - Brindes e Presentes"/>
        <s v="ADM - Água e Esgoto"/>
        <s v="PES - FGTS"/>
        <s v="PES - INSS"/>
        <s v="VAR - Simples Nacional"/>
        <s v="ADM - Energia Elétrica"/>
        <s v="DIR - Distribuição de Lucros"/>
        <s v="DIR - Pró-labore"/>
        <s v="INV - Investimento em Móveis e Utensílios"/>
        <s v="INV - Investimento em Informática e Celulares"/>
        <s v="ADM - Material de Escritório"/>
        <s v="COM - Combustíveis e Táxi/Uber"/>
        <s v="COM - Impressos Gráficos"/>
        <s v="VAR - Comissões e Bonificações"/>
        <s v="ADM - IPTU"/>
        <s v="T&amp;O - Taxas Diversas"/>
        <s v="COM - Alimentação em Viagens"/>
        <s v="COM - Outras Despesas Comerciais"/>
        <s v="PES - Treinamentos"/>
        <s v="PES - Exame admissional"/>
        <s v="ADM - Assessorias"/>
        <s v="PES - Benefícios"/>
        <s v="Reembolso"/>
        <s v="INV - Rendimentos financeiros"/>
        <s v="ADM - Estacionamento e Transporte"/>
        <s v="Transferência"/>
        <s v="ADM - Seguros"/>
        <s v="PES - Trabalho Extra"/>
        <s v="ADM - Aluguel"/>
        <s v="ADM - Serviços de Terceiros"/>
        <s v="Saldo inicial"/>
        <s v="INV - Escritório Girassol"/>
        <s v="PES - Gratificações"/>
        <s v="T&amp;O - Anuidade OAB"/>
        <s v="COM - Combustíveis" u="1"/>
        <s v="INV - Informática" u="1"/>
        <s v="ADM - Manutenção do Escritório - Girassol" u="1"/>
        <s v="ADM - Manutenção do Escritório - GIR" u="1"/>
        <s v="T&amp;O - Cartão de Crédito" u="1"/>
        <s v="Pagamento Cartão de Crédito" u="1"/>
      </sharedItems>
    </cacheField>
    <cacheField name="Centro de custo" numFmtId="0">
      <sharedItems count="14">
        <s v="INV"/>
        <s v="ADM"/>
        <s v="Honorários"/>
        <s v="FIN"/>
        <s v="COM"/>
        <s v="Despesa do cliente"/>
        <s v="PES"/>
        <s v="VAR"/>
        <s v="DIR"/>
        <s v="T&amp;O"/>
        <s v="Reembolso"/>
        <s v="Transferência"/>
        <s v="Saldo inicial"/>
        <s v="Pagamento Cartão de Crédito" u="1"/>
      </sharedItems>
    </cacheField>
    <cacheField name="Pago para / Recebido de" numFmtId="0">
      <sharedItems/>
    </cacheField>
    <cacheField name="Cliente" numFmtId="0">
      <sharedItems/>
    </cacheField>
    <cacheField name="Documento" numFmtId="0">
      <sharedItems containsBlank="1"/>
    </cacheField>
    <cacheField name="Caso" numFmtId="0">
      <sharedItems containsBlank="1"/>
    </cacheField>
    <cacheField name="Responsavel" numFmtId="0">
      <sharedItems containsBlank="1"/>
    </cacheField>
    <cacheField name="Valor" numFmtId="165">
      <sharedItems containsSemiMixedTypes="0" containsString="0" containsNumber="1" minValue="-228052.73" maxValue="256684.22"/>
    </cacheField>
    <cacheField name="Tipo" numFmtId="0">
      <sharedItems/>
    </cacheField>
    <cacheField name="Status" numFmtId="0">
      <sharedItems containsBlank="1" count="5">
        <s v="Pago"/>
        <s v="Recebido"/>
        <s v="Não recebido"/>
        <m/>
        <s v="Não pago"/>
      </sharedItems>
    </cacheField>
    <cacheField name="Months (Data)" numFmtId="0" databaseField="0">
      <fieldGroup base="0">
        <rangePr groupBy="months" startDate="2024-12-02T00:00:00" endDate="2026-01-31T00:00:00"/>
        <groupItems count="14">
          <s v="&lt;02/12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01/2026"/>
        </groupItems>
      </fieldGroup>
    </cacheField>
    <cacheField name="Quarters (Data)" numFmtId="0" databaseField="0">
      <fieldGroup base="0">
        <rangePr groupBy="quarters" startDate="2024-12-02T00:00:00" endDate="2026-01-31T00:00:00"/>
        <groupItems count="6">
          <s v="&lt;02/12/2024"/>
          <s v="Qtr1"/>
          <s v="Qtr2"/>
          <s v="Qtr3"/>
          <s v="Qtr4"/>
          <s v="&gt;31/01/2026"/>
        </groupItems>
      </fieldGroup>
    </cacheField>
    <cacheField name="Years (Data)" numFmtId="0" databaseField="0">
      <fieldGroup base="0">
        <rangePr groupBy="years" startDate="2024-12-02T00:00:00" endDate="2026-01-31T00:00:00"/>
        <groupItems count="5">
          <s v="&lt;02/12/2024"/>
          <s v="2024"/>
          <s v="2025"/>
          <s v="2026"/>
          <s v="&gt;3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3">
  <r>
    <x v="0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0"/>
    <s v="Lisboa e Lisboa"/>
    <s v="CONTABILIDADE"/>
    <x v="1"/>
    <x v="1"/>
    <s v="CARLOS ALBERTO GRACIANO RODRIGUES"/>
    <s v="CARLOS ALBERTO GRACIANO RODRIGUES"/>
    <m/>
    <m/>
    <s v="Thaynara Borges"/>
    <n v="-1412"/>
    <s v="Saída"/>
    <x v="0"/>
  </r>
  <r>
    <x v="0"/>
    <s v="Thaynara Borges Pereira"/>
    <s v="Parcelamento em 7x"/>
    <x v="2"/>
    <x v="2"/>
    <s v="MARIA DA SILVA NOGUEIRA"/>
    <s v="MARIA DA SILVA NOGUEIRA"/>
    <m/>
    <s v="Maria da Silva Nogueira x Nathalia dos Santos Nogueira"/>
    <s v="Thaynara Borges"/>
    <n v="250"/>
    <s v="Entrada"/>
    <x v="1"/>
  </r>
  <r>
    <x v="0"/>
    <s v="Lisboa e Lisboa"/>
    <s v="Honorário de implantação sobre 1 competência"/>
    <x v="2"/>
    <x v="2"/>
    <s v="ADOLFA MARIA DE JESUS ALMEIDA"/>
    <s v="ADOLFA MARIA DE JESUS ALMEIDA"/>
    <m/>
    <s v="BENEFÍCIO POR INCAPACIDADE"/>
    <s v="Thaynara Borges"/>
    <n v="423.6"/>
    <s v="Entrada"/>
    <x v="1"/>
  </r>
  <r>
    <x v="0"/>
    <s v="Lisboa e Lisboa"/>
    <s v="Serviços TI"/>
    <x v="3"/>
    <x v="1"/>
    <s v="Rhuan Carlos Batista"/>
    <s v="Rhuan Carlos Batista"/>
    <m/>
    <m/>
    <s v="Thaynara Borges"/>
    <n v="-60"/>
    <s v="Saída"/>
    <x v="0"/>
  </r>
  <r>
    <x v="1"/>
    <s v="Lisboa e Lisboa"/>
    <s v="PLANO ADAPT 3"/>
    <x v="4"/>
    <x v="3"/>
    <s v="BANCO ITAU"/>
    <s v="BANCO ITAU"/>
    <m/>
    <m/>
    <s v="Thaynara Borges"/>
    <n v="-261.75"/>
    <s v="Saída"/>
    <x v="0"/>
  </r>
  <r>
    <x v="2"/>
    <s v="Thaynara Borges Pereira"/>
    <s v="Última parcela acordo - parceria Dr. Gustavo"/>
    <x v="2"/>
    <x v="2"/>
    <s v="ODORICO CANASSA BIANCHINI JUNIOR"/>
    <s v="ODORICO CANASSA BIANCHINI JUNIOR"/>
    <m/>
    <m/>
    <s v="Thaynara Borges"/>
    <n v="450"/>
    <s v="Entrada"/>
    <x v="1"/>
  </r>
  <r>
    <x v="2"/>
    <s v="Sarah Alves Lisboa"/>
    <s v="Pedágios Edilândia"/>
    <x v="5"/>
    <x v="4"/>
    <s v="Sarah Alves Lisboa"/>
    <s v="Sarah Alves Lisboa"/>
    <m/>
    <m/>
    <s v="Thaynara Borges"/>
    <n v="-36.119999999999997"/>
    <s v="Saída"/>
    <x v="0"/>
  </r>
  <r>
    <x v="2"/>
    <s v="Thaynara Borges Pereira"/>
    <s v="30% de uma competência"/>
    <x v="2"/>
    <x v="2"/>
    <s v="EDSON RAEL DE OLIVEIRA"/>
    <s v="EDSON RAEL DE OLIVEIRA"/>
    <m/>
    <s v="BENEFÍCIO POR INCAPACIDADE"/>
    <s v="Thaynara Borges"/>
    <n v="268.3"/>
    <s v="Entrada"/>
    <x v="1"/>
  </r>
  <r>
    <x v="3"/>
    <s v="Lisboa e Lisboa"/>
    <s v="Cartão de Crédito"/>
    <x v="6"/>
    <x v="1"/>
    <s v="Itau Cartões"/>
    <s v="BANCO ITAU"/>
    <m/>
    <m/>
    <s v="Thaynara Borges"/>
    <n v="-1924.77"/>
    <s v="Saída"/>
    <x v="0"/>
  </r>
  <r>
    <x v="3"/>
    <s v="Lisboa e Lisboa"/>
    <s v="2 Benefícios parcelados em 6x"/>
    <x v="2"/>
    <x v="2"/>
    <s v="ISABEL PEREIRA SOUSA"/>
    <s v="ISABEL PEREIRA SOUSA"/>
    <m/>
    <s v="APOSENTADORIA POR IDADE"/>
    <s v="Thaynara Borges"/>
    <n v="471"/>
    <s v="Entrada"/>
    <x v="1"/>
  </r>
  <r>
    <x v="3"/>
    <s v="Lisboa e Lisboa"/>
    <s v="Anuidade"/>
    <x v="2"/>
    <x v="2"/>
    <s v="LENIR MARIA DOS SANTOS LIMA"/>
    <s v="LENIR MARIA DOS SANTOS LIMA"/>
    <m/>
    <s v="LENIR MARIA DOS SANTOS LIMA x INSS"/>
    <s v="Thaynara Borges"/>
    <n v="284.39999999999998"/>
    <s v="Entrada"/>
    <x v="1"/>
  </r>
  <r>
    <x v="4"/>
    <s v="Thaynara Borges Pereira"/>
    <s v="Parcela 3 e 4 - 3 benefícios"/>
    <x v="2"/>
    <x v="2"/>
    <s v="ANDREZA CESARIA DA SILVA RODRIGUES"/>
    <s v="ANDREZA CESARIA DA SILVA RODRIGUES"/>
    <m/>
    <s v="APOSENTADORIA POR IDADE"/>
    <s v="Thaynara Borges"/>
    <n v="1059"/>
    <s v="Entrada"/>
    <x v="1"/>
  </r>
  <r>
    <x v="4"/>
    <s v="Sarah Alves Lisboa"/>
    <s v="Estacionamento - ida ao banco"/>
    <x v="7"/>
    <x v="5"/>
    <s v="NATALIA ALVES DA SILVA"/>
    <s v="NATALIA ALVES DA SILVA"/>
    <m/>
    <s v="SALÁRIO MATERNIDADE"/>
    <s v="Thaynara Borges"/>
    <n v="-10"/>
    <s v="Saída"/>
    <x v="0"/>
  </r>
  <r>
    <x v="4"/>
    <s v="Lisboa e Lisboa"/>
    <s v="Celular escritório"/>
    <x v="8"/>
    <x v="1"/>
    <s v="VIVO"/>
    <s v="VIVO"/>
    <m/>
    <m/>
    <s v="Thaynara Borges"/>
    <n v="-130.37"/>
    <s v="Saída"/>
    <x v="0"/>
  </r>
  <r>
    <x v="4"/>
    <s v="Thaynara Borges Pereira"/>
    <s v="Limpeza"/>
    <x v="9"/>
    <x v="1"/>
    <s v="ELIZANGELA FERREIRA DA SILVA"/>
    <s v="ELIZANGELA FERREIRA DA SILVA"/>
    <m/>
    <m/>
    <s v="Thaynara Borges"/>
    <n v="-340"/>
    <s v="Saída"/>
    <x v="0"/>
  </r>
  <r>
    <x v="4"/>
    <s v="Lisboa e Lisboa"/>
    <s v="Condomínio"/>
    <x v="10"/>
    <x v="1"/>
    <s v="ATON BUSINESS STYLE"/>
    <s v="ATON BUSINESS STYLE"/>
    <m/>
    <m/>
    <s v="Thaynara Borges"/>
    <n v="-2977.01"/>
    <s v="Saída"/>
    <x v="0"/>
  </r>
  <r>
    <x v="5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5"/>
    <s v="Sarah Alves Lisboa"/>
    <s v="Lanche"/>
    <x v="11"/>
    <x v="1"/>
    <s v="ISABELLA ALVIM BIACHINI"/>
    <s v="ISABELLA ALVIM BIACHINI"/>
    <m/>
    <m/>
    <s v="Thaynara Borges"/>
    <n v="-67.64"/>
    <s v="Saída"/>
    <x v="0"/>
  </r>
  <r>
    <x v="5"/>
    <s v="Lisboa e Lisboa"/>
    <s v="Telefone e internet"/>
    <x v="8"/>
    <x v="1"/>
    <s v="VIVO"/>
    <s v="VIVO"/>
    <m/>
    <m/>
    <s v="Thaynara Borges"/>
    <n v="-371.57"/>
    <s v="Saída"/>
    <x v="0"/>
  </r>
  <r>
    <x v="6"/>
    <s v="Lisboa e Lisboa"/>
    <s v="Publicações Renio"/>
    <x v="12"/>
    <x v="1"/>
    <s v="PRO JURIDICO"/>
    <s v="PRO JURIDICO"/>
    <m/>
    <m/>
    <s v="Thaynara Borges"/>
    <n v="-100"/>
    <s v="Saída"/>
    <x v="0"/>
  </r>
  <r>
    <x v="6"/>
    <s v="Lisboa e Lisboa"/>
    <s v="Parcela 2 de 2"/>
    <x v="2"/>
    <x v="2"/>
    <s v="ANTONIO MOREIRA DOS SANTOS"/>
    <s v="ANTONIO MOREIRA DOS SANTOS"/>
    <m/>
    <s v="DIVÓRCIO"/>
    <s v="Thaynara Borges"/>
    <n v="600"/>
    <s v="Entrada"/>
    <x v="1"/>
  </r>
  <r>
    <x v="6"/>
    <s v="Lisboa e Lisboa"/>
    <s v="Seguros estagiárias"/>
    <x v="13"/>
    <x v="6"/>
    <s v="IEL"/>
    <s v="IEL"/>
    <m/>
    <m/>
    <s v="Thaynara Borges"/>
    <n v="-300"/>
    <s v="Saída"/>
    <x v="0"/>
  </r>
  <r>
    <x v="6"/>
    <s v="Sarah Alves Lisboa"/>
    <s v="Tarifa Bancária"/>
    <x v="4"/>
    <x v="3"/>
    <s v="BANCO DO BRASIL S/A"/>
    <s v="BANCO DO BRASIL S/A"/>
    <m/>
    <m/>
    <s v="Thaynara Borges"/>
    <n v="-14.55"/>
    <s v="Saída"/>
    <x v="0"/>
  </r>
  <r>
    <x v="7"/>
    <s v="Lisboa e Lisboa"/>
    <s v="Parcela Honorários Parceria"/>
    <x v="2"/>
    <x v="2"/>
    <s v="SONIA MARIA DA SILVA"/>
    <s v="SONIA MARIA DA SILVA"/>
    <m/>
    <s v="Defesa Cível - Parceria Dr Silvio"/>
    <s v="Thaynara Borges"/>
    <n v="450"/>
    <s v="Entrada"/>
    <x v="2"/>
  </r>
  <r>
    <x v="8"/>
    <s v="Lisboa e Lisboa"/>
    <s v="30% sobre os atrasados"/>
    <x v="2"/>
    <x v="2"/>
    <s v="NATALIA ALVES DA SILVA"/>
    <s v="NATALIA ALVES DA SILVA"/>
    <m/>
    <s v="SALÁRIO MATERNIDADE"/>
    <s v="Thaynara Borges"/>
    <n v="2464.31"/>
    <s v="Entrada"/>
    <x v="1"/>
  </r>
  <r>
    <x v="9"/>
    <s v="Thaynara Borges Pereira"/>
    <s v="Material e troca de todas as tomadas do escritório"/>
    <x v="14"/>
    <x v="1"/>
    <s v="Luiz Antonio Sousa de Morais"/>
    <s v="Luiz Antonio Sousa de Morais"/>
    <m/>
    <m/>
    <s v="Thaynara Borges"/>
    <n v="-1083"/>
    <s v="Saída"/>
    <x v="0"/>
  </r>
  <r>
    <x v="9"/>
    <s v="Lisboa e Lisboa"/>
    <s v="30% sobre os atrasados + 20% anuidade + Imposto (líquido, tirando Giuliano e Vanessa)"/>
    <x v="2"/>
    <x v="2"/>
    <s v="ANA MARIA DE JESUS"/>
    <s v="ANA MARIA DE JESUS"/>
    <m/>
    <s v="PENSAO POR MORTE"/>
    <s v="Thaynara Borges"/>
    <n v="6691.29"/>
    <s v="Entrada"/>
    <x v="1"/>
  </r>
  <r>
    <x v="9"/>
    <s v="Lisboa e Lisboa"/>
    <s v="Sucumbencia líquida (tirando Giuliano e Vanessa)"/>
    <x v="2"/>
    <x v="2"/>
    <s v="ANA MARIA DE JESUS"/>
    <s v="ANA MARIA DE JESUS"/>
    <m/>
    <s v="PENSAO POR MORTE"/>
    <s v="Thaynara Borges"/>
    <n v="1331.36"/>
    <s v="Entrada"/>
    <x v="1"/>
  </r>
  <r>
    <x v="9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10"/>
    <s v="Lisboa e Lisboa"/>
    <s v="Parceria Dra Flavia"/>
    <x v="2"/>
    <x v="2"/>
    <s v="JULIANI DOMINGOS DOS REIS"/>
    <s v="JULIANI DOMINGOS DOS REIS"/>
    <m/>
    <s v="AÇÃO DE GUARDA"/>
    <s v="Thaynara Borges"/>
    <n v="150"/>
    <s v="Entrada"/>
    <x v="1"/>
  </r>
  <r>
    <x v="10"/>
    <s v="Lisboa e Lisboa"/>
    <s v="Parceria Dra Flavia"/>
    <x v="2"/>
    <x v="2"/>
    <s v="JULIANI DOMINGOS DOS REIS"/>
    <s v="JULIANI DOMINGOS DOS REIS"/>
    <m/>
    <s v="AÇÃO DE GUARDA"/>
    <s v="Thaynara Borges"/>
    <n v="150"/>
    <s v="Entrada"/>
    <x v="1"/>
  </r>
  <r>
    <x v="11"/>
    <s v="Thaynara Borges Pereira"/>
    <s v="Gastos com cartão de crédito"/>
    <x v="6"/>
    <x v="1"/>
    <s v="Thaynara Borges Pereira"/>
    <s v="C6"/>
    <m/>
    <m/>
    <s v="Thaynara Borges"/>
    <n v="-1012.15"/>
    <s v="Saída"/>
    <x v="0"/>
  </r>
  <r>
    <x v="11"/>
    <s v="Thaynara Borges Pereira"/>
    <s v="Parceria com Dr. Silvio"/>
    <x v="2"/>
    <x v="2"/>
    <s v="LEONARDO MATEUS BATISTA DE OLIVEIRA"/>
    <s v="LEONARDO MATEUS BATISTA DE OLIVEIRA"/>
    <m/>
    <m/>
    <s v="Thaynara Borges"/>
    <n v="150"/>
    <s v="Entrada"/>
    <x v="1"/>
  </r>
  <r>
    <x v="11"/>
    <s v="Lisboa e Lisboa"/>
    <s v="Publicações"/>
    <x v="12"/>
    <x v="1"/>
    <s v="AVISO URGENTE T I LTDA"/>
    <s v="AVISO URGENTE T I LTDA"/>
    <m/>
    <m/>
    <s v="Thaynara Borges"/>
    <n v="-507.3"/>
    <s v="Saída"/>
    <x v="0"/>
  </r>
  <r>
    <x v="12"/>
    <s v="Lisboa e Lisboa"/>
    <s v="Anuidade - parceria com Dr Fernando"/>
    <x v="2"/>
    <x v="2"/>
    <s v="ELVIO DE OLIVEIRA SOARES"/>
    <s v="ELVIO DE OLIVEIRA SOARES"/>
    <m/>
    <s v="APOSENTADORIA POR IDADE"/>
    <s v="Thaynara Borges"/>
    <n v="211.8"/>
    <s v="Entrada"/>
    <x v="1"/>
  </r>
  <r>
    <x v="12"/>
    <s v="Sarah Alves Lisboa"/>
    <s v="Sucumbencia liquida (tirando Vanessa)"/>
    <x v="2"/>
    <x v="2"/>
    <s v="UBIRACI LOSI"/>
    <s v="UBIRACI LOSI"/>
    <m/>
    <s v="CONCESSÃO DA APOSENTADORIA POR IDADE RURAL"/>
    <s v="Thaynara Borges"/>
    <n v="386.8"/>
    <s v="Entrada"/>
    <x v="1"/>
  </r>
  <r>
    <x v="13"/>
    <s v="Thaynara Borges Pereira"/>
    <s v="2º Parcela 13º salário"/>
    <x v="15"/>
    <x v="6"/>
    <s v="Raffaela Nunes"/>
    <s v="Raffaela Nunes"/>
    <m/>
    <m/>
    <s v="Thaynara Borges"/>
    <n v="-1100"/>
    <s v="Saída"/>
    <x v="0"/>
  </r>
  <r>
    <x v="13"/>
    <s v="Lisboa e Lisboa"/>
    <s v="13º CONTADOR"/>
    <x v="1"/>
    <x v="1"/>
    <s v="CARLOS ALBERTO GRACIANO RODRIGUES"/>
    <s v="CARLOS ALBERTO GRACIANO RODRIGUES"/>
    <m/>
    <m/>
    <s v="Thaynara Borges"/>
    <n v="-1412"/>
    <s v="Saída"/>
    <x v="0"/>
  </r>
  <r>
    <x v="13"/>
    <s v="Thaynara Borges Pereira"/>
    <s v="CESTA DE NATAL PARA JAINY"/>
    <x v="16"/>
    <x v="4"/>
    <s v="A mesma (Pessoa de contato de: Alci Ferraz de Aguiar Barbosa)"/>
    <s v="A mesma (Pessoa de contato de: Alci Ferraz de Aguiar Barbosa)"/>
    <m/>
    <m/>
    <s v="Thaynara Borges"/>
    <n v="-165"/>
    <s v="Saída"/>
    <x v="0"/>
  </r>
  <r>
    <x v="14"/>
    <s v="Lisboa e Lisboa"/>
    <s v="Água"/>
    <x v="17"/>
    <x v="1"/>
    <s v="SANEAGO GOIAS S/A"/>
    <s v="SANEAGO GOIAS S/A"/>
    <m/>
    <m/>
    <s v="Thaynara Borges"/>
    <n v="-106.3"/>
    <s v="Saída"/>
    <x v="0"/>
  </r>
  <r>
    <x v="14"/>
    <s v="Lisboa e Lisboa"/>
    <s v="FGTS"/>
    <x v="18"/>
    <x v="6"/>
    <s v="Ministério do Trabalho e Emprego"/>
    <s v="Ministério do Trabalho e Emprego"/>
    <m/>
    <m/>
    <s v="Thaynara Borges"/>
    <n v="-392.19"/>
    <s v="Saída"/>
    <x v="0"/>
  </r>
  <r>
    <x v="14"/>
    <s v="Lisboa e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1"/>
  </r>
  <r>
    <x v="14"/>
    <s v="Lisboa e Lisboa"/>
    <s v="2ª Parcela 13º salário"/>
    <x v="15"/>
    <x v="6"/>
    <s v="Nina Araujo"/>
    <s v="Nina Araujo"/>
    <m/>
    <m/>
    <s v="Thaynara Borges"/>
    <n v="-1378.81"/>
    <s v="Saída"/>
    <x v="0"/>
  </r>
  <r>
    <x v="14"/>
    <s v="Lisboa e Lisboa"/>
    <s v="INSS 13º Salário"/>
    <x v="19"/>
    <x v="6"/>
    <s v="Receita Federal"/>
    <s v="Receita Federal"/>
    <m/>
    <m/>
    <s v="Thaynara Borges"/>
    <n v="-864.45"/>
    <s v="Saída"/>
    <x v="0"/>
  </r>
  <r>
    <x v="14"/>
    <s v="Lisboa e Lisboa"/>
    <s v="Simples Nacional"/>
    <x v="20"/>
    <x v="7"/>
    <s v="Simples Nacional"/>
    <s v="Simples Nacional"/>
    <m/>
    <m/>
    <s v="Thaynara Borges"/>
    <n v="-1623.52"/>
    <s v="Saída"/>
    <x v="0"/>
  </r>
  <r>
    <x v="14"/>
    <s v="Lisboa e Lisboa"/>
    <s v="INSS"/>
    <x v="19"/>
    <x v="6"/>
    <s v="Receita Federal"/>
    <s v="Receita Federal"/>
    <m/>
    <m/>
    <s v="Thaynara Borges"/>
    <n v="-1980.52"/>
    <s v="Saída"/>
    <x v="0"/>
  </r>
  <r>
    <x v="14"/>
    <s v="Thaynara Borges Pereira"/>
    <s v="Limpeza"/>
    <x v="9"/>
    <x v="1"/>
    <s v="ELIZANGELA FERREIRA DA SILVA"/>
    <s v="ELIZANGELA FERREIRA DA SILVA"/>
    <m/>
    <m/>
    <s v="Thaynara Borges"/>
    <n v="-340"/>
    <s v="Saída"/>
    <x v="0"/>
  </r>
  <r>
    <x v="15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16"/>
    <s v="Sarah Alves Lisboa"/>
    <s v="30% sobre 1 competencia tirando 20% da Dra Nubia (indicação)"/>
    <x v="2"/>
    <x v="2"/>
    <s v="LUZIMEIRE MARTINS COSTA ALVES"/>
    <s v="LUZIMEIRE MARTINS COSTA ALVES"/>
    <m/>
    <s v="BENEFÍCIO POR INCAPACIDADE"/>
    <s v="Thaynara Borges"/>
    <n v="338.88"/>
    <s v="Entrada"/>
    <x v="1"/>
  </r>
  <r>
    <x v="16"/>
    <s v="Sarah Alves Lisboa"/>
    <s v="Parcelas anuidade"/>
    <x v="2"/>
    <x v="2"/>
    <s v="JOSE NILTON FERREIRA DE SOUZA"/>
    <s v="JOSE NILTON FERREIRA DE SOUZA"/>
    <m/>
    <s v="APOSENTADORIA POR IDADE"/>
    <s v="Thaynara Borges"/>
    <n v="282.39999999999998"/>
    <s v="Entrada"/>
    <x v="1"/>
  </r>
  <r>
    <x v="16"/>
    <s v="Lisboa e Lisboa"/>
    <s v="3 Benefícios parcelados"/>
    <x v="2"/>
    <x v="2"/>
    <s v="ANA ELIA DE SOUZA MANSE"/>
    <s v="ANA ELIA DE SOUZA MANSE"/>
    <m/>
    <s v="PENSÃO POR MORTE"/>
    <s v="Thaynara Borges"/>
    <n v="400"/>
    <s v="Entrada"/>
    <x v="1"/>
  </r>
  <r>
    <x v="16"/>
    <s v="Sarah Alves Lisboa"/>
    <s v="30% SOBRE IMPLANTAÇÃO"/>
    <x v="2"/>
    <x v="2"/>
    <s v="FRANCISCA DA COSTA GOMES OLIVEIRA"/>
    <s v="FRANCISCA DA COSTA GOMES OLIVEIRA"/>
    <m/>
    <s v="AUXILIO DOENÇA"/>
    <s v="Thaynara Borges"/>
    <n v="1962"/>
    <s v="Entrada"/>
    <x v="1"/>
  </r>
  <r>
    <x v="16"/>
    <s v="Lisboa e Lisboa"/>
    <s v="ENERGIA"/>
    <x v="21"/>
    <x v="1"/>
    <s v="EQUATORIAL GOIAS"/>
    <s v="EQUATORIAL GOIAS"/>
    <m/>
    <m/>
    <s v="Thaynara Borges"/>
    <n v="-1168.73"/>
    <s v="Saída"/>
    <x v="0"/>
  </r>
  <r>
    <x v="17"/>
    <s v="Thaynara Borges Pereira"/>
    <s v="Retirada de lucros"/>
    <x v="22"/>
    <x v="8"/>
    <s v="Thaynara Borges Pereira"/>
    <s v="Thaynara Borges Pereira"/>
    <m/>
    <m/>
    <s v="Thaynara Borges"/>
    <n v="-8743.32"/>
    <s v="Saída"/>
    <x v="0"/>
  </r>
  <r>
    <x v="17"/>
    <s v="Thaynara Borges Pereira"/>
    <s v="Retirada de lucros"/>
    <x v="22"/>
    <x v="8"/>
    <s v="Sarah Alves Lisboa"/>
    <s v="Sarah Alves Lisboa"/>
    <m/>
    <m/>
    <s v="Thaynara Borges"/>
    <n v="-13743.32"/>
    <s v="Saída"/>
    <x v="0"/>
  </r>
  <r>
    <x v="18"/>
    <s v="Lisboa e Lisboa"/>
    <s v="Bolsa estágio"/>
    <x v="13"/>
    <x v="6"/>
    <s v="ISABELLA ALVIM BIACHINI"/>
    <s v="ISABELLA ALVIM BIACHINI"/>
    <m/>
    <m/>
    <s v="Thaynara Borges"/>
    <n v="-1200"/>
    <s v="Saída"/>
    <x v="0"/>
  </r>
  <r>
    <x v="18"/>
    <s v="Lisboa e Lisboa"/>
    <s v="Salário"/>
    <x v="15"/>
    <x v="6"/>
    <s v="Nina Araujo"/>
    <s v="Nina Araujo"/>
    <m/>
    <m/>
    <s v="Thaynara Borges"/>
    <n v="-3191.28"/>
    <s v="Saída"/>
    <x v="0"/>
  </r>
  <r>
    <x v="18"/>
    <s v="Lisboa e Lisboa"/>
    <s v="Pró-labore"/>
    <x v="23"/>
    <x v="8"/>
    <s v="Sarah Alves Lisboa"/>
    <s v="Sarah Alves Lisboa"/>
    <m/>
    <m/>
    <s v="Thaynara Borges"/>
    <n v="-1256.68"/>
    <s v="Saída"/>
    <x v="0"/>
  </r>
  <r>
    <x v="18"/>
    <s v="Thaynara Borges Pereira"/>
    <s v="Salário"/>
    <x v="15"/>
    <x v="6"/>
    <s v="Raffaela Nunes"/>
    <s v="Raffaela Nunes"/>
    <m/>
    <m/>
    <s v="Thaynara Borges"/>
    <n v="-2200"/>
    <s v="Saída"/>
    <x v="0"/>
  </r>
  <r>
    <x v="18"/>
    <s v="Lisboa e Lisboa"/>
    <s v="Pró-labore"/>
    <x v="23"/>
    <x v="8"/>
    <s v="Thaynara Borges Pereira"/>
    <s v="Thaynara Borges Pereira"/>
    <m/>
    <m/>
    <s v="Thaynara Borges"/>
    <n v="-1256.68"/>
    <s v="Saída"/>
    <x v="0"/>
  </r>
  <r>
    <x v="18"/>
    <s v="Lisboa e Lisboa"/>
    <s v="Bolsa estágio"/>
    <x v="13"/>
    <x v="6"/>
    <s v="Laura Barbosa Marques"/>
    <s v="Laura Barbosa Marques"/>
    <m/>
    <m/>
    <s v="Thaynara Borges"/>
    <n v="-1200"/>
    <s v="Saída"/>
    <x v="0"/>
  </r>
  <r>
    <x v="19"/>
    <s v="Cartão de Crédito Dra Thaynara"/>
    <s v="Pagamento Cartão de Crédito Dra Thaynara"/>
    <x v="6"/>
    <x v="1"/>
    <s v="C6"/>
    <s v="C6"/>
    <m/>
    <m/>
    <s v="Thaynara Borges"/>
    <n v="1012.15"/>
    <s v="Entrada"/>
    <x v="3"/>
  </r>
  <r>
    <x v="19"/>
    <s v="Cartão de Crédito Dr Ivanildo"/>
    <s v="São Jorge - ultima parcela vaso sanitario Sarah"/>
    <x v="24"/>
    <x v="0"/>
    <s v="BANCO ITAU"/>
    <s v="BANCO ITAU"/>
    <m/>
    <m/>
    <s v="Thaynara Borges"/>
    <n v="-233.15"/>
    <s v="Saída"/>
    <x v="0"/>
  </r>
  <r>
    <x v="19"/>
    <s v="Cartão de Crédito Dr Ivanildo"/>
    <s v="Presente de fim de ano para Dra Flavia"/>
    <x v="16"/>
    <x v="4"/>
    <s v="BANCO ITAU"/>
    <s v="BANCO ITAU"/>
    <m/>
    <m/>
    <s v="Thaynara Borges"/>
    <n v="-126.7"/>
    <s v="Saída"/>
    <x v="0"/>
  </r>
  <r>
    <x v="19"/>
    <s v="Cartão de Crédito Dr Ivanildo"/>
    <s v="Lanches"/>
    <x v="11"/>
    <x v="1"/>
    <s v="BANCO ITAU"/>
    <s v="BANCO ITAU"/>
    <m/>
    <m/>
    <s v="Thaynara Borges"/>
    <n v="-26"/>
    <s v="Saída"/>
    <x v="0"/>
  </r>
  <r>
    <x v="19"/>
    <s v="Cartão de Crédito Dra Thaynara"/>
    <s v="ASTREA"/>
    <x v="12"/>
    <x v="1"/>
    <s v="C6"/>
    <s v="C6"/>
    <m/>
    <m/>
    <s v="Thaynara Borges"/>
    <n v="-456.75"/>
    <s v="Saída"/>
    <x v="0"/>
  </r>
  <r>
    <x v="19"/>
    <s v="Cartão de Crédito Dr Ivanildo"/>
    <s v="Almoço de confraternização final de ano"/>
    <x v="11"/>
    <x v="1"/>
    <s v="BANCO ITAU"/>
    <s v="BANCO ITAU"/>
    <m/>
    <m/>
    <s v="Thaynara Borges"/>
    <n v="-1212.29"/>
    <s v="Saída"/>
    <x v="0"/>
  </r>
  <r>
    <x v="19"/>
    <s v="Cartão de Crédito Dr Ivanildo"/>
    <s v="Jusbrasil"/>
    <x v="12"/>
    <x v="1"/>
    <s v="BANCO ITAU"/>
    <s v="BANCO ITAU"/>
    <m/>
    <m/>
    <s v="Thaynara Borges"/>
    <n v="-58.9"/>
    <s v="Saída"/>
    <x v="0"/>
  </r>
  <r>
    <x v="19"/>
    <s v="Cartão de Crédito Dra Sarah"/>
    <s v="DELL - Notebook (será estornado)"/>
    <x v="24"/>
    <x v="0"/>
    <s v="BANCO ITAU"/>
    <s v="BANCO ITAU"/>
    <m/>
    <m/>
    <s v="Thaynara Borges"/>
    <n v="-308.25"/>
    <s v="Saída"/>
    <x v="0"/>
  </r>
  <r>
    <x v="19"/>
    <s v="Cartão de Crédito Dra Thaynara"/>
    <s v="Cálculo Jurídico"/>
    <x v="12"/>
    <x v="1"/>
    <s v="C6"/>
    <s v="C6"/>
    <m/>
    <m/>
    <s v="Thaynara Borges"/>
    <n v="-120.29"/>
    <s v="Saída"/>
    <x v="0"/>
  </r>
  <r>
    <x v="19"/>
    <s v="Cartão de Crédito Dra Thaynara"/>
    <s v="ASA*TRINDADE AMADO PRO (Curso de atualização previdenciária)"/>
    <x v="12"/>
    <x v="1"/>
    <s v="C6"/>
    <s v="C6"/>
    <m/>
    <m/>
    <s v="Thaynara Borges"/>
    <n v="-59.9"/>
    <s v="Saída"/>
    <x v="0"/>
  </r>
  <r>
    <x v="19"/>
    <s v="Cartão de Crédito Dr Ivanildo"/>
    <s v="Prévius"/>
    <x v="12"/>
    <x v="1"/>
    <s v="BANCO ITAU"/>
    <s v="BANCO ITAU"/>
    <m/>
    <m/>
    <s v="Thaynara Borges"/>
    <n v="-80.91"/>
    <s v="Saída"/>
    <x v="0"/>
  </r>
  <r>
    <x v="19"/>
    <s v="Cartão de Crédito Dr Ivanildo"/>
    <s v="kabum - última parcela do origem (servidor)"/>
    <x v="25"/>
    <x v="0"/>
    <s v="BANCO ITAU"/>
    <s v="BANCO ITAU"/>
    <m/>
    <m/>
    <s v="Thaynara Borges"/>
    <n v="-292.89"/>
    <s v="Saída"/>
    <x v="0"/>
  </r>
  <r>
    <x v="19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19"/>
    <s v="Cartão de Crédito Dr Ivanildo"/>
    <s v="Jusbrasil"/>
    <x v="12"/>
    <x v="1"/>
    <s v="BANCO ITAU"/>
    <s v="BANCO ITAU"/>
    <m/>
    <m/>
    <s v="Thaynara Borges"/>
    <n v="-58.9"/>
    <s v="Saída"/>
    <x v="0"/>
  </r>
  <r>
    <x v="19"/>
    <s v="Cartão de Crédito Dr Ivanildo"/>
    <s v="Google One"/>
    <x v="12"/>
    <x v="1"/>
    <s v="BANCO ITAU"/>
    <s v="BANCO ITAU"/>
    <m/>
    <m/>
    <s v="Thaynara Borges"/>
    <n v="-38.99"/>
    <s v="Saída"/>
    <x v="0"/>
  </r>
  <r>
    <x v="19"/>
    <s v="Cartão de Crédito Dr Ivanildo"/>
    <s v="Bolo aniversario Sarah e Nina"/>
    <x v="11"/>
    <x v="1"/>
    <s v="BANCO ITAU"/>
    <s v="BANCO ITAU"/>
    <m/>
    <m/>
    <s v="Thaynara Borges"/>
    <n v="-170.99"/>
    <s v="Saída"/>
    <x v="0"/>
  </r>
  <r>
    <x v="19"/>
    <s v="Cartão de Crédito Dra Sarah"/>
    <s v="Pagamento Cartão de Crédito Dra Sarah"/>
    <x v="6"/>
    <x v="1"/>
    <s v="BANCO ITAU"/>
    <s v="BANCO ITAU"/>
    <m/>
    <m/>
    <s v="Thaynara Borges"/>
    <n v="308.25"/>
    <s v="Entrada"/>
    <x v="3"/>
  </r>
  <r>
    <x v="19"/>
    <s v="Cartão de Crédito Dr Ivanildo"/>
    <s v="Cestas de fim de ano para equipe"/>
    <x v="11"/>
    <x v="1"/>
    <s v="BANCO ITAU"/>
    <s v="BANCO ITAU"/>
    <m/>
    <m/>
    <s v="Thaynara Borges"/>
    <n v="-725"/>
    <s v="Saída"/>
    <x v="0"/>
  </r>
  <r>
    <x v="19"/>
    <s v="Cartão de Crédito Dr Ivanildo"/>
    <s v="Pagamento Cartão de Crédito Dr Ivanildo"/>
    <x v="6"/>
    <x v="1"/>
    <s v="BANCO ITAU"/>
    <s v="BANCO ITAU"/>
    <m/>
    <m/>
    <s v="Thaynara Borges"/>
    <n v="3379.88"/>
    <s v="Entrada"/>
    <x v="3"/>
  </r>
  <r>
    <x v="19"/>
    <s v="Cartão de Crédito Dr Ivanildo"/>
    <s v="Previdenciarista"/>
    <x v="12"/>
    <x v="1"/>
    <s v="BANCO ITAU"/>
    <s v="BANCO ITAU"/>
    <m/>
    <m/>
    <s v="Thaynara Borges"/>
    <n v="-99.9"/>
    <s v="Saída"/>
    <x v="0"/>
  </r>
  <r>
    <x v="19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19"/>
    <s v="Cartão de Crédito Dr Ivanildo"/>
    <s v="Google One"/>
    <x v="12"/>
    <x v="1"/>
    <s v="BANCO ITAU"/>
    <s v="BANCO ITAU"/>
    <m/>
    <m/>
    <s v="Thaynara Borges"/>
    <n v="-11.99"/>
    <s v="Saída"/>
    <x v="0"/>
  </r>
  <r>
    <x v="19"/>
    <s v="Cartão de Crédito Dra Thaynara"/>
    <s v="GOOGLE GSUITE_PREVLEX."/>
    <x v="12"/>
    <x v="1"/>
    <s v="C6"/>
    <s v="C6"/>
    <m/>
    <m/>
    <s v="Thaynara Borges"/>
    <n v="-126"/>
    <s v="Saída"/>
    <x v="0"/>
  </r>
  <r>
    <x v="19"/>
    <s v="Cartão de Crédito Dr Ivanildo"/>
    <s v="Salgados aniversario Sarah e Nina"/>
    <x v="11"/>
    <x v="1"/>
    <s v="BANCO ITAU"/>
    <s v="BANCO ITAU"/>
    <m/>
    <m/>
    <s v="Thaynara Borges"/>
    <n v="-170.6"/>
    <s v="Saída"/>
    <x v="0"/>
  </r>
  <r>
    <x v="19"/>
    <s v="Cartão de Crédito Dr Ivanildo"/>
    <s v="Lanches"/>
    <x v="11"/>
    <x v="1"/>
    <s v="BANCO ITAU"/>
    <s v="BANCO ITAU"/>
    <m/>
    <m/>
    <s v="Thaynara Borges"/>
    <n v="-52.77"/>
    <s v="Saída"/>
    <x v="0"/>
  </r>
  <r>
    <x v="20"/>
    <s v="Lisboa e Lisboa"/>
    <s v="Assessoria Contábil"/>
    <x v="1"/>
    <x v="1"/>
    <s v="CARLOS ALBERTO GRACIANO RODRIGUES"/>
    <s v="CARLOS ALBERTO GRACIANO RODRIGUES"/>
    <m/>
    <m/>
    <s v="Thaynara Borges"/>
    <n v="-1412"/>
    <s v="Saída"/>
    <x v="0"/>
  </r>
  <r>
    <x v="20"/>
    <s v="Sarah Alves Lisboa"/>
    <s v="50% sobre implantação (líquido, tirando 10% da Jainy)"/>
    <x v="2"/>
    <x v="2"/>
    <s v="MARIA DAS GRAÇAS MOREIRA DA SILVA"/>
    <s v="MARIA DAS GRAÇAS MOREIRA DA SILVA"/>
    <m/>
    <s v="APOSENTADORIA RURAL"/>
    <s v="Thaynara Borges"/>
    <n v="2385"/>
    <s v="Entrada"/>
    <x v="1"/>
  </r>
  <r>
    <x v="20"/>
    <s v="Sarah Alves Lisboa"/>
    <s v="50% sobre a implantação"/>
    <x v="2"/>
    <x v="2"/>
    <s v="JOSELINA ROSA DE SANTANA"/>
    <s v="JOSELINA ROSA DE SANTANA"/>
    <m/>
    <s v="APOSENTADORIA RURAL"/>
    <s v="Thaynara Borges"/>
    <n v="1945"/>
    <s v="Entrada"/>
    <x v="1"/>
  </r>
  <r>
    <x v="20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20"/>
    <s v="Lisboa e Lisboa"/>
    <s v="30% sobre a implantação"/>
    <x v="2"/>
    <x v="2"/>
    <s v="MARIA JOSE FONSECA ARAUJO MELO ROSETE GOIS"/>
    <s v="MARIA JOSE FONSECA ARAUJO MELO ROSETE GOIS"/>
    <m/>
    <s v="REVISÃO DE BENEFÍCIO"/>
    <s v="Thaynara Borges"/>
    <n v="3692.45"/>
    <s v="Entrada"/>
    <x v="1"/>
  </r>
  <r>
    <x v="20"/>
    <s v="Thaynara Borges Pereira"/>
    <s v="Parcelamento em 7x"/>
    <x v="2"/>
    <x v="2"/>
    <s v="MARIA DA SILVA NOGUEIRA"/>
    <s v="MARIA DA SILVA NOGUEIRA"/>
    <m/>
    <s v="Maria da Silva Nogueira x Nathalia dos Santos Nogueira"/>
    <s v="Thaynara Borges"/>
    <n v="250"/>
    <s v="Entrada"/>
    <x v="1"/>
  </r>
  <r>
    <x v="21"/>
    <s v="Lisboa e Lisboa"/>
    <s v="Plano mensal - conta corrente"/>
    <x v="4"/>
    <x v="3"/>
    <s v="BANCO ITAU"/>
    <s v="BANCO ITAU"/>
    <m/>
    <m/>
    <s v="Thaynara Borges"/>
    <n v="-261.75"/>
    <s v="Saída"/>
    <x v="0"/>
  </r>
  <r>
    <x v="21"/>
    <s v="Sarah Alves Lisboa"/>
    <s v="30% sobre o 1º pagamento"/>
    <x v="2"/>
    <x v="2"/>
    <s v="ANTÔNIO BARBOSA DA SILVA FILHO"/>
    <s v="ANTÔNIO BARBOSA DA SILVA FILHO"/>
    <m/>
    <s v="BENEFÍCIO POR INCAPACIDADE"/>
    <s v="Thaynara Borges"/>
    <n v="560"/>
    <s v="Entrada"/>
    <x v="1"/>
  </r>
  <r>
    <x v="22"/>
    <s v="Sarah Alves Lisboa"/>
    <s v="GRU"/>
    <x v="7"/>
    <x v="5"/>
    <s v="Jose Francisco Rodrigues da Silva"/>
    <s v="Jose Francisco Rodrigues da Silva"/>
    <m/>
    <s v="AUXILIO DOENÇA/ APOSENTADORIA POR INVALIDEZ"/>
    <s v="Thaynara Borges"/>
    <n v="-21.73"/>
    <s v="Saída"/>
    <x v="0"/>
  </r>
  <r>
    <x v="22"/>
    <s v="Lisboa e Lisboa"/>
    <s v="30% sobre os atrasados (valor liquido 50% Fernando)"/>
    <x v="2"/>
    <x v="2"/>
    <s v="MARCOS ANTONIO LOURENÇO DE TOLEDO"/>
    <s v="MARCOS ANTONIO LOURENÇO DE TOLEDO"/>
    <m/>
    <s v="AUXILIO DOENÇA"/>
    <s v="Thaynara Borges"/>
    <n v="1507.81"/>
    <s v="Entrada"/>
    <x v="2"/>
  </r>
  <r>
    <x v="22"/>
    <s v="Lisboa e Lisboa"/>
    <s v="Sucumbência líquida (70% da Vanessa)"/>
    <x v="2"/>
    <x v="2"/>
    <s v="LEILA DIAS MARTINS"/>
    <s v="LEILA DIAS MARTINS"/>
    <m/>
    <s v="SUSPENÇAO DE ALTA MEDICA CONCEDIDA EM APOSENTADORIA POR INVALIDEZ"/>
    <s v="Thaynara Borges"/>
    <n v="361.22"/>
    <s v="Entrada"/>
    <x v="2"/>
  </r>
  <r>
    <x v="22"/>
    <s v="Lisboa e Lisboa"/>
    <s v="30% sobre os atrasados (líquidos, 70% da Vanessa)"/>
    <x v="2"/>
    <x v="2"/>
    <s v="LEILA DIAS MARTINS"/>
    <s v="LEILA DIAS MARTINS"/>
    <m/>
    <s v="SUSPENÇAO DE ALTA MEDICA CONCEDIDA EM APOSENTADORIA POR INVALIDEZ"/>
    <s v="Thaynara Borges"/>
    <n v="1083.6400000000001"/>
    <s v="Entrada"/>
    <x v="2"/>
  </r>
  <r>
    <x v="22"/>
    <s v="Thaynara Borges Pereira"/>
    <s v="Jarra para cafeteira"/>
    <x v="26"/>
    <x v="1"/>
    <s v="Mercado Livre"/>
    <s v="Mercado Livre"/>
    <m/>
    <m/>
    <s v="Thaynara Borges"/>
    <n v="-70.22"/>
    <s v="Saída"/>
    <x v="0"/>
  </r>
  <r>
    <x v="22"/>
    <s v="Lisboa e Lisboa"/>
    <s v="2 Benefícios parcelados em 6x"/>
    <x v="2"/>
    <x v="2"/>
    <s v="ISABEL PEREIRA SOUSA"/>
    <s v="ISABEL PEREIRA SOUSA"/>
    <m/>
    <s v="APOSENTADORIA POR IDADE"/>
    <s v="Thaynara Borges"/>
    <n v="470.66"/>
    <s v="Entrada"/>
    <x v="1"/>
  </r>
  <r>
    <x v="22"/>
    <s v="Sarah Alves Lisboa"/>
    <s v="GRU"/>
    <x v="7"/>
    <x v="5"/>
    <s v="FABIANO MAGNO CESAR"/>
    <s v="FABIANO MAGNO CESAR"/>
    <m/>
    <s v="AUXILIO DOENÇA"/>
    <s v="Thaynara Borges"/>
    <n v="-21.73"/>
    <s v="Saída"/>
    <x v="0"/>
  </r>
  <r>
    <x v="22"/>
    <s v="Lisboa e Lisboa"/>
    <s v="Condomínio"/>
    <x v="10"/>
    <x v="1"/>
    <s v="ATON BUSINESS STYLE"/>
    <s v="ATON BUSINESS STYLE"/>
    <m/>
    <m/>
    <s v="Thaynara Borges"/>
    <n v="-2967.49"/>
    <s v="Saída"/>
    <x v="0"/>
  </r>
  <r>
    <x v="22"/>
    <s v="Sarah Alves Lisboa"/>
    <s v="GRU"/>
    <x v="7"/>
    <x v="5"/>
    <s v="MARCOS ANTONIO LOURENÇO DE TOLEDO"/>
    <s v="MARCOS ANTONIO LOURENÇO DE TOLEDO"/>
    <m/>
    <s v="AUXILIO DOENÇA"/>
    <s v="Thaynara Borges"/>
    <n v="-21.73"/>
    <s v="Saída"/>
    <x v="0"/>
  </r>
  <r>
    <x v="22"/>
    <s v="Sarah Alves Lisboa"/>
    <s v="Limpeza"/>
    <x v="9"/>
    <x v="1"/>
    <s v="ELIZANGELA FERREIRA DA SILVA"/>
    <s v="ELIZANGELA FERREIRA DA SILVA"/>
    <m/>
    <m/>
    <s v="Thaynara Borges"/>
    <n v="-170"/>
    <s v="Saída"/>
    <x v="0"/>
  </r>
  <r>
    <x v="22"/>
    <s v="Lisboa e Lisboa"/>
    <s v="Cartão de Crédito Dr Ivanilldo"/>
    <x v="6"/>
    <x v="1"/>
    <s v="BANCO ITAU"/>
    <s v="BANCO ITAU"/>
    <m/>
    <m/>
    <s v="Thaynara Borges"/>
    <n v="-3379.88"/>
    <s v="Saída"/>
    <x v="3"/>
  </r>
  <r>
    <x v="23"/>
    <s v="Lisboa e Lisboa"/>
    <s v="Banner"/>
    <x v="3"/>
    <x v="1"/>
    <s v="Rhuan Carlos Batista"/>
    <s v="Rhuan Carlos Batista"/>
    <m/>
    <m/>
    <s v="Thaynara Borges"/>
    <n v="-30"/>
    <s v="Saída"/>
    <x v="0"/>
  </r>
  <r>
    <x v="23"/>
    <s v="Sarah Alves Lisboa"/>
    <s v="30% sobre implantação"/>
    <x v="2"/>
    <x v="2"/>
    <s v="GERENIAS GOMES DA SILVA"/>
    <s v="GERENIAS GOMES DA SILVA"/>
    <m/>
    <s v="BENEFÍCIO POR INCAPACIDADE"/>
    <s v="Thaynara Borges"/>
    <n v="1523.1"/>
    <s v="Entrada"/>
    <x v="1"/>
  </r>
  <r>
    <x v="23"/>
    <s v="Thaynara Borges Pereira"/>
    <s v="Honorários 25% sobre a parte encontrada (tirando parte da Vanessa)"/>
    <x v="2"/>
    <x v="2"/>
    <s v="PABLO CASSIO MENDES"/>
    <s v="PABLO CASSIO MENDES"/>
    <m/>
    <s v="INDENIZACAO POR DANOS MORAIS E MATERIAIS"/>
    <s v="Thaynara Borges"/>
    <n v="201.46"/>
    <s v="Entrada"/>
    <x v="1"/>
  </r>
  <r>
    <x v="23"/>
    <s v="Thaynara Borges Pereira"/>
    <s v="Parceria com Dr. Silvio"/>
    <x v="2"/>
    <x v="2"/>
    <s v="ANTONIO PEREIRA SOBRINHO"/>
    <s v="ANTONIO PEREIRA SOBRINHO"/>
    <m/>
    <m/>
    <s v="Thaynara Borges"/>
    <n v="354"/>
    <s v="Entrada"/>
    <x v="1"/>
  </r>
  <r>
    <x v="24"/>
    <s v="Lisboa e Lisboa"/>
    <s v="Telefone fixo e internet"/>
    <x v="8"/>
    <x v="1"/>
    <s v="VIVO"/>
    <s v="VIVO"/>
    <m/>
    <m/>
    <s v="Thaynara Borges"/>
    <n v="-367.84"/>
    <s v="Saída"/>
    <x v="0"/>
  </r>
  <r>
    <x v="24"/>
    <s v="Lisboa e Lisboa"/>
    <s v="Parcelas - honorários 3 benefícios"/>
    <x v="2"/>
    <x v="2"/>
    <s v="JOÃO BAREICHA FERREIRA GALVÃO"/>
    <s v="JOÃO BAREICHA FERREIRA GALVÃO"/>
    <m/>
    <s v="APOSENTADORIA"/>
    <s v="Thaynara Borges"/>
    <n v="1589.62"/>
    <s v="Entrada"/>
    <x v="1"/>
  </r>
  <r>
    <x v="25"/>
    <s v="Sarah Alves Lisboa"/>
    <s v="Celular"/>
    <x v="8"/>
    <x v="1"/>
    <s v="VIVO"/>
    <s v="VIVO"/>
    <m/>
    <m/>
    <s v="Thaynara Borges"/>
    <n v="-130.37"/>
    <s v="Saída"/>
    <x v="0"/>
  </r>
  <r>
    <x v="25"/>
    <s v="Lisboa e Lisboa"/>
    <s v="Cartão de Crédito Dra Sarah"/>
    <x v="6"/>
    <x v="1"/>
    <s v="BANCO ITAU"/>
    <s v="BANCO ITAU"/>
    <m/>
    <m/>
    <s v="Thaynara Borges"/>
    <n v="-308.25"/>
    <s v="Saída"/>
    <x v="3"/>
  </r>
  <r>
    <x v="26"/>
    <s v="Sarah Alves Lisboa"/>
    <s v="Tarifa Bancária"/>
    <x v="4"/>
    <x v="3"/>
    <s v="BANCO DO BRASIL S/A"/>
    <s v="BANCO DO BRASIL S/A"/>
    <m/>
    <m/>
    <s v="Thaynara Borges"/>
    <n v="-14.55"/>
    <s v="Saída"/>
    <x v="0"/>
  </r>
  <r>
    <x v="26"/>
    <s v="Lisboa e Lisboa"/>
    <s v="30% sobre os atrasados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12957.89"/>
    <s v="Entrada"/>
    <x v="1"/>
  </r>
  <r>
    <x v="26"/>
    <s v="Lisboa e Lisboa"/>
    <s v="Publicações Renio"/>
    <x v="12"/>
    <x v="1"/>
    <s v="PRO JURIDICO"/>
    <s v="PRO JURIDICO"/>
    <m/>
    <m/>
    <s v="Thaynara Borges"/>
    <n v="-100"/>
    <s v="Saída"/>
    <x v="0"/>
  </r>
  <r>
    <x v="26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6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26"/>
    <s v="Lisboa e Lisboa"/>
    <s v="IEL Estagiárias"/>
    <x v="13"/>
    <x v="6"/>
    <s v="IEL"/>
    <s v="IEL"/>
    <m/>
    <m/>
    <s v="Thaynara Borges"/>
    <n v="-200"/>
    <s v="Saída"/>
    <x v="0"/>
  </r>
  <r>
    <x v="26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6"/>
    <s v="Lisboa e Lisboa"/>
    <s v="50% dos atrasados (líquido, 10% da jainy)"/>
    <x v="2"/>
    <x v="2"/>
    <s v="MARIA DAS GRAÇAS MOREIRA DA SILVA"/>
    <s v="MARIA DAS GRAÇAS MOREIRA DA SILVA"/>
    <m/>
    <s v="APOSENTADORIA RURAL"/>
    <s v="Thaynara Borges"/>
    <n v="3438"/>
    <s v="Entrada"/>
    <x v="1"/>
  </r>
  <r>
    <x v="26"/>
    <s v="Lisboa e Lisboa"/>
    <s v="30% dos atrasados + 20% anuidade"/>
    <x v="2"/>
    <x v="2"/>
    <s v="MARIA APARECIDA DA COSTA DIAS"/>
    <s v="MARIA APARECIDA DA COSTA DIAS"/>
    <m/>
    <s v="AUXÍLIO DOENÇA RURAL"/>
    <s v="Thaynara Borges"/>
    <n v="11829.76"/>
    <s v="Entrada"/>
    <x v="1"/>
  </r>
  <r>
    <x v="26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6"/>
    <s v="Sarah Alves Lisboa"/>
    <s v="30% SOBRE A IMPLANTAÇÃO"/>
    <x v="2"/>
    <x v="2"/>
    <s v="ANA PEREIRA DA SILVA JESUS"/>
    <s v="ANA PEREIRA DA SILVA JESUS"/>
    <m/>
    <s v="AMPARA AO IDOSO"/>
    <s v="Thaynara Borges"/>
    <n v="1272.3"/>
    <s v="Entrada"/>
    <x v="1"/>
  </r>
  <r>
    <x v="27"/>
    <s v="Lisboa e Lisboa"/>
    <s v="Parcela Honorários Parceria"/>
    <x v="2"/>
    <x v="2"/>
    <s v="SONIA MARIA DA SILVA"/>
    <s v="SONIA MARIA DA SILVA"/>
    <m/>
    <s v="Defesa Cível - Parceria Dr Silvio"/>
    <s v="Thaynara Borges"/>
    <n v="450"/>
    <s v="Entrada"/>
    <x v="2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9"/>
    <s v="Lisboa e Lisboa"/>
    <s v="CONSULTA"/>
    <x v="2"/>
    <x v="2"/>
    <s v="DJEROWILSON ARAÚJO GONÇALVES"/>
    <s v="DJEROWILSON ARAÚJO GONÇALVES"/>
    <m/>
    <s v="ANÁLISE"/>
    <s v="Nathalia Louiz"/>
    <n v="400"/>
    <s v="Entrada"/>
    <x v="1"/>
  </r>
  <r>
    <x v="29"/>
    <s v="Sarah Alves Lisboa"/>
    <s v="Honorário de implantação"/>
    <x v="2"/>
    <x v="2"/>
    <s v="AMARILDO DE MOURA"/>
    <s v="AMARILDO DE MOURA"/>
    <m/>
    <s v="APOSENTADORIA"/>
    <s v="Thaynara Borges"/>
    <n v="1125"/>
    <s v="Entrada"/>
    <x v="1"/>
  </r>
  <r>
    <x v="30"/>
    <s v="Sarah Alves Lisboa"/>
    <s v="Cartão de Crédito Dra Thaynara"/>
    <x v="6"/>
    <x v="1"/>
    <s v="C6"/>
    <s v="C6"/>
    <m/>
    <m/>
    <s v="Thaynara Borges"/>
    <n v="-1012.15"/>
    <s v="Saída"/>
    <x v="3"/>
  </r>
  <r>
    <x v="30"/>
    <s v="Lisboa e Lisboa"/>
    <s v="Publicações aviso urgente"/>
    <x v="12"/>
    <x v="1"/>
    <s v="AVISO URGENTE T I LTDA"/>
    <s v="AVISO URGENTE T I LTDA"/>
    <m/>
    <m/>
    <s v="Thaynara Borges"/>
    <n v="-507.3"/>
    <s v="Saída"/>
    <x v="0"/>
  </r>
  <r>
    <x v="31"/>
    <s v="Sarah Alves Lisboa"/>
    <s v="SSD para computador da Nina"/>
    <x v="14"/>
    <x v="1"/>
    <s v="LISBOA E LISBOA ADVOGADOS ASSOCIADOS"/>
    <s v="LISBOA E LISBOA ADVOGADOS ASSOCIADOS"/>
    <m/>
    <m/>
    <s v="Nathalia Louiz"/>
    <n v="-244.32"/>
    <s v="Saída"/>
    <x v="0"/>
  </r>
  <r>
    <x v="32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33"/>
    <s v="Lisboa e Lisboa"/>
    <s v="Simples Nacional"/>
    <x v="20"/>
    <x v="7"/>
    <s v="Simples Nacional"/>
    <s v="Simples Nacional"/>
    <m/>
    <m/>
    <s v="Thaynara Borges"/>
    <n v="-3049.39"/>
    <s v="Saída"/>
    <x v="0"/>
  </r>
  <r>
    <x v="33"/>
    <s v="Thaynara Borges Pereira"/>
    <s v="Parceria com Dr. Silvio"/>
    <x v="2"/>
    <x v="2"/>
    <s v="ANTONIO PEREIRA SOBRINHO"/>
    <s v="ANTONIO PEREIRA SOBRINHO"/>
    <m/>
    <m/>
    <s v="Thaynara Borges"/>
    <n v="354"/>
    <s v="Entrada"/>
    <x v="2"/>
  </r>
  <r>
    <x v="33"/>
    <s v="Lisboa e Lisboa"/>
    <s v="Água"/>
    <x v="17"/>
    <x v="1"/>
    <s v="SANEAGO GOIAS S/A"/>
    <s v="SANEAGO GOIAS S/A"/>
    <m/>
    <m/>
    <s v="Thaynara Borges"/>
    <n v="-61.14"/>
    <s v="Saída"/>
    <x v="0"/>
  </r>
  <r>
    <x v="33"/>
    <s v="Lisboa e Lisboa"/>
    <s v="Anuidade - parceria com Dr Fernando"/>
    <x v="2"/>
    <x v="2"/>
    <s v="ELVIO DE OLIVEIRA SOARES"/>
    <s v="ELVIO DE OLIVEIRA SOARES"/>
    <m/>
    <s v="APOSENTADORIA POR IDADE"/>
    <s v="Thaynara Borges"/>
    <n v="211.8"/>
    <s v="Entrada"/>
    <x v="1"/>
  </r>
  <r>
    <x v="33"/>
    <s v="Lisboa e Lisboa"/>
    <s v="FGTS"/>
    <x v="18"/>
    <x v="6"/>
    <s v="Ministério do Trabalho e Emprego"/>
    <s v="Ministério do Trabalho e Emprego"/>
    <m/>
    <m/>
    <s v="Thaynara Borges"/>
    <n v="-415.96"/>
    <s v="Saída"/>
    <x v="0"/>
  </r>
  <r>
    <x v="33"/>
    <s v="Sarah Alves Lisboa"/>
    <s v="PIX para Gasolina - Sarah (Pleiteio de Cliente)"/>
    <x v="27"/>
    <x v="4"/>
    <s v="LISBOA E LISBOA ADVOGADOS ASSOCIADOS"/>
    <s v="LISBOA E LISBOA ADVOGADOS ASSOCIADOS"/>
    <s v="Enviado da conta BB Sarah para a conta Itaú Sarah"/>
    <m/>
    <s v="Nathalia Louiz"/>
    <n v="-70"/>
    <s v="Saída"/>
    <x v="0"/>
  </r>
  <r>
    <x v="33"/>
    <s v="Sarah Alves Lisboa"/>
    <s v="PIX PARA XEROX (Plenteio de cliente)"/>
    <x v="27"/>
    <x v="4"/>
    <s v="LISBOA E LISBOA ADVOGADOS ASSOCIADOS"/>
    <s v="LISBOA E LISBOA ADVOGADOS ASSOCIADOS"/>
    <s v="Enviado da conta BB Sarah para a conta Itaú Sarah"/>
    <m/>
    <s v="Nathalia Louiz"/>
    <n v="-30"/>
    <s v="Saída"/>
    <x v="0"/>
  </r>
  <r>
    <x v="33"/>
    <s v="Lisboa e Lisboa"/>
    <s v="INSS"/>
    <x v="19"/>
    <x v="6"/>
    <s v="Receita Federal"/>
    <s v="Receita Federal"/>
    <m/>
    <m/>
    <s v="Thaynara Borges"/>
    <n v="-1980.52"/>
    <s v="Saída"/>
    <x v="0"/>
  </r>
  <r>
    <x v="34"/>
    <s v="Sarah Alves Lisboa"/>
    <s v="Indicação para Dra. Karine Domingues"/>
    <x v="2"/>
    <x v="2"/>
    <s v="KESIA DA SILVA RIBEIRO"/>
    <s v="KESIA DA SILVA RIBEIRO"/>
    <m/>
    <m/>
    <s v="Thaynara Borges"/>
    <n v="270"/>
    <s v="Entrada"/>
    <x v="1"/>
  </r>
  <r>
    <x v="34"/>
    <s v="Lisboa e Lisboa"/>
    <s v="20% pela parceria com Dra. Nubia"/>
    <x v="2"/>
    <x v="2"/>
    <s v="GILNETH VIDAL DOS SANTOS"/>
    <s v="GILNETH VIDAL DOS SANTOS"/>
    <m/>
    <s v="ANALISAR PROCESSOS"/>
    <s v="Thaynara Borges"/>
    <n v="120"/>
    <s v="Entrada"/>
    <x v="2"/>
  </r>
  <r>
    <x v="34"/>
    <s v="Lisboa e Lisboa"/>
    <s v="Sucumbencia liquida, tirando Giuliano e Vanessa"/>
    <x v="2"/>
    <x v="2"/>
    <s v="LUCILENE DOMINGUES DE OLIVEIRA"/>
    <s v="LUCILENE DOMINGUES DE OLIVEIRA"/>
    <m/>
    <s v="PENSAO POR MORTE"/>
    <s v="Thaynara Borges"/>
    <n v="3674.98"/>
    <s v="Entrada"/>
    <x v="1"/>
  </r>
  <r>
    <x v="34"/>
    <s v="Sarah Alves Lisboa"/>
    <s v="Indicação para Dra. Karine Domingues"/>
    <x v="2"/>
    <x v="2"/>
    <s v="KESIA DA SILVA RIBEIRO"/>
    <s v="KESIA DA SILVA RIBEIRO"/>
    <m/>
    <m/>
    <s v="Thaynara Borges"/>
    <n v="270"/>
    <s v="Entrada"/>
    <x v="1"/>
  </r>
  <r>
    <x v="35"/>
    <s v="Sarah Alves Lisboa"/>
    <s v="30%  sobre atrasados"/>
    <x v="2"/>
    <x v="2"/>
    <s v="Jose Francisco Rodrigues da Silva"/>
    <s v="Jose Francisco Rodrigues da Silva"/>
    <s v="BB da Sarah"/>
    <s v="AUXILIO DOENÇA/ APOSENTADORIA POR INVALIDEZ"/>
    <s v="Thaynara Borges"/>
    <n v="616.44000000000005"/>
    <s v="Entrada"/>
    <x v="1"/>
  </r>
  <r>
    <x v="36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36"/>
    <s v="Lisboa e Lisboa"/>
    <s v="MANUTENÇÃO DO ESCRITORIO (vazamentos hidráulicos)"/>
    <x v="14"/>
    <x v="1"/>
    <s v="LISBOA E LISBOA ADVOGADOS ASSOCIADOS"/>
    <s v="LISBOA E LISBOA ADVOGADOS ASSOCIADOS"/>
    <s v="PIX para IDEAL DEDETIZADORA E DESENTUPIDORA"/>
    <m/>
    <s v="Nathalia Louiz"/>
    <n v="-150"/>
    <s v="Saída"/>
    <x v="0"/>
  </r>
  <r>
    <x v="37"/>
    <s v="Lisboa e Lisboa"/>
    <s v="CUSTAS EXECUÇÃO ESPÓLIO REGINALDO"/>
    <x v="7"/>
    <x v="5"/>
    <s v="ESPÓLIO DE REGINALDO DE SOUZA LIRA"/>
    <s v="ESPÓLIO DE REGINALDO DE SOUZA LIRA"/>
    <m/>
    <s v="ESPÓLIO DE REGINALDO DE SOUZA LIRA x A DEFINIR"/>
    <s v="Nathalia Louiz"/>
    <n v="-132.99"/>
    <s v="Saída"/>
    <x v="0"/>
  </r>
  <r>
    <x v="37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38"/>
    <s v="Sarah Alves Lisboa"/>
    <s v="Parcelas anuidade"/>
    <x v="2"/>
    <x v="2"/>
    <s v="JOSE NILTON FERREIRA DE SOUZA"/>
    <s v="JOSE NILTON FERREIRA DE SOUZA"/>
    <m/>
    <s v="APOSENTADORIA POR IDADE"/>
    <s v="Thaynara Borges"/>
    <n v="282.39999999999998"/>
    <s v="Entrada"/>
    <x v="1"/>
  </r>
  <r>
    <x v="38"/>
    <s v="Lisboa e Lisboa"/>
    <s v="Suprimentos para o Escritório"/>
    <x v="26"/>
    <x v="1"/>
    <s v="LISBOA E LISBOA ADVOGADOS ASSOCIADOS"/>
    <s v="LISBOA E LISBOA ADVOGADOS ASSOCIADOS"/>
    <s v="Boleto agendado"/>
    <m/>
    <s v="Nathalia Louiz"/>
    <n v="-340.6"/>
    <s v="Saída"/>
    <x v="0"/>
  </r>
  <r>
    <x v="38"/>
    <s v="Lisboa e Lisboa"/>
    <s v="30% sobre os atrasados"/>
    <x v="2"/>
    <x v="2"/>
    <s v="FABIANO MAGNO CESAR"/>
    <s v="FABIANO MAGNO CESAR"/>
    <m/>
    <s v="AUXILIO DOENÇA"/>
    <s v="Thaynara Borges"/>
    <n v="14421.52"/>
    <s v="Entrada"/>
    <x v="1"/>
  </r>
  <r>
    <x v="38"/>
    <s v="Lisboa e Lisboa"/>
    <s v="Energia"/>
    <x v="21"/>
    <x v="1"/>
    <s v="EQUATORIAL GOIAS"/>
    <s v="EQUATORIAL GOIAS"/>
    <m/>
    <m/>
    <s v="Thaynara Borges"/>
    <n v="-720.51"/>
    <s v="Saída"/>
    <x v="0"/>
  </r>
  <r>
    <x v="39"/>
    <s v="Thaynara Borges Pereira"/>
    <s v="Diferença ref.: 3 Benefícios parcelados"/>
    <x v="2"/>
    <x v="2"/>
    <s v="ANA ELIA DE SOUZA MANSE"/>
    <s v="ANA ELIA DE SOUZA MANSE"/>
    <s v="Recebimento parcial"/>
    <s v="PENSÃO POR MORTE"/>
    <s v="Thaynara Borges"/>
    <n v="410"/>
    <s v="Entrada"/>
    <x v="1"/>
  </r>
  <r>
    <x v="39"/>
    <s v="Thaynara Borges Pereira"/>
    <s v="Diferença ref.: 3 Benefícios parcelados"/>
    <x v="2"/>
    <x v="2"/>
    <s v="ANA ELIA DE SOUZA MANSE"/>
    <s v="ANA ELIA DE SOUZA MANSE"/>
    <m/>
    <s v="PENSÃO POR MORTE"/>
    <s v="Thaynara Borges"/>
    <n v="59"/>
    <s v="Entrada"/>
    <x v="1"/>
  </r>
  <r>
    <x v="40"/>
    <s v="Lisboa e Lisboa"/>
    <s v="Salario"/>
    <x v="15"/>
    <x v="6"/>
    <s v="Nina Araujo"/>
    <s v="Nina Araujo"/>
    <m/>
    <m/>
    <s v="Thaynara Borges"/>
    <n v="-3195.89"/>
    <s v="Saída"/>
    <x v="0"/>
  </r>
  <r>
    <x v="40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40"/>
    <s v="Lisboa e Lisboa"/>
    <s v="Retirada"/>
    <x v="22"/>
    <x v="8"/>
    <s v="Thaynara Borges Pereira"/>
    <s v="Thaynara Borges Pereira"/>
    <m/>
    <m/>
    <s v="Thaynara Borges"/>
    <n v="-3648.98"/>
    <s v="Saída"/>
    <x v="0"/>
  </r>
  <r>
    <x v="40"/>
    <s v="Sarah Alves Lisboa"/>
    <s v="Salário - Parcial"/>
    <x v="15"/>
    <x v="6"/>
    <s v="Nathalia Louiz Alves Vigilato"/>
    <s v="Nathalia Louiz Alves Vigilato"/>
    <m/>
    <m/>
    <s v="Nathalia Louiz"/>
    <n v="-930.39"/>
    <s v="Saída"/>
    <x v="0"/>
  </r>
  <r>
    <x v="40"/>
    <s v="Lisboa e Lisboa"/>
    <s v="Bolsa Estagio"/>
    <x v="13"/>
    <x v="6"/>
    <s v="ISABELLA ALVIM BIACHINI"/>
    <s v="ISABELLA ALVIM BIACHINI"/>
    <m/>
    <m/>
    <s v="Thaynara Borges"/>
    <n v="-1300"/>
    <s v="Saída"/>
    <x v="0"/>
  </r>
  <r>
    <x v="40"/>
    <s v="Lisboa e Lisboa"/>
    <s v="Retirada"/>
    <x v="22"/>
    <x v="8"/>
    <s v="Sarah Alves Lisboa"/>
    <s v="Sarah Alves Lisboa"/>
    <m/>
    <m/>
    <s v="Thaynara Borges"/>
    <n v="-6148.98"/>
    <s v="Saída"/>
    <x v="0"/>
  </r>
  <r>
    <x v="40"/>
    <s v="Lisboa e Lisboa"/>
    <s v="Pro labore"/>
    <x v="23"/>
    <x v="8"/>
    <s v="Thaynara Borges Pereira"/>
    <s v="Thaynara Borges Pereira"/>
    <m/>
    <m/>
    <s v="Thaynara Borges"/>
    <n v="-1351.02"/>
    <s v="Saída"/>
    <x v="0"/>
  </r>
  <r>
    <x v="40"/>
    <s v="Lisboa e Lisboa"/>
    <s v="Pro labore"/>
    <x v="23"/>
    <x v="8"/>
    <s v="Sarah Alves Lisboa"/>
    <s v="Sarah Alves Lisboa"/>
    <m/>
    <m/>
    <s v="Thaynara Borges"/>
    <n v="-1351.02"/>
    <s v="Saída"/>
    <x v="0"/>
  </r>
  <r>
    <x v="40"/>
    <s v="Lisboa e Lisboa"/>
    <s v="Bolsa Estagio"/>
    <x v="13"/>
    <x v="6"/>
    <s v="Laura Barbosa Marques"/>
    <s v="Laura Barbosa Marques"/>
    <m/>
    <m/>
    <s v="Thaynara Borges"/>
    <n v="-1300"/>
    <s v="Saída"/>
    <x v="0"/>
  </r>
  <r>
    <x v="40"/>
    <s v="Sarah Alves Lisboa"/>
    <s v="Salario"/>
    <x v="15"/>
    <x v="6"/>
    <s v="Raffaela Nunes"/>
    <s v="Raffaela Nunes"/>
    <m/>
    <m/>
    <s v="Thaynara Borges"/>
    <n v="-2200"/>
    <s v="Saída"/>
    <x v="0"/>
  </r>
  <r>
    <x v="41"/>
    <s v="Cartão de Crédito Dr Ivanildo"/>
    <s v="Google One"/>
    <x v="12"/>
    <x v="1"/>
    <s v="BANCO ITAU"/>
    <s v="BANCO ITAU"/>
    <m/>
    <m/>
    <s v="Thaynara Borges"/>
    <n v="-38.99"/>
    <s v="Saída"/>
    <x v="0"/>
  </r>
  <r>
    <x v="41"/>
    <s v="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41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41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41"/>
    <s v="Cartão de Crédito Dra Thaynara"/>
    <s v="GOOGLE GSUITE_PREVLEX."/>
    <x v="12"/>
    <x v="1"/>
    <s v="C6"/>
    <s v="C6"/>
    <m/>
    <m/>
    <s v="Thaynara Borges"/>
    <n v="-126"/>
    <s v="Saída"/>
    <x v="0"/>
  </r>
  <r>
    <x v="41"/>
    <s v="Cartão de Crédito Dr Ivanildo"/>
    <s v="Jusbrasil"/>
    <x v="12"/>
    <x v="1"/>
    <s v="BANCO ITAU"/>
    <s v="BANCO ITAU"/>
    <m/>
    <m/>
    <s v="Thaynara Borges"/>
    <n v="-58.9"/>
    <s v="Saída"/>
    <x v="0"/>
  </r>
  <r>
    <x v="41"/>
    <s v="Cartão de Crédito Dr Ivanildo"/>
    <s v="Canaã Frios"/>
    <x v="11"/>
    <x v="1"/>
    <s v="BANCO ITAU"/>
    <s v="BANCO ITAU"/>
    <m/>
    <m/>
    <s v="Nathalia Louiz"/>
    <n v="-41.08"/>
    <s v="Saída"/>
    <x v="0"/>
  </r>
  <r>
    <x v="41"/>
    <s v="Cartão de Crédito Dr Ivanildo"/>
    <s v="Pagamento Cartão de Crédito Dr Ivanildo"/>
    <x v="6"/>
    <x v="1"/>
    <s v="BANCO ITAU"/>
    <s v="BANCO ITAU"/>
    <m/>
    <m/>
    <s v="Thaynara Borges"/>
    <n v="2474.3000000000002"/>
    <s v="Entrada"/>
    <x v="1"/>
  </r>
  <r>
    <x v="41"/>
    <s v="Cartão de Crédito Dr Ivanildo"/>
    <s v="Google One"/>
    <x v="12"/>
    <x v="1"/>
    <s v="BANCO ITAU"/>
    <s v="BANCO ITAU"/>
    <m/>
    <m/>
    <s v="Thaynara Borges"/>
    <n v="-11.99"/>
    <s v="Saída"/>
    <x v="0"/>
  </r>
  <r>
    <x v="41"/>
    <s v="Sarah Alves Lisboa"/>
    <s v="Parcela Honorários Parceria"/>
    <x v="2"/>
    <x v="2"/>
    <s v="SONIA MARIA DA SILVA"/>
    <s v="SONIA MARIA DA SILVA"/>
    <m/>
    <s v="Defesa Cível - Parceria Dr Silvio"/>
    <s v="Thaynara Borges"/>
    <n v="450"/>
    <s v="Entrada"/>
    <x v="1"/>
  </r>
  <r>
    <x v="41"/>
    <s v="Cartão de Crédito Dr Ivanildo"/>
    <s v="Moreira"/>
    <x v="26"/>
    <x v="1"/>
    <s v="BANCO ITAU"/>
    <s v="BANCO ITAU"/>
    <m/>
    <m/>
    <s v="Nathalia Louiz"/>
    <n v="-198.48"/>
    <s v="Saída"/>
    <x v="0"/>
  </r>
  <r>
    <x v="41"/>
    <s v="Cartão de Crédito Dra Thaynara"/>
    <s v="ASTREA"/>
    <x v="12"/>
    <x v="1"/>
    <s v="C6"/>
    <s v="C6"/>
    <m/>
    <m/>
    <s v="Thaynara Borges"/>
    <n v="-456.75"/>
    <s v="Saída"/>
    <x v="0"/>
  </r>
  <r>
    <x v="41"/>
    <s v="Cartão de Crédito Dr Ivanildo"/>
    <s v="Previdenciarista"/>
    <x v="12"/>
    <x v="1"/>
    <s v="BANCO ITAU"/>
    <s v="BANCO ITAU"/>
    <m/>
    <m/>
    <s v="Thaynara Borges"/>
    <n v="-99.9"/>
    <s v="Saída"/>
    <x v="0"/>
  </r>
  <r>
    <x v="41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41"/>
    <s v="Sarah Alves Lisboa"/>
    <s v="Honorários contratuais + sucumbência"/>
    <x v="2"/>
    <x v="2"/>
    <s v="PABLO CASSIO MENDES"/>
    <s v="PABLO CASSIO MENDES"/>
    <m/>
    <s v="INDENIZACAO POR DANOS MORAIS E MATERIAIS"/>
    <s v="Thaynara Borges"/>
    <n v="6125"/>
    <s v="Entrada"/>
    <x v="1"/>
  </r>
  <r>
    <x v="41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41"/>
    <s v="Thaynara Borges Pereira"/>
    <s v="Parcelamento em 7x"/>
    <x v="2"/>
    <x v="2"/>
    <s v="MARIA DA SILVA NOGUEIRA"/>
    <s v="MARIA DA SILVA NOGUEIRA"/>
    <m/>
    <s v="Maria da Silva Nogueira x Nathalia dos Santos Nogueira"/>
    <s v="Thaynara Borges"/>
    <n v="250"/>
    <s v="Entrada"/>
    <x v="1"/>
  </r>
  <r>
    <x v="41"/>
    <s v="Lisboa e Lisboa"/>
    <s v="30% da implantação do adicional de 25%. Será descontado na RPV."/>
    <x v="2"/>
    <x v="2"/>
    <s v="SANDRA MARIA SOARES"/>
    <s v="SANDRA MARIA SOARES"/>
    <m/>
    <s v="RESTABELECIMENTO AUXILIO DOENÇA"/>
    <s v="Thaynara Borges"/>
    <n v="317.7"/>
    <s v="Entrada"/>
    <x v="2"/>
  </r>
  <r>
    <x v="41"/>
    <s v="Cartão de Crédito Dra Thaynara"/>
    <s v="Cálculo Jurídico"/>
    <x v="12"/>
    <x v="1"/>
    <s v="C6"/>
    <s v="C6"/>
    <m/>
    <m/>
    <s v="Thaynara Borges"/>
    <n v="-120.29"/>
    <s v="Saída"/>
    <x v="0"/>
  </r>
  <r>
    <x v="41"/>
    <s v="Cartão de Crédito Dra Thaynara"/>
    <s v="APPLE.COM/BILL - Assinatura Teleprompter"/>
    <x v="27"/>
    <x v="4"/>
    <s v="C6"/>
    <s v="C6"/>
    <m/>
    <m/>
    <s v="Thaynara Borges"/>
    <n v="-99.9"/>
    <s v="Saída"/>
    <x v="0"/>
  </r>
  <r>
    <x v="41"/>
    <s v="Cartão de Crédito Dr Ivanildo"/>
    <s v="Cestas de fim de ano para equipe"/>
    <x v="11"/>
    <x v="1"/>
    <s v="BANCO ITAU"/>
    <s v="BANCO ITAU"/>
    <m/>
    <m/>
    <s v="Thaynara Borges"/>
    <n v="-725"/>
    <s v="Saída"/>
    <x v="0"/>
  </r>
  <r>
    <x v="41"/>
    <s v="Sarah Alves Lisboa"/>
    <s v="Parcela Honorários Parceria"/>
    <x v="2"/>
    <x v="2"/>
    <s v="SONIA MARIA DA SILVA"/>
    <s v="SONIA MARIA DA SILVA"/>
    <m/>
    <s v="Defesa Cível - Parceria Dr Silvio"/>
    <s v="Thaynara Borges"/>
    <n v="450"/>
    <s v="Entrada"/>
    <x v="1"/>
  </r>
  <r>
    <x v="41"/>
    <s v="Cartão de Crédito Dr Ivanildo"/>
    <s v="Canaã Frios"/>
    <x v="11"/>
    <x v="1"/>
    <s v="BANCO ITAU"/>
    <s v="BANCO ITAU"/>
    <m/>
    <m/>
    <s v="Nathalia Louiz"/>
    <n v="-41.1"/>
    <s v="Saída"/>
    <x v="0"/>
  </r>
  <r>
    <x v="41"/>
    <s v="Cartão de Crédito Dr Ivanildo"/>
    <s v="Pão de açúcar"/>
    <x v="26"/>
    <x v="1"/>
    <s v="BANCO ITAU"/>
    <s v="BANCO ITAU"/>
    <m/>
    <m/>
    <s v="Nathalia Louiz"/>
    <n v="-412.91"/>
    <s v="Saída"/>
    <x v="0"/>
  </r>
  <r>
    <x v="41"/>
    <s v="Cartão de Crédito Dr Ivanildo"/>
    <s v="Pequenas Coisas"/>
    <x v="26"/>
    <x v="1"/>
    <s v="BANCO ITAU"/>
    <s v="BANCO ITAU"/>
    <m/>
    <m/>
    <s v="Nathalia Louiz"/>
    <n v="-269"/>
    <s v="Saída"/>
    <x v="0"/>
  </r>
  <r>
    <x v="41"/>
    <s v="Cartão de Crédito Dr Ivanildo"/>
    <s v="Jusbrasil"/>
    <x v="12"/>
    <x v="1"/>
    <s v="BANCO ITAU"/>
    <s v="BANCO ITAU"/>
    <m/>
    <m/>
    <s v="Thaynara Borges"/>
    <n v="-58.9"/>
    <s v="Saída"/>
    <x v="0"/>
  </r>
  <r>
    <x v="41"/>
    <s v="Cartão de Crédito Dr Ivanildo"/>
    <s v="Papelaria"/>
    <x v="26"/>
    <x v="1"/>
    <s v="BANCO ITAU"/>
    <s v="BANCO ITAU"/>
    <m/>
    <m/>
    <s v="Nathalia Louiz"/>
    <n v="-84"/>
    <s v="Saída"/>
    <x v="0"/>
  </r>
  <r>
    <x v="41"/>
    <s v="Cartão de Crédito Dra Thaynara"/>
    <s v="Pagamento Cartão de Crédito Dra Thaynara"/>
    <x v="6"/>
    <x v="1"/>
    <s v="C6"/>
    <s v="C6"/>
    <m/>
    <m/>
    <s v="Nathalia Louiz"/>
    <n v="1112.05"/>
    <s v="Entrada"/>
    <x v="1"/>
  </r>
  <r>
    <x v="41"/>
    <s v="Cartão de Crédito Dr Ivanildo"/>
    <s v="Prévius"/>
    <x v="12"/>
    <x v="1"/>
    <s v="BANCO ITAU"/>
    <s v="BANCO ITAU"/>
    <m/>
    <m/>
    <s v="Thaynara Borges"/>
    <n v="-80.91"/>
    <s v="Saída"/>
    <x v="0"/>
  </r>
  <r>
    <x v="41"/>
    <s v="Cartão de Crédito Dra Thaynara"/>
    <s v="ASA*TRINDADE AMADO PRO (Curso de atualização previdenciária)"/>
    <x v="12"/>
    <x v="1"/>
    <s v="C6"/>
    <s v="C6"/>
    <m/>
    <m/>
    <s v="Thaynara Borges"/>
    <n v="-59.9"/>
    <s v="Saída"/>
    <x v="0"/>
  </r>
  <r>
    <x v="42"/>
    <s v="Sarah Alves Lisboa"/>
    <s v="3 Benefícios em Parcela Única"/>
    <x v="2"/>
    <x v="2"/>
    <s v="AMARILDO DE MOURA"/>
    <s v="AMARILDO DE MOURA"/>
    <m/>
    <m/>
    <s v="Nathalia Louiz"/>
    <n v="5891.37"/>
    <s v="Entrada"/>
    <x v="1"/>
  </r>
  <r>
    <x v="42"/>
    <s v="Lisboa e Lisboa"/>
    <s v="Serviços TI e Marketing"/>
    <x v="3"/>
    <x v="1"/>
    <s v="Rhuan Carlos Batista"/>
    <s v="Rhuan Carlos Batista"/>
    <m/>
    <m/>
    <s v="Thaynara Borges"/>
    <n v="-460"/>
    <s v="Saída"/>
    <x v="0"/>
  </r>
  <r>
    <x v="42"/>
    <s v="Lisboa e Lisboa"/>
    <s v="Plano mensal - conta corrente"/>
    <x v="4"/>
    <x v="3"/>
    <s v="BANCO ITAU"/>
    <s v="BANCO ITAU"/>
    <m/>
    <m/>
    <s v="Thaynara Borges"/>
    <n v="-69.5"/>
    <s v="Saída"/>
    <x v="0"/>
  </r>
  <r>
    <x v="42"/>
    <s v="Sarah Alves Lisboa"/>
    <s v="ANUIDADE 12X"/>
    <x v="2"/>
    <x v="2"/>
    <s v="ANA PEREIRA DA SILVA JESUS"/>
    <s v="ANA PEREIRA DA SILVA JESUS"/>
    <m/>
    <s v="AMPARA AO IDOSO"/>
    <s v="Nathalia Louiz"/>
    <n v="303.60000000000002"/>
    <s v="Entrada"/>
    <x v="1"/>
  </r>
  <r>
    <x v="43"/>
    <s v="Lisboa e Lisboa"/>
    <s v="Condomínio"/>
    <x v="10"/>
    <x v="1"/>
    <s v="ATON BUSINESS STYLE"/>
    <s v="ATON BUSINESS STYLE"/>
    <m/>
    <m/>
    <s v="Thaynara Borges"/>
    <n v="-3015.68"/>
    <s v="Saída"/>
    <x v="0"/>
  </r>
  <r>
    <x v="43"/>
    <s v="Lisboa e Lisboa"/>
    <s v="Cartão de Crédito Dr Ivanilldo"/>
    <x v="6"/>
    <x v="1"/>
    <s v="BANCO ITAU"/>
    <s v="BANCO ITAU"/>
    <m/>
    <m/>
    <s v="Thaynara Borges"/>
    <n v="-2474.3000000000002"/>
    <s v="Saída"/>
    <x v="0"/>
  </r>
  <r>
    <x v="43"/>
    <s v="Thaynara Borges Pereira"/>
    <s v="Diferença ref.: 3 Benefícios parcelados"/>
    <x v="2"/>
    <x v="2"/>
    <s v="ANA ELIA DE SOUZA MANSE"/>
    <s v="ANA ELIA DE SOUZA MANSE"/>
    <m/>
    <s v="PENSÃO POR MORTE"/>
    <s v="Thaynara Borges"/>
    <n v="159"/>
    <s v="Entrada"/>
    <x v="1"/>
  </r>
  <r>
    <x v="43"/>
    <s v="Sarah Alves Lisboa"/>
    <s v="Comissão de meta batida - Janeiro"/>
    <x v="28"/>
    <x v="7"/>
    <s v="Thaynara Borges Pereira"/>
    <s v="Thaynara Borges Pereira"/>
    <m/>
    <m/>
    <s v="Nathalia Louiz"/>
    <n v="-100"/>
    <s v="Saída"/>
    <x v="0"/>
  </r>
  <r>
    <x v="43"/>
    <s v="Thaynara Borges Pereira"/>
    <s v="Diferença ref.: 3 Benefícios parcelados"/>
    <x v="2"/>
    <x v="2"/>
    <s v="ANA ELIA DE SOUZA MANSE"/>
    <s v="ANA ELIA DE SOUZA MANSE"/>
    <m/>
    <s v="PENSÃO POR MORTE"/>
    <s v="Thaynara Borges"/>
    <n v="59"/>
    <s v="Entrada"/>
    <x v="1"/>
  </r>
  <r>
    <x v="43"/>
    <s v="Sarah Alves Lisboa"/>
    <s v="Comissão de meta batida - Janeiro"/>
    <x v="28"/>
    <x v="7"/>
    <s v="ISABELLA ALVIM BIACHINI"/>
    <s v="ISABELLA ALVIM BIACHINI"/>
    <m/>
    <m/>
    <s v="Nathalia Louiz"/>
    <n v="-100"/>
    <s v="Saída"/>
    <x v="0"/>
  </r>
  <r>
    <x v="43"/>
    <s v="Lisboa e Lisboa"/>
    <s v="IPTU - SALA B73"/>
    <x v="29"/>
    <x v="1"/>
    <s v="PREFEITURA MUNICIPAL DE GOIÂNIA"/>
    <s v="PREFEITURA MUNICIPAL DE GOIÂNIA"/>
    <m/>
    <m/>
    <s v="Nathalia Louiz"/>
    <n v="-1242.7"/>
    <s v="Saída"/>
    <x v="0"/>
  </r>
  <r>
    <x v="43"/>
    <s v="Lisboa e Lisboa"/>
    <s v="2 Benefícios parcelados em 6x"/>
    <x v="2"/>
    <x v="2"/>
    <s v="ISABEL PEREIRA SOUSA"/>
    <s v="ISABEL PEREIRA SOUSA"/>
    <m/>
    <s v="APOSENTADORIA POR IDADE"/>
    <s v="Thaynara Borges"/>
    <n v="500"/>
    <s v="Entrada"/>
    <x v="1"/>
  </r>
  <r>
    <x v="43"/>
    <s v="Sarah Alves Lisboa"/>
    <s v="Comissão de meta batida - Janeiro"/>
    <x v="28"/>
    <x v="7"/>
    <s v="Laura Barbosa Marques"/>
    <s v="Laura Barbosa Marques"/>
    <m/>
    <m/>
    <s v="Nathalia Louiz"/>
    <n v="-100"/>
    <s v="Saída"/>
    <x v="0"/>
  </r>
  <r>
    <x v="43"/>
    <s v="Sarah Alves Lisboa"/>
    <s v="Comissão de meta batida - Janeiro"/>
    <x v="28"/>
    <x v="7"/>
    <s v="Sarah Alves Lisboa"/>
    <s v="Sarah Alves Lisboa"/>
    <m/>
    <m/>
    <s v="Nathalia Louiz"/>
    <n v="-100"/>
    <s v="Saída"/>
    <x v="0"/>
  </r>
  <r>
    <x v="43"/>
    <s v="Sarah Alves Lisboa"/>
    <s v="Comissão de meta batida - Janeiro"/>
    <x v="28"/>
    <x v="7"/>
    <s v="Raffaela Nunes"/>
    <s v="Raffaela Nunes"/>
    <m/>
    <m/>
    <s v="Nathalia Louiz"/>
    <n v="-100"/>
    <s v="Saída"/>
    <x v="0"/>
  </r>
  <r>
    <x v="43"/>
    <s v="Sarah Alves Lisboa"/>
    <s v="Comissão de meta batida - Janeiro"/>
    <x v="28"/>
    <x v="7"/>
    <s v="EVANILZA ARAUJO MORAES"/>
    <s v="EVANILZA ARAUJO MORAES"/>
    <m/>
    <m/>
    <s v="Nathalia Louiz"/>
    <n v="-100"/>
    <s v="Saída"/>
    <x v="0"/>
  </r>
  <r>
    <x v="43"/>
    <s v="Thaynara Borges Pereira"/>
    <s v="Diferença ref.: 3 Benefícios parcelados"/>
    <x v="2"/>
    <x v="2"/>
    <s v="ANA ELIA DE SOUZA MANSE"/>
    <s v="ANA ELIA DE SOUZA MANSE"/>
    <m/>
    <s v="PENSÃO POR MORTE"/>
    <s v="Thaynara Borges"/>
    <n v="149"/>
    <s v="Entrada"/>
    <x v="1"/>
  </r>
  <r>
    <x v="44"/>
    <s v="Lisboa e Lisboa"/>
    <s v="Celular"/>
    <x v="8"/>
    <x v="1"/>
    <s v="VIVO"/>
    <s v="VIVO"/>
    <m/>
    <m/>
    <s v="Thaynara Borges"/>
    <n v="-130.37"/>
    <s v="Saída"/>
    <x v="0"/>
  </r>
  <r>
    <x v="44"/>
    <s v="Sarah Alves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1"/>
  </r>
  <r>
    <x v="45"/>
    <s v="Sarah Alves Lisboa"/>
    <s v="30% sobre o 1º pagamento"/>
    <x v="2"/>
    <x v="2"/>
    <s v="MARINA MARIA DA CRUZ BARRETO"/>
    <s v="MARINA MARIA DA CRUZ BARRETO"/>
    <m/>
    <s v="BENEFÍCIO POR INCAPACIDADE"/>
    <s v="Thaynara Borges"/>
    <n v="488.05"/>
    <s v="Entrada"/>
    <x v="1"/>
  </r>
  <r>
    <x v="45"/>
    <s v="Sarah Alves Lisboa"/>
    <s v="Diárias - limpeza"/>
    <x v="9"/>
    <x v="1"/>
    <s v="ELIZANGELA FERREIRA DA SILVA"/>
    <s v="ELIZANGELA FERREIRA DA SILVA"/>
    <m/>
    <m/>
    <s v="Thaynara Borges"/>
    <n v="-340"/>
    <s v="Saída"/>
    <x v="0"/>
  </r>
  <r>
    <x v="45"/>
    <s v="Lisboa e Lisboa"/>
    <s v="Anuidade OAB de Sarah"/>
    <x v="30"/>
    <x v="9"/>
    <s v="OAB"/>
    <s v="OAB"/>
    <s v="Pago pela conta Lisboa"/>
    <m/>
    <s v="Nathalia Louiz"/>
    <n v="-1015.42"/>
    <s v="Saída"/>
    <x v="0"/>
  </r>
  <r>
    <x v="45"/>
    <s v="Lisboa e Lisboa"/>
    <s v="Anuidade OAB Thaynara"/>
    <x v="30"/>
    <x v="9"/>
    <s v="OAB"/>
    <s v="OAB"/>
    <s v="Pago pela conta Lisboa"/>
    <m/>
    <s v="Nathalia Louiz"/>
    <n v="-1015.42"/>
    <s v="Saída"/>
    <x v="0"/>
  </r>
  <r>
    <x v="46"/>
    <s v="Sarah Alves Lisboa"/>
    <s v="Tarifa Bancária"/>
    <x v="4"/>
    <x v="3"/>
    <s v="BANCO DO BRASIL S/A"/>
    <s v="BANCO DO BRASIL S/A"/>
    <m/>
    <m/>
    <s v="Thaynara Borges"/>
    <n v="-14.55"/>
    <s v="Saída"/>
    <x v="0"/>
  </r>
  <r>
    <x v="46"/>
    <s v="Lisboa e Lisboa"/>
    <s v="Publicações Renio"/>
    <x v="12"/>
    <x v="1"/>
    <s v="PRO JURIDICO"/>
    <s v="PRO JURIDICO"/>
    <m/>
    <m/>
    <s v="Thaynara Borges"/>
    <n v="-100"/>
    <s v="Saída"/>
    <x v="0"/>
  </r>
  <r>
    <x v="46"/>
    <s v="Lisboa e Lisboa"/>
    <s v="Telefone fixo e internet"/>
    <x v="8"/>
    <x v="1"/>
    <s v="VIVO"/>
    <s v="VIVO"/>
    <m/>
    <m/>
    <s v="Thaynara Borges"/>
    <n v="-371.57"/>
    <s v="Saída"/>
    <x v="0"/>
  </r>
  <r>
    <x v="46"/>
    <s v="Lisboa e Lisboa"/>
    <s v="IEL Estagiárias"/>
    <x v="13"/>
    <x v="6"/>
    <s v="IEL"/>
    <s v="IEL"/>
    <m/>
    <m/>
    <s v="Thaynara Borges"/>
    <n v="-100"/>
    <s v="Saída"/>
    <x v="0"/>
  </r>
  <r>
    <x v="47"/>
    <s v="Sarah Alves Lisboa"/>
    <s v="30% da implantação"/>
    <x v="2"/>
    <x v="2"/>
    <s v="JULIANA VILELA DA PAIXÃO"/>
    <s v="JULIANA VILELA DA PAIXÃO"/>
    <m/>
    <s v="BENEFÍCIO POR INCAPACIDADE"/>
    <s v="Nathalia Louiz"/>
    <n v="545.24"/>
    <s v="Entrada"/>
    <x v="1"/>
  </r>
  <r>
    <x v="48"/>
    <s v="Lisboa e Lisboa"/>
    <s v="EXTINTOR DE INCENDIO"/>
    <x v="14"/>
    <x v="1"/>
    <s v="ABSAIR MANOEL LAZARO"/>
    <s v="ABSAIR MANOEL LAZARO"/>
    <m/>
    <m/>
    <s v="Nathalia Louiz"/>
    <n v="-70"/>
    <s v="Saída"/>
    <x v="0"/>
  </r>
  <r>
    <x v="48"/>
    <s v="Lisboa e Lisboa"/>
    <s v="CUSTAS EXECUÇÃO 5917080-42.2024.8.09.0051"/>
    <x v="7"/>
    <x v="5"/>
    <s v="ESPÓLIO DE REGINALDO DE SOUZA LIRA"/>
    <s v="ESPÓLIO DE REGINALDO DE SOUZA LIRA"/>
    <m/>
    <s v="AÇÃO ACIDENTÁRIA (RESTABELECIMENTO DE AUXÍLIO-DOENÇA/CONCESSÃO DE AUXÍLIO-ACIDENTE/AP. POR INVALIDEZ"/>
    <s v="Thaynara Borges"/>
    <n v="-76.239999999999995"/>
    <s v="Saída"/>
    <x v="0"/>
  </r>
  <r>
    <x v="48"/>
    <s v="Sarah Alves Lisboa"/>
    <s v="Honorários de sucumbência"/>
    <x v="2"/>
    <x v="2"/>
    <s v="HELENA CRISTINA DE MELO"/>
    <s v="HELENA CRISTINA DE MELO"/>
    <m/>
    <s v="APOSENTADORIA POR INVALIDEZ OU RESTABELECIMENTO DE AUXILIO-DOENÇA"/>
    <s v="Thaynara Borges"/>
    <n v="7261.27"/>
    <s v="Entrada"/>
    <x v="1"/>
  </r>
  <r>
    <x v="49"/>
    <s v="Sarah Alves Lisboa"/>
    <s v="HONORÁRIOS PERITO"/>
    <x v="7"/>
    <x v="5"/>
    <s v="SUELLEN DE JESUS LIMA"/>
    <s v="SUELLEN DE JESUS LIMA"/>
    <m/>
    <s v="AUXILIO ACIDENTE"/>
    <s v="Thaynara Borges"/>
    <n v="-230"/>
    <s v="Saída"/>
    <x v="0"/>
  </r>
  <r>
    <x v="49"/>
    <s v="Lisboa e Lisboa"/>
    <s v="30% sobre os atrasados"/>
    <x v="2"/>
    <x v="2"/>
    <s v="HELENA CRISTINA DE MELO"/>
    <s v="HELENA CRISTINA DE MELO"/>
    <m/>
    <s v="APOSENTADORIA POR INVALIDEZ OU RESTABELECIMENTO DE AUXILIO-DOENÇA"/>
    <s v="Thaynara Borges"/>
    <n v="9178.3799999999992"/>
    <s v="Entrada"/>
    <x v="1"/>
  </r>
  <r>
    <x v="49"/>
    <s v="Lisboa e Lisboa"/>
    <s v="Parcelas - honorários 3 benefícios"/>
    <x v="2"/>
    <x v="2"/>
    <s v="JOÃO BAREICHA FERREIRA GALVÃO"/>
    <s v="JOÃO BAREICHA FERREIRA GALVÃO"/>
    <m/>
    <s v="APOSENTADORIA"/>
    <s v="Thaynara Borges"/>
    <n v="1589.72"/>
    <s v="Entrada"/>
    <x v="1"/>
  </r>
  <r>
    <x v="50"/>
    <s v="Sarah Alves Lisboa"/>
    <s v="Diárias - limpeza"/>
    <x v="9"/>
    <x v="1"/>
    <s v="ELIZANGELA FERREIRA DA SILVA"/>
    <s v="ELIZANGELA FERREIRA DA SILVA"/>
    <m/>
    <m/>
    <s v="Thaynara Borges"/>
    <n v="-340"/>
    <s v="Saída"/>
    <x v="0"/>
  </r>
  <r>
    <x v="50"/>
    <s v="Sarah Alves Lisboa"/>
    <s v="CHOCOLATES PARA LARISSA DE CROMINIA"/>
    <x v="16"/>
    <x v="4"/>
    <s v="KOPENHAGEN"/>
    <s v="KOPENHAGEN"/>
    <m/>
    <m/>
    <s v="Thaynara Borges"/>
    <n v="-152.9"/>
    <s v="Saída"/>
    <x v="0"/>
  </r>
  <r>
    <x v="50"/>
    <s v="Sarah Alves Lisboa"/>
    <s v="Almoço - Viagem Crominia"/>
    <x v="27"/>
    <x v="4"/>
    <s v="SARAH ALVES LISBOA"/>
    <s v="SARAH ALVES LISBOA"/>
    <m/>
    <m/>
    <s v="Nathalia Louiz"/>
    <n v="-73.2"/>
    <s v="Saída"/>
    <x v="0"/>
  </r>
  <r>
    <x v="51"/>
    <s v="Lisboa e Lisboa"/>
    <s v="Publicações aviso urgente"/>
    <x v="12"/>
    <x v="1"/>
    <s v="AVISO URGENTE T I LTDA"/>
    <s v="AVISO URGENTE T I LTDA"/>
    <m/>
    <m/>
    <s v="Thaynara Borges"/>
    <n v="-507.3"/>
    <s v="Saída"/>
    <x v="0"/>
  </r>
  <r>
    <x v="51"/>
    <s v="Sarah Alves Lisboa"/>
    <s v="Combustível viagem Cromínia"/>
    <x v="27"/>
    <x v="4"/>
    <s v="SARAH ALVES LISBOA"/>
    <s v="SARAH ALVES LISBOA"/>
    <m/>
    <m/>
    <s v="Nathalia Louiz"/>
    <n v="-108.5"/>
    <s v="Saída"/>
    <x v="0"/>
  </r>
  <r>
    <x v="51"/>
    <s v="Sarah Alves Lisboa"/>
    <s v="Cartão de Crédito Dra Thaynara"/>
    <x v="6"/>
    <x v="1"/>
    <s v="C6"/>
    <s v="C6"/>
    <m/>
    <m/>
    <s v="Thaynara Borges"/>
    <n v="-1112.05"/>
    <s v="Saída"/>
    <x v="0"/>
  </r>
  <r>
    <x v="51"/>
    <s v="Sarah Alves Lisboa"/>
    <s v="Comissão de participação em viagem"/>
    <x v="28"/>
    <x v="7"/>
    <s v="Laura Barbosa Marques"/>
    <s v="Laura Barbosa Marques"/>
    <m/>
    <m/>
    <s v="Nathalia Louiz"/>
    <n v="-100"/>
    <s v="Saída"/>
    <x v="0"/>
  </r>
  <r>
    <x v="52"/>
    <s v="Sarah Alves Lisboa"/>
    <s v="Comissão - Ida ao atendimento rural com Dra Sarah"/>
    <x v="28"/>
    <x v="7"/>
    <s v="ISABELLA ALVIM BIACHINI"/>
    <s v="ISABELLA ALVIM BIACHINI"/>
    <m/>
    <m/>
    <s v="Thaynara Borges"/>
    <n v="-100"/>
    <s v="Saída"/>
    <x v="0"/>
  </r>
  <r>
    <x v="52"/>
    <s v="Sarah Alves Lisboa"/>
    <s v="REUNIÃO"/>
    <x v="27"/>
    <x v="4"/>
    <s v="MARIA DE LOURDES NASCIMENTO"/>
    <s v="MARIA DE LOURDES NASCIMENTO"/>
    <m/>
    <m/>
    <s v="Nathalia Louiz"/>
    <n v="-200"/>
    <s v="Saída"/>
    <x v="0"/>
  </r>
  <r>
    <x v="52"/>
    <s v="Sarah Alves Lisboa"/>
    <s v="CAPTAÇÃO MARIA L F NASCIMENTO"/>
    <x v="28"/>
    <x v="7"/>
    <s v="HUMBERTO PEREIRA DA COSTA"/>
    <s v="HUMBERTO PEREIRA DA COSTA"/>
    <m/>
    <s v="APOSENTADORIA POR IDADE RURAL"/>
    <s v="Thaynara Borges"/>
    <n v="-300"/>
    <s v="Saída"/>
    <x v="0"/>
  </r>
  <r>
    <x v="52"/>
    <s v="Sarah Alves Lisboa"/>
    <s v="Despesas de Reunião (Lanches)"/>
    <x v="27"/>
    <x v="4"/>
    <s v="SARAH ALVES LISBOA"/>
    <s v="SARAH ALVES LISBOA"/>
    <m/>
    <m/>
    <s v="Nathalia Louiz"/>
    <n v="-114.64"/>
    <s v="Saída"/>
    <x v="0"/>
  </r>
  <r>
    <x v="52"/>
    <s v="Sarah Alves Lisboa"/>
    <s v="Despesas de Reunião (combustível)"/>
    <x v="27"/>
    <x v="4"/>
    <s v="SARAH ALVES LISBOA"/>
    <s v="SARAH ALVES LISBOA"/>
    <m/>
    <m/>
    <s v="Nathalia Louiz"/>
    <n v="-113.96"/>
    <s v="Saída"/>
    <x v="0"/>
  </r>
  <r>
    <x v="52"/>
    <s v="Sarah Alves Lisboa"/>
    <s v="CAPTAÇÃO MARIA L F NASCIMENTO"/>
    <x v="28"/>
    <x v="7"/>
    <s v="IRISMAR REGINA BORGES"/>
    <s v="IRISMAR REGINA BORGES"/>
    <m/>
    <s v="APOSENTADORIA RURAL"/>
    <s v="Thaynara Borges"/>
    <n v="-300"/>
    <s v="Saída"/>
    <x v="0"/>
  </r>
  <r>
    <x v="52"/>
    <s v="Sarah Alves Lisboa"/>
    <s v="CAPTAÇÃO MARIA L F NASCIMENTO"/>
    <x v="28"/>
    <x v="7"/>
    <s v="JOÃO BATISTA RIBAS"/>
    <s v="JOÃO BATISTA RIBAS"/>
    <m/>
    <s v="APOSENTADORIA RURAL"/>
    <s v="Thaynara Borges"/>
    <n v="-300"/>
    <s v="Saída"/>
    <x v="0"/>
  </r>
  <r>
    <x v="52"/>
    <s v="Sarah Alves Lisboa"/>
    <s v="Água e energético"/>
    <x v="27"/>
    <x v="4"/>
    <s v="Sarah Alves Lisboa"/>
    <s v="Sarah Alves Lisboa"/>
    <m/>
    <m/>
    <s v="Thaynara Borges"/>
    <n v="-28.5"/>
    <s v="Saída"/>
    <x v="0"/>
  </r>
  <r>
    <x v="52"/>
    <s v="Sarah Alves Lisboa"/>
    <s v="Chocolates brindes para Maria Lourdes"/>
    <x v="16"/>
    <x v="4"/>
    <s v="SARAH ALVES LISBOA"/>
    <s v="SARAH ALVES LISBOA"/>
    <m/>
    <m/>
    <s v="Nathalia Louiz"/>
    <n v="-84.9"/>
    <s v="Saída"/>
    <x v="0"/>
  </r>
  <r>
    <x v="52"/>
    <s v="Sarah Alves Lisboa"/>
    <s v="30%  sobre atrasados"/>
    <x v="2"/>
    <x v="2"/>
    <s v="MARIA AMELIA DE SOUSA MENDES"/>
    <s v="MARIA AMELIA DE SOUSA MENDES"/>
    <m/>
    <m/>
    <s v="Nathalia Louiz"/>
    <n v="1869"/>
    <s v="Entrada"/>
    <x v="1"/>
  </r>
  <r>
    <x v="52"/>
    <s v="Sarah Alves Lisboa"/>
    <s v="despesa comercial (combustível)"/>
    <x v="31"/>
    <x v="4"/>
    <s v="SARAH ALVES LISBOA"/>
    <s v="SARAH ALVES LISBOA"/>
    <m/>
    <m/>
    <s v="Nathalia Louiz"/>
    <n v="-100"/>
    <s v="Saída"/>
    <x v="0"/>
  </r>
  <r>
    <x v="53"/>
    <s v="Sarah Alves Lisboa"/>
    <s v="70% para Vanessa do proveito econômico da ação"/>
    <x v="28"/>
    <x v="7"/>
    <s v="PABLO CASSIO MENDES"/>
    <s v="PABLO CASSIO MENDES"/>
    <m/>
    <s v="INDENIZACAO POR DANOS MORAIS E MATERIAIS"/>
    <s v="Thaynara Borges"/>
    <n v="-4287.5"/>
    <s v="Saída"/>
    <x v="0"/>
  </r>
  <r>
    <x v="53"/>
    <s v="Sarah Alves Lisboa"/>
    <s v="Anuidade - parceria com Dr Fernando"/>
    <x v="2"/>
    <x v="2"/>
    <s v="ELVIO DE OLIVEIRA SOARES"/>
    <s v="ELVIO DE OLIVEIRA SOARES"/>
    <m/>
    <s v="APOSENTADORIA POR IDADE"/>
    <s v="Thaynara Borges"/>
    <n v="211.8"/>
    <s v="Entrada"/>
    <x v="1"/>
  </r>
  <r>
    <x v="53"/>
    <s v="Sarah Alves Lisboa"/>
    <s v="70% SOBRE O PROVEITO ECONOMICO OBTIDO NA AÇÃO"/>
    <x v="28"/>
    <x v="7"/>
    <s v="HELENA CRISTINA DE MELO"/>
    <s v="HELENA CRISTINA DE MELO"/>
    <m/>
    <s v="APOSENTADORIA POR INVALIDEZ OU RESTABELECIMENTO DE AUXILIO-DOENÇA"/>
    <s v="Thaynara Borges"/>
    <n v="-10681.5"/>
    <s v="Saída"/>
    <x v="0"/>
  </r>
  <r>
    <x v="53"/>
    <s v="Sarah Alves Lisboa"/>
    <s v="Parceria Dra Flavia"/>
    <x v="2"/>
    <x v="2"/>
    <s v="JULIANI DOMINGOS DOS REIS"/>
    <s v="JULIANI DOMINGOS DOS REIS"/>
    <m/>
    <s v="AÇÃO DE GUARDA"/>
    <s v="Thaynara Borges"/>
    <n v="150"/>
    <s v="Entrada"/>
    <x v="1"/>
  </r>
  <r>
    <x v="53"/>
    <s v="Sarah Alves Lisboa"/>
    <s v="40% SOBRE OS VALORES DA IMPLANTAÇÃO"/>
    <x v="2"/>
    <x v="2"/>
    <s v="IACY DA SILVA MAGALHÃES"/>
    <s v="IACY DA SILVA MAGALHÃES"/>
    <m/>
    <s v="APOSENTADORIA DO DEFICIENTE"/>
    <s v="Thaynara Borges"/>
    <n v="2370.1999999999998"/>
    <s v="Entrada"/>
    <x v="1"/>
  </r>
  <r>
    <x v="54"/>
    <s v="Lisboa e Lisboa"/>
    <s v="FGTS"/>
    <x v="18"/>
    <x v="6"/>
    <s v="Ministério do Trabalho e Emprego"/>
    <s v="Ministério do Trabalho e Emprego"/>
    <m/>
    <m/>
    <s v="Thaynara Borges"/>
    <n v="-285.23"/>
    <s v="Saída"/>
    <x v="0"/>
  </r>
  <r>
    <x v="54"/>
    <s v="Lisboa e Lisboa"/>
    <s v="INSS"/>
    <x v="19"/>
    <x v="6"/>
    <s v="Receita Federal"/>
    <s v="Receita Federal"/>
    <m/>
    <m/>
    <s v="Thaynara Borges"/>
    <n v="-2041.63"/>
    <s v="Saída"/>
    <x v="0"/>
  </r>
  <r>
    <x v="54"/>
    <s v="Lisboa e Lisboa"/>
    <s v="IPTU - BOX 82"/>
    <x v="29"/>
    <x v="1"/>
    <s v="PREFEITURA MUNICIPAL DE GOIÂNIA"/>
    <s v="PREFEITURA MUNICIPAL DE GOIÂNIA"/>
    <s v=""/>
    <m/>
    <s v="Nathalia Louiz"/>
    <n v="-42.74"/>
    <s v="Saída"/>
    <x v="0"/>
  </r>
  <r>
    <x v="54"/>
    <s v="Lisboa e Lisboa"/>
    <s v="IPTU - SALA B74"/>
    <x v="29"/>
    <x v="1"/>
    <s v="PREFEITURA MUNICIPAL DE GOIÂNIA"/>
    <s v="PREFEITURA MUNICIPAL DE GOIÂNIA"/>
    <m/>
    <m/>
    <s v="Nathalia Louiz"/>
    <n v="-125.57"/>
    <s v="Saída"/>
    <x v="0"/>
  </r>
  <r>
    <x v="54"/>
    <s v="Lisboa e Lisboa"/>
    <s v="Simples Nacional"/>
    <x v="20"/>
    <x v="7"/>
    <s v="Simples Nacional"/>
    <s v="Simples Nacional"/>
    <m/>
    <m/>
    <s v="Thaynara Borges"/>
    <n v="-6435.84"/>
    <s v="Saída"/>
    <x v="0"/>
  </r>
  <r>
    <x v="54"/>
    <s v="Lisboa e Lisboa"/>
    <s v="IPTU - BOX 88"/>
    <x v="29"/>
    <x v="1"/>
    <s v="PREFEITURA MUNICIPAL DE GOIÂNIA"/>
    <s v="PREFEITURA MUNICIPAL DE GOIÂNIA"/>
    <m/>
    <m/>
    <s v="Nathalia Louiz"/>
    <n v="-42.74"/>
    <s v="Saída"/>
    <x v="0"/>
  </r>
  <r>
    <x v="54"/>
    <s v="Lisboa e Lisboa"/>
    <s v="IPTU - BOX 78"/>
    <x v="29"/>
    <x v="1"/>
    <s v="PREFEITURA MUNICIPAL DE GOIÂNIA"/>
    <s v="PREFEITURA MUNICIPAL DE GOIÂNIA"/>
    <m/>
    <m/>
    <s v="Nathalia Louiz"/>
    <n v="-42.74"/>
    <s v="Saída"/>
    <x v="0"/>
  </r>
  <r>
    <x v="54"/>
    <s v="Lisboa e Lisboa"/>
    <s v="IPTU - BOX 81"/>
    <x v="29"/>
    <x v="1"/>
    <s v="PREFEITURA MUNICIPAL DE GOIÂNIA"/>
    <s v="PREFEITURA MUNICIPAL DE GOIÂNIA"/>
    <m/>
    <m/>
    <s v="Nathalia Louiz"/>
    <n v="-42.74"/>
    <s v="Saída"/>
    <x v="0"/>
  </r>
  <r>
    <x v="54"/>
    <s v="Lisboa e Lisboa"/>
    <s v="IPTU - BOX 83"/>
    <x v="29"/>
    <x v="1"/>
    <s v="PREFEITURA MUNICIPAL DE GOIÂNIA"/>
    <s v="PREFEITURA MUNICIPAL DE GOIÂNIA"/>
    <m/>
    <m/>
    <s v="Nathalia Louiz"/>
    <n v="-42.74"/>
    <s v="Saída"/>
    <x v="0"/>
  </r>
  <r>
    <x v="54"/>
    <s v="Lisboa e Lisboa"/>
    <s v="Água"/>
    <x v="17"/>
    <x v="1"/>
    <s v="SANEAGO GOIAS S/A"/>
    <s v="SANEAGO GOIAS S/A"/>
    <m/>
    <m/>
    <s v="Thaynara Borges"/>
    <n v="-128.88"/>
    <s v="Saída"/>
    <x v="0"/>
  </r>
  <r>
    <x v="54"/>
    <s v="Thaynara Borges Pereira"/>
    <s v="Parceria com Dr. Silvio"/>
    <x v="2"/>
    <x v="2"/>
    <s v="ANTONIO PEREIRA SOBRINHO"/>
    <s v="ANTONIO PEREIRA SOBRINHO"/>
    <m/>
    <m/>
    <s v="Thaynara Borges"/>
    <n v="354"/>
    <s v="Entrada"/>
    <x v="2"/>
  </r>
  <r>
    <x v="55"/>
    <s v="Sarah Alves Lisboa"/>
    <s v="Gasolina"/>
    <x v="31"/>
    <x v="4"/>
    <s v="Sarah Alves Lisboa"/>
    <s v="Sarah Alves Lisboa"/>
    <m/>
    <m/>
    <s v="Thaynara Borges"/>
    <n v="-231.5"/>
    <s v="Saída"/>
    <x v="0"/>
  </r>
  <r>
    <x v="55"/>
    <s v="Sarah Alves Lisboa"/>
    <s v="CAPTAÇÃO - SEBASTIÃO PEIXOTO DE EDILÂNDIA"/>
    <x v="28"/>
    <x v="7"/>
    <s v="MÔNICA MENDES DA COSTA"/>
    <s v="MÔNICA MENDES DA COSTA"/>
    <m/>
    <s v="PENSÃO POR MORTE - RURAL"/>
    <s v="Thaynara Borges"/>
    <n v="-300"/>
    <s v="Saída"/>
    <x v="0"/>
  </r>
  <r>
    <x v="55"/>
    <s v="Sarah Alves Lisboa"/>
    <s v="Diárias - Limpeza"/>
    <x v="9"/>
    <x v="1"/>
    <s v="ELIZANGELA FERREIRA DA SILVA"/>
    <s v="ELIZANGELA FERREIRA DA SILVA"/>
    <m/>
    <m/>
    <s v="Thaynara Borges"/>
    <n v="-340"/>
    <s v="Saída"/>
    <x v="0"/>
  </r>
  <r>
    <x v="55"/>
    <s v="Sarah Alves Lisboa"/>
    <s v="Reunião"/>
    <x v="27"/>
    <x v="4"/>
    <s v="SEBASTIAO PEIXOTO DE EDILANDIA (Pessoa de contato de: WILMAR ANASTACIO DOS SANTOS)"/>
    <s v="SEBASTIAO PEIXOTO DE EDILANDIA (Pessoa de contato de: WILMAR ANASTACIO DOS SANTOS)"/>
    <m/>
    <m/>
    <s v="Thaynara Borges"/>
    <n v="-200"/>
    <s v="Saída"/>
    <x v="0"/>
  </r>
  <r>
    <x v="55"/>
    <s v="Sarah Alves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2"/>
  </r>
  <r>
    <x v="55"/>
    <s v="Sarah Alves Lisboa"/>
    <s v="Comissão - Ida ao atendimento rural com Dra Sarah"/>
    <x v="28"/>
    <x v="7"/>
    <s v="ISABELLA ALVIM BIACHINI"/>
    <s v="ISABELLA ALVIM BIACHINI"/>
    <m/>
    <m/>
    <s v="Thaynara Borges"/>
    <n v="-100"/>
    <s v="Saída"/>
    <x v="0"/>
  </r>
  <r>
    <x v="55"/>
    <s v="Sarah Alves Lisboa"/>
    <s v="CAPTAÇÃO - SEBASTIÃO PEIXOTO DE EDILÂNDIA"/>
    <x v="28"/>
    <x v="7"/>
    <s v="ARISTEU GONÇALVES DA CRUZ"/>
    <s v="ARISTEU GONÇALVES DA CRUZ"/>
    <m/>
    <s v="AUXILIO DOENÇA"/>
    <s v="Thaynara Borges"/>
    <n v="-300"/>
    <s v="Saída"/>
    <x v="0"/>
  </r>
  <r>
    <x v="56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57"/>
    <s v="Sarah Alves Lisboa"/>
    <s v="Consulta (parcelado 300 + 200)"/>
    <x v="2"/>
    <x v="2"/>
    <s v="GEDILANE ROSA DE SA FERREIRA"/>
    <s v="GEDILANE ROSA DE SA FERREIRA"/>
    <m/>
    <m/>
    <s v="Nathalia Louiz"/>
    <n v="300"/>
    <s v="Entrada"/>
    <x v="1"/>
  </r>
  <r>
    <x v="57"/>
    <s v="Sarah Alves Lisboa"/>
    <s v="Honorários periciais - guia complementar"/>
    <x v="7"/>
    <x v="5"/>
    <s v="SUELLEN DE JESUS LIMA"/>
    <s v="SUELLEN DE JESUS LIMA"/>
    <m/>
    <s v="AUXILIO ACIDENTE"/>
    <s v="Thaynara Borges"/>
    <n v="-120"/>
    <s v="Saída"/>
    <x v="0"/>
  </r>
  <r>
    <x v="58"/>
    <s v="Sarah Alves Lisboa"/>
    <s v="Guia para emissão de certidão de militância"/>
    <x v="7"/>
    <x v="5"/>
    <s v="JOSELINA ROSA DE SANTANA"/>
    <s v="JOSELINA ROSA DE SANTANA"/>
    <m/>
    <s v="APOSENTADORIA RURAL"/>
    <s v="Thaynara Borges"/>
    <n v="-21.73"/>
    <s v="Saída"/>
    <x v="0"/>
  </r>
  <r>
    <x v="58"/>
    <s v="Sarah Alves Lisboa"/>
    <s v="Guia para emissão de certidão de militância - honorários de sucumbência Proc 1004340-77.2020.4.01.3500 VALNEI PORTO MACHADO"/>
    <x v="30"/>
    <x v="9"/>
    <s v="[$empty$]"/>
    <s v="[$empty$]"/>
    <m/>
    <m/>
    <s v="Thaynara Borges"/>
    <n v="-21.73"/>
    <s v="Saída"/>
    <x v="0"/>
  </r>
  <r>
    <x v="58"/>
    <s v="Sarah Alves Lisboa"/>
    <s v="Parcelas anuidade"/>
    <x v="2"/>
    <x v="2"/>
    <s v="JOSE NILTON FERREIRA DE SOUZA"/>
    <s v="JOSE NILTON FERREIRA DE SOUZA"/>
    <m/>
    <s v="APOSENTADORIA POR IDADE"/>
    <s v="Thaynara Borges"/>
    <n v="282.39999999999998"/>
    <s v="Entrada"/>
    <x v="1"/>
  </r>
  <r>
    <x v="59"/>
    <s v="Lisboa e Lisboa"/>
    <s v="Bolsa Estagio"/>
    <x v="13"/>
    <x v="6"/>
    <s v="ISABELLA ALVIM BIACHINI"/>
    <s v="ISABELLA ALVIM BIACHINI"/>
    <m/>
    <m/>
    <s v="Thaynara Borges"/>
    <n v="-1300"/>
    <s v="Saída"/>
    <x v="0"/>
  </r>
  <r>
    <x v="59"/>
    <s v="Lisboa e Lisboa"/>
    <s v="Pro labore"/>
    <x v="23"/>
    <x v="8"/>
    <s v="Thaynara Borges Pereira"/>
    <s v="Thaynara Borges Pereira"/>
    <m/>
    <m/>
    <s v="Thaynara Borges"/>
    <n v="-1351.02"/>
    <s v="Saída"/>
    <x v="0"/>
  </r>
  <r>
    <x v="59"/>
    <s v="Lisboa e Lisboa"/>
    <s v="Bolsa Estagio"/>
    <x v="13"/>
    <x v="6"/>
    <s v="Laura Barbosa Marques"/>
    <s v="Laura Barbosa Marques"/>
    <m/>
    <m/>
    <s v="Thaynara Borges"/>
    <n v="-1300"/>
    <s v="Saída"/>
    <x v="0"/>
  </r>
  <r>
    <x v="59"/>
    <s v="Sarah Alves Lisboa"/>
    <s v="COMISSÃO POR BATER A META"/>
    <x v="28"/>
    <x v="7"/>
    <s v="Thaynara Borges Pereira"/>
    <s v="Thaynara Borges Pereira"/>
    <m/>
    <m/>
    <s v="Thaynara Borges"/>
    <n v="-100"/>
    <s v="Saída"/>
    <x v="0"/>
  </r>
  <r>
    <x v="59"/>
    <s v="Sarah Alves Lisboa"/>
    <s v="COMISSÃO POR BATER A META"/>
    <x v="28"/>
    <x v="7"/>
    <s v="Raffaela Nunes"/>
    <s v="Raffaela Nunes"/>
    <m/>
    <m/>
    <s v="Thaynara Borges"/>
    <n v="-100"/>
    <s v="Saída"/>
    <x v="0"/>
  </r>
  <r>
    <x v="59"/>
    <s v="Lisboa e Lisboa"/>
    <s v="Energia"/>
    <x v="21"/>
    <x v="1"/>
    <s v="EQUATORIAL GOIAS 0067122663"/>
    <s v="EQUATORIAL GOIAS 0067122663"/>
    <m/>
    <m/>
    <s v="Thaynara Borges"/>
    <n v="-390.61"/>
    <s v="Saída"/>
    <x v="0"/>
  </r>
  <r>
    <x v="59"/>
    <s v="Lisboa e Lisboa"/>
    <s v="Retirada"/>
    <x v="22"/>
    <x v="8"/>
    <s v="Thaynara Borges Pereira"/>
    <s v="Thaynara Borges Pereira"/>
    <m/>
    <m/>
    <s v="Thaynara Borges"/>
    <n v="-3648.98"/>
    <s v="Saída"/>
    <x v="0"/>
  </r>
  <r>
    <x v="59"/>
    <s v="Sarah Alves Lisboa"/>
    <s v="COMISSÃO POR BATER A META"/>
    <x v="28"/>
    <x v="7"/>
    <s v="Sarah Alves Lisboa"/>
    <s v="Sarah Alves Lisboa"/>
    <m/>
    <m/>
    <s v="Thaynara Borges"/>
    <n v="-100"/>
    <s v="Saída"/>
    <x v="0"/>
  </r>
  <r>
    <x v="59"/>
    <s v="Sarah Alves Lisboa"/>
    <s v="HONORÁRIOS DE SUCUMBÊNCIA"/>
    <x v="2"/>
    <x v="2"/>
    <s v="SIRLENE PEREIRA DE RESENDE GRATAO"/>
    <s v="SIRLENE PEREIRA DE RESENDE GRATAO"/>
    <m/>
    <s v="RMI"/>
    <s v="Thaynara Borges"/>
    <n v="1678.79"/>
    <s v="Entrada"/>
    <x v="1"/>
  </r>
  <r>
    <x v="59"/>
    <s v="Sarah Alves Lisboa"/>
    <s v="INDICAÇÃO NINA"/>
    <x v="28"/>
    <x v="7"/>
    <s v="MARIA AMELIA DE SOUSA MENDES"/>
    <s v="MARIA AMELIA DE SOUSA MENDES"/>
    <m/>
    <s v="BENEFÍCIO POR INCAPACIDADE"/>
    <s v="Thaynara Borges"/>
    <n v="-186.9"/>
    <s v="Saída"/>
    <x v="0"/>
  </r>
  <r>
    <x v="59"/>
    <s v="Lisboa e Lisboa"/>
    <s v="Retirada"/>
    <x v="22"/>
    <x v="8"/>
    <s v="Sarah Alves Lisboa"/>
    <s v="Sarah Alves Lisboa"/>
    <m/>
    <m/>
    <s v="Thaynara Borges"/>
    <n v="-6148.98"/>
    <s v="Saída"/>
    <x v="0"/>
  </r>
  <r>
    <x v="59"/>
    <s v="Sarah Alves Lisboa"/>
    <s v="COMISSÃO POR BATER A META"/>
    <x v="28"/>
    <x v="7"/>
    <s v="Laura Barbosa Marques"/>
    <s v="Laura Barbosa Marques"/>
    <m/>
    <m/>
    <s v="Thaynara Borges"/>
    <n v="-100"/>
    <s v="Saída"/>
    <x v="0"/>
  </r>
  <r>
    <x v="59"/>
    <s v="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59"/>
    <s v="Sarah Alves Lisboa"/>
    <s v="Indicação paga para Daniele de Almeida Cardoso"/>
    <x v="28"/>
    <x v="7"/>
    <s v="MARUZALEN FERREIRA DA CRUZ"/>
    <s v="MARUZALEN FERREIRA DA CRUZ"/>
    <m/>
    <s v="APOSENTADORIA RURAL"/>
    <s v="Thaynara Borges"/>
    <n v="-600"/>
    <s v="Saída"/>
    <x v="0"/>
  </r>
  <r>
    <x v="59"/>
    <s v="Lisboa e Lisboa"/>
    <s v="Pro labore"/>
    <x v="23"/>
    <x v="8"/>
    <s v="Sarah Alves Lisboa"/>
    <s v="Sarah Alves Lisboa"/>
    <m/>
    <m/>
    <s v="Thaynara Borges"/>
    <n v="-1351.02"/>
    <s v="Saída"/>
    <x v="0"/>
  </r>
  <r>
    <x v="59"/>
    <s v="Sarah Alves Lisboa"/>
    <s v="Diárias - limpeza"/>
    <x v="9"/>
    <x v="1"/>
    <s v="ELIZANGELA FERREIRA DA SILVA"/>
    <s v="ELIZANGELA FERREIRA DA SILVA"/>
    <m/>
    <m/>
    <s v="Thaynara Borges"/>
    <n v="-340"/>
    <s v="Saída"/>
    <x v="0"/>
  </r>
  <r>
    <x v="59"/>
    <s v="Sarah Alves Lisboa"/>
    <s v="70% DO PROVEITO ECONÔMICO DA AÇÃO REPASSADO A DRA VANESSA"/>
    <x v="28"/>
    <x v="7"/>
    <s v="SIRLENE PEREIRA DE RESENDE GRATAO"/>
    <s v="SIRLENE PEREIRA DE RESENDE GRATAO"/>
    <m/>
    <s v="RMI"/>
    <s v="Thaynara Borges"/>
    <n v="-3216.41"/>
    <s v="Saída"/>
    <x v="0"/>
  </r>
  <r>
    <x v="59"/>
    <s v="Lisboa e Lisboa"/>
    <s v="HONORÁRIOS CONTRATUAIS 25% SOBRE O PROVEITO ECONOMICO"/>
    <x v="2"/>
    <x v="2"/>
    <s v="SIRLENE PEREIRA DE RESENDE GRATAO"/>
    <s v="SIRLENE PEREIRA DE RESENDE GRATAO"/>
    <m/>
    <s v="RMI"/>
    <s v="Thaynara Borges"/>
    <n v="3334.18"/>
    <s v="Entrada"/>
    <x v="1"/>
  </r>
  <r>
    <x v="59"/>
    <s v="Sarah Alves Lisboa"/>
    <s v="Salario"/>
    <x v="15"/>
    <x v="6"/>
    <s v="Raffaela Nunes"/>
    <s v="Raffaela Nunes"/>
    <m/>
    <m/>
    <s v="Thaynara Borges"/>
    <n v="-2200"/>
    <s v="Saída"/>
    <x v="0"/>
  </r>
  <r>
    <x v="59"/>
    <s v="Sarah Alves Lisboa"/>
    <s v="COMISSÃO POR BATER A META"/>
    <x v="28"/>
    <x v="7"/>
    <s v="ISABELLA ALVIM BIACHINI"/>
    <s v="ISABELLA ALVIM BIACHINI"/>
    <m/>
    <m/>
    <s v="Thaynara Borges"/>
    <n v="-100"/>
    <s v="Saída"/>
    <x v="0"/>
  </r>
  <r>
    <x v="59"/>
    <s v="Lisboa e Lisboa"/>
    <s v="Salario"/>
    <x v="15"/>
    <x v="6"/>
    <s v="Nina Araujo"/>
    <s v="Nina Araujo"/>
    <m/>
    <m/>
    <s v="Thaynara Borges"/>
    <n v="-3195.89"/>
    <s v="Saída"/>
    <x v="0"/>
  </r>
  <r>
    <x v="59"/>
    <s v="Lisboa e Lisboa"/>
    <s v="Energia"/>
    <x v="21"/>
    <x v="1"/>
    <s v="EQUATORIAL GOIAS 0067122721"/>
    <s v="EQUATORIAL GOIAS 0067122721"/>
    <m/>
    <m/>
    <s v="Thaynara Borges"/>
    <n v="-669.63"/>
    <s v="Saída"/>
    <x v="0"/>
  </r>
  <r>
    <x v="59"/>
    <s v="Sarah Alves Lisboa"/>
    <s v="COMISSÃO POR BATER A META"/>
    <x v="28"/>
    <x v="7"/>
    <s v="Nina Araujo"/>
    <s v="Nina Araujo"/>
    <m/>
    <m/>
    <s v="Thaynara Borges"/>
    <n v="-100"/>
    <s v="Saída"/>
    <x v="0"/>
  </r>
  <r>
    <x v="60"/>
    <s v="Cartão de Crédito Dr Ivanildo"/>
    <s v="Prévius"/>
    <x v="12"/>
    <x v="1"/>
    <s v="BANCO ITAU"/>
    <s v="BANCO ITAU"/>
    <m/>
    <m/>
    <s v="Thaynara Borges"/>
    <n v="-80.91"/>
    <s v="Saída"/>
    <x v="0"/>
  </r>
  <r>
    <x v="60"/>
    <s v="Cartão de Crédito Dr Ivanildo"/>
    <s v="BISTRO LIA"/>
    <x v="11"/>
    <x v="1"/>
    <s v="BANCO ITAU"/>
    <s v="BANCO ITAU"/>
    <m/>
    <m/>
    <s v="Nathalia Louiz"/>
    <n v="-384.3"/>
    <s v="Saída"/>
    <x v="0"/>
  </r>
  <r>
    <x v="60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60"/>
    <s v="Cartão de Crédito Dra Thaynara"/>
    <s v="HTM*ALINEDECKER (Curso Liderança)"/>
    <x v="32"/>
    <x v="6"/>
    <s v="C6"/>
    <s v="C6"/>
    <m/>
    <m/>
    <s v="Thaynara Borges"/>
    <n v="-249.21"/>
    <s v="Saída"/>
    <x v="0"/>
  </r>
  <r>
    <x v="60"/>
    <s v="Cartão de Crédito Dr Ivanildo"/>
    <s v="Jusbrasil"/>
    <x v="12"/>
    <x v="1"/>
    <s v="BANCO ITAU"/>
    <s v="BANCO ITAU"/>
    <m/>
    <m/>
    <s v="Thaynara Borges"/>
    <n v="-58.9"/>
    <s v="Saída"/>
    <x v="0"/>
  </r>
  <r>
    <x v="60"/>
    <s v="Cartão de Crédito Dr Ivanildo"/>
    <s v="HIPER MOREIRA"/>
    <x v="14"/>
    <x v="1"/>
    <s v="BANCO ITAU"/>
    <s v="BANCO ITAU"/>
    <m/>
    <m/>
    <s v="Nathalia Louiz"/>
    <n v="-26.8"/>
    <s v="Saída"/>
    <x v="0"/>
  </r>
  <r>
    <x v="60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60"/>
    <s v="Cartão de Crédito Dr Ivanildo"/>
    <s v="PANIFICADORA SANTO ANTONIO"/>
    <x v="11"/>
    <x v="1"/>
    <s v="BANCO ITAU"/>
    <s v="BANCO ITAU"/>
    <m/>
    <m/>
    <s v="Nathalia Louiz"/>
    <n v="-52.68"/>
    <s v="Saída"/>
    <x v="0"/>
  </r>
  <r>
    <x v="60"/>
    <s v="Cartão de Crédito Dra Thaynara"/>
    <s v="Pagamento Cartão de Crédito Dra Thaynara"/>
    <x v="6"/>
    <x v="1"/>
    <s v="C6"/>
    <s v="C6"/>
    <m/>
    <m/>
    <s v="Nathalia Louiz"/>
    <n v="1012.15"/>
    <s v="Entrada"/>
    <x v="1"/>
  </r>
  <r>
    <x v="60"/>
    <s v="Cartão de Crédito Dra Thaynara"/>
    <s v="Cálculo Jurídico"/>
    <x v="12"/>
    <x v="1"/>
    <s v="C6"/>
    <s v="C6"/>
    <m/>
    <m/>
    <s v="Thaynara Borges"/>
    <n v="-120.29"/>
    <s v="Saída"/>
    <x v="0"/>
  </r>
  <r>
    <x v="60"/>
    <s v="Cartão de Crédito Dr Ivanildo"/>
    <s v="canaã frios"/>
    <x v="11"/>
    <x v="1"/>
    <s v="BANCO ITAU"/>
    <s v="BANCO ITAU"/>
    <m/>
    <m/>
    <s v="Nathalia Louiz"/>
    <n v="-41.7"/>
    <s v="Saída"/>
    <x v="0"/>
  </r>
  <r>
    <x v="60"/>
    <s v="Cartão de Crédito Dra Thaynara"/>
    <s v="ASA*TRINDADE AMADO PRO (Curso de atualização previdenciária)"/>
    <x v="32"/>
    <x v="6"/>
    <s v="C6"/>
    <s v="C6"/>
    <m/>
    <m/>
    <s v="Thaynara Borges"/>
    <n v="-59.9"/>
    <s v="Saída"/>
    <x v="0"/>
  </r>
  <r>
    <x v="60"/>
    <s v="Cartão de Crédito Dra Thaynara"/>
    <s v="ASTREA"/>
    <x v="12"/>
    <x v="1"/>
    <s v="C6"/>
    <s v="C6"/>
    <m/>
    <m/>
    <s v="Thaynara Borges"/>
    <n v="-456.75"/>
    <s v="Saída"/>
    <x v="0"/>
  </r>
  <r>
    <x v="60"/>
    <s v="Cartão de Crédito Dr Ivanildo"/>
    <s v="Cestas de fim de ano para equipe"/>
    <x v="11"/>
    <x v="1"/>
    <s v="BANCO ITAU"/>
    <s v="BANCO ITAU"/>
    <m/>
    <m/>
    <s v="Thaynara Borges"/>
    <n v="-725"/>
    <s v="Saída"/>
    <x v="0"/>
  </r>
  <r>
    <x v="60"/>
    <s v="Cartão de Crédito Dr Ivanildo"/>
    <s v="Google One"/>
    <x v="12"/>
    <x v="1"/>
    <s v="BANCO ITAU"/>
    <s v="BANCO ITAU"/>
    <m/>
    <m/>
    <s v="Thaynara Borges"/>
    <n v="-38.99"/>
    <s v="Saída"/>
    <x v="0"/>
  </r>
  <r>
    <x v="60"/>
    <s v="Cartão de Crédito Dr Ivanildo"/>
    <s v="RAFAEL FRANCI (23/01)"/>
    <x v="27"/>
    <x v="4"/>
    <s v="BANCO ITAU"/>
    <s v="BANCO ITAU"/>
    <m/>
    <m/>
    <s v="Nathalia Louiz"/>
    <n v="-15"/>
    <s v="Saída"/>
    <x v="0"/>
  </r>
  <r>
    <x v="60"/>
    <s v="Cartão de Crédito Dr Ivanildo"/>
    <s v="CANAÃ FRIOS"/>
    <x v="11"/>
    <x v="1"/>
    <s v="BANCO ITAU"/>
    <s v="BANCO ITAU"/>
    <m/>
    <m/>
    <s v="Nathalia Louiz"/>
    <n v="-42.28"/>
    <s v="Saída"/>
    <x v="0"/>
  </r>
  <r>
    <x v="60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60"/>
    <s v="Cartão de Crédito Dr Ivanildo"/>
    <s v="Google One"/>
    <x v="12"/>
    <x v="1"/>
    <s v="BANCO ITAU"/>
    <s v="BANCO ITAU"/>
    <m/>
    <m/>
    <s v="Thaynara Borges"/>
    <n v="-11.99"/>
    <s v="Saída"/>
    <x v="0"/>
  </r>
  <r>
    <x v="60"/>
    <s v="Cartão de Crédito Dra Thaynara"/>
    <s v="GOOGLE GSUITE_PREVLEX."/>
    <x v="12"/>
    <x v="1"/>
    <s v="C6"/>
    <s v="C6"/>
    <m/>
    <m/>
    <s v="Thaynara Borges"/>
    <n v="-126"/>
    <s v="Saída"/>
    <x v="0"/>
  </r>
  <r>
    <x v="60"/>
    <s v="Cartão de Crédito Dr Ivanildo"/>
    <s v="Pagamento Cartão de Crédito Dr Ivanildo"/>
    <x v="6"/>
    <x v="1"/>
    <s v="BANCO ITAU"/>
    <s v="BANCO ITAU"/>
    <m/>
    <m/>
    <s v="Thaynara Borges"/>
    <n v="2100.63"/>
    <s v="Entrada"/>
    <x v="1"/>
  </r>
  <r>
    <x v="60"/>
    <s v="Cartão de Crédito Dr Ivanildo"/>
    <s v="PANIFICADORA SANTO ANTONIO"/>
    <x v="11"/>
    <x v="1"/>
    <s v="BANCO ITAU"/>
    <s v="BANCO ITAU"/>
    <m/>
    <m/>
    <s v="Nathalia Louiz"/>
    <n v="-54.47"/>
    <s v="Saída"/>
    <x v="0"/>
  </r>
  <r>
    <x v="60"/>
    <s v="Cartão de Crédito Dr Ivanildo"/>
    <s v="CANAÃ FRIOS"/>
    <x v="11"/>
    <x v="1"/>
    <s v="BANCO ITAU"/>
    <s v="BANCO ITAU"/>
    <m/>
    <m/>
    <s v="Nathalia Louiz"/>
    <n v="-35.67"/>
    <s v="Saída"/>
    <x v="0"/>
  </r>
  <r>
    <x v="60"/>
    <s v="Cartão de Crédito Dr Ivanildo"/>
    <s v="Jusbrasil"/>
    <x v="12"/>
    <x v="1"/>
    <s v="BANCO ITAU"/>
    <s v="BANCO ITAU"/>
    <m/>
    <m/>
    <s v="Thaynara Borges"/>
    <n v="-58.9"/>
    <s v="Saída"/>
    <x v="0"/>
  </r>
  <r>
    <x v="61"/>
    <s v="Sarah Alves Lisboa"/>
    <s v="PLANEJAMENTO"/>
    <x v="2"/>
    <x v="2"/>
    <s v="ISMAEL ALVES MADUREIRA"/>
    <s v="ISMAEL ALVES MADUREIRA"/>
    <m/>
    <m/>
    <s v="Nathalia Louiz"/>
    <n v="300"/>
    <s v="Entrada"/>
    <x v="1"/>
  </r>
  <r>
    <x v="61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61"/>
    <s v="Lisboa e Lisboa"/>
    <s v="Taxa de Condomínio Sala B-73"/>
    <x v="10"/>
    <x v="1"/>
    <s v="ATON BUSINESS STYLE"/>
    <s v="ATON BUSINESS STYLE"/>
    <m/>
    <m/>
    <s v="Thaynara Borges"/>
    <n v="-1247.17"/>
    <s v="Saída"/>
    <x v="0"/>
  </r>
  <r>
    <x v="61"/>
    <s v="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61"/>
    <s v="Thaynara Borges Pereira"/>
    <s v="Parcelamento em 7x"/>
    <x v="2"/>
    <x v="2"/>
    <s v="MARIA DA SILVA NOGUEIRA"/>
    <s v="MARIA DA SILVA NOGUEIRA"/>
    <m/>
    <s v="Maria da Silva Nogueira x Nathalia dos Santos Nogueira"/>
    <s v="Thaynara Borges"/>
    <n v="250"/>
    <s v="Entrada"/>
    <x v="1"/>
  </r>
  <r>
    <x v="61"/>
    <s v="Lisboa e Lisboa"/>
    <s v="Taxa de Condomínio Sala B-74"/>
    <x v="10"/>
    <x v="1"/>
    <s v="ATON BUSINESS STYLE"/>
    <s v="ATON BUSINESS STYLE"/>
    <m/>
    <m/>
    <s v="Thaynara Borges"/>
    <n v="-1247.78"/>
    <s v="Saída"/>
    <x v="0"/>
  </r>
  <r>
    <x v="61"/>
    <s v="Lisboa e Lisboa"/>
    <s v="Taxa de Condomínio Vaga Garagem A-78"/>
    <x v="10"/>
    <x v="1"/>
    <s v="ATON BUSINESS STYLE"/>
    <s v="ATON BUSINESS STYLE"/>
    <m/>
    <m/>
    <s v="Thaynara Borges"/>
    <n v="-49.46"/>
    <s v="Saída"/>
    <x v="0"/>
  </r>
  <r>
    <x v="61"/>
    <s v="Lisboa e Lisboa"/>
    <s v="Taxa de Condomínio Vaga Garagem A-81"/>
    <x v="10"/>
    <x v="1"/>
    <s v="ATON BUSINESS STYLE"/>
    <s v="ATON BUSINESS STYLE"/>
    <m/>
    <m/>
    <s v="Thaynara Borges"/>
    <n v="-49.46"/>
    <s v="Saída"/>
    <x v="0"/>
  </r>
  <r>
    <x v="61"/>
    <s v="Lisboa e Lisboa"/>
    <s v="Taxa de Condomínio Vaga Garagem A-88"/>
    <x v="10"/>
    <x v="1"/>
    <s v="ATON BUSINESS STYLE"/>
    <s v="ATON BUSINESS STYLE"/>
    <m/>
    <m/>
    <s v="Thaynara Borges"/>
    <n v="-49.46"/>
    <s v="Saída"/>
    <x v="0"/>
  </r>
  <r>
    <x v="61"/>
    <s v="Lisboa e Lisboa"/>
    <s v="Taxa de Condomínio Vaga Garagem A-82"/>
    <x v="10"/>
    <x v="1"/>
    <s v="ATON BUSINESS STYLE"/>
    <s v="ATON BUSINESS STYLE"/>
    <m/>
    <m/>
    <s v="Thaynara Borges"/>
    <n v="-49.46"/>
    <s v="Saída"/>
    <x v="0"/>
  </r>
  <r>
    <x v="61"/>
    <s v="Lisboa e Lisboa"/>
    <s v="Taxa de Condomínio Vaga Garagem A-83"/>
    <x v="10"/>
    <x v="1"/>
    <s v="ATON BUSINESS STYLE"/>
    <s v="ATON BUSINESS STYLE"/>
    <m/>
    <m/>
    <s v="Thaynara Borges"/>
    <n v="-49.46"/>
    <s v="Saída"/>
    <x v="0"/>
  </r>
  <r>
    <x v="61"/>
    <s v="Lisboa e Lisboa"/>
    <s v="Cartão de Crédito Dr Ivanilldo"/>
    <x v="6"/>
    <x v="1"/>
    <s v="BANCO ITAU"/>
    <s v="BANCO ITAU"/>
    <m/>
    <m/>
    <s v="Thaynara Borges"/>
    <n v="-2100.63"/>
    <s v="Saída"/>
    <x v="0"/>
  </r>
  <r>
    <x v="62"/>
    <s v="Lisboa e Lisboa"/>
    <s v="Plano mensal - conta corrente"/>
    <x v="4"/>
    <x v="3"/>
    <s v="BANCO ITAU"/>
    <s v="BANCO ITAU"/>
    <m/>
    <m/>
    <s v="Thaynara Borges"/>
    <n v="-79.5"/>
    <s v="Saída"/>
    <x v="0"/>
  </r>
  <r>
    <x v="62"/>
    <s v="Sarah Alves Lisboa"/>
    <s v="Celular"/>
    <x v="8"/>
    <x v="1"/>
    <s v="VIVO"/>
    <s v="VIVO"/>
    <m/>
    <m/>
    <s v="Thaynara Borges"/>
    <n v="-130.37"/>
    <s v="Saída"/>
    <x v="0"/>
  </r>
  <r>
    <x v="62"/>
    <s v="Lisboa e Lisboa"/>
    <s v="SERVIÇCOS DE TI"/>
    <x v="3"/>
    <x v="1"/>
    <s v="Rhuan Carlos Batista"/>
    <s v="Rhuan Carlos Batista"/>
    <m/>
    <m/>
    <s v="Nathalia Louiz"/>
    <n v="-160"/>
    <s v="Saída"/>
    <x v="0"/>
  </r>
  <r>
    <x v="63"/>
    <s v="Sarah Alves Lisboa"/>
    <s v="Consulta (valor residual 200,00)"/>
    <x v="2"/>
    <x v="2"/>
    <s v="GEDILANE ROSA DE SA FERREIRA"/>
    <s v="GEDILANE ROSA DE SA FERREIRA"/>
    <m/>
    <m/>
    <s v="Nathalia Louiz"/>
    <n v="200"/>
    <s v="Entrada"/>
    <x v="2"/>
  </r>
  <r>
    <x v="63"/>
    <s v="Sarah Alves Lisboa"/>
    <s v="ANUIDADE 12X"/>
    <x v="2"/>
    <x v="2"/>
    <s v="ANA PEREIRA DA SILVA JESUS"/>
    <s v="ANA PEREIRA DA SILVA JESUS"/>
    <m/>
    <s v="AMPARA AO IDOSO"/>
    <s v="Nathalia Louiz"/>
    <n v="303.60000000000002"/>
    <s v="Entrada"/>
    <x v="1"/>
  </r>
  <r>
    <x v="63"/>
    <s v="Sarah Alves Lisboa"/>
    <s v="Presente do dia das mulheres para equipe"/>
    <x v="16"/>
    <x v="4"/>
    <s v="KOPENHAGEN"/>
    <s v="KOPENHAGEN"/>
    <m/>
    <m/>
    <s v="Thaynara Borges"/>
    <n v="-329.4"/>
    <s v="Saída"/>
    <x v="0"/>
  </r>
  <r>
    <x v="63"/>
    <s v="Lisboa e Lisboa"/>
    <s v="2 Benefícios parcelados em 6x"/>
    <x v="2"/>
    <x v="2"/>
    <s v="ISABEL PEREIRA SOUSA"/>
    <s v="ISABEL PEREIRA SOUSA"/>
    <m/>
    <s v="APOSENTADORIA POR IDADE"/>
    <s v="Thaynara Borges"/>
    <n v="500"/>
    <s v="Entrada"/>
    <x v="1"/>
  </r>
  <r>
    <x v="63"/>
    <s v="Sarah Alves Lisboa"/>
    <s v="DIÁRIAS DE LIMPEZA/MANUTENÇÃO DO ESCRITÓRIO (2 DIÁRIAS)"/>
    <x v="9"/>
    <x v="1"/>
    <s v="ELIZANGELA FERREIRA DA SILVA"/>
    <s v="ELIZANGELA FERREIRA DA SILVA"/>
    <m/>
    <m/>
    <s v="Nathalia Louiz"/>
    <n v="-170"/>
    <s v="Saída"/>
    <x v="0"/>
  </r>
  <r>
    <x v="64"/>
    <s v="Sarah Alves Lisboa"/>
    <s v="Tarifa Bancária"/>
    <x v="4"/>
    <x v="3"/>
    <s v="BANCO DO BRASIL S/A"/>
    <s v="BANCO DO BRASIL S/A"/>
    <m/>
    <m/>
    <s v="Thaynara Borges"/>
    <n v="-15"/>
    <s v="Saída"/>
    <x v="0"/>
  </r>
  <r>
    <x v="64"/>
    <s v="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64"/>
    <s v="Sarah Alves Lisboa"/>
    <s v="PLANEJAMENTO - Aposentadoria"/>
    <x v="2"/>
    <x v="2"/>
    <s v="PAULO MENEZES DA SILVA"/>
    <s v="PAULO MENEZES DA SILVA"/>
    <m/>
    <m/>
    <s v="Nathalia Louiz"/>
    <n v="500"/>
    <s v="Entrada"/>
    <x v="1"/>
  </r>
  <r>
    <x v="64"/>
    <s v="Lisboa e Lisboa"/>
    <s v="CONTRATO 9621661899"/>
    <x v="8"/>
    <x v="1"/>
    <s v="VIVO FIXO"/>
    <s v="VIVO FIXO"/>
    <m/>
    <m/>
    <s v="Thaynara Borges"/>
    <n v="-251.58"/>
    <s v="Saída"/>
    <x v="0"/>
  </r>
  <r>
    <x v="64"/>
    <s v="Lisboa e Lisboa"/>
    <s v="IEL Estagiárias"/>
    <x v="13"/>
    <x v="6"/>
    <s v="IEL"/>
    <s v="IEL"/>
    <m/>
    <m/>
    <s v="Thaynara Borges"/>
    <n v="-106.73"/>
    <s v="Saída"/>
    <x v="0"/>
  </r>
  <r>
    <x v="64"/>
    <s v="Lisboa e Lisboa"/>
    <s v="CONTRATO 9309114969"/>
    <x v="8"/>
    <x v="1"/>
    <s v="VIVO FIXO"/>
    <s v="VIVO FIXO"/>
    <m/>
    <m/>
    <s v="Thaynara Borges"/>
    <n v="-119.99"/>
    <s v="Saída"/>
    <x v="0"/>
  </r>
  <r>
    <x v="65"/>
    <s v="Sarah Alves Lisboa"/>
    <s v="SCB - 70% Vanessão - 30% Lisboa"/>
    <x v="2"/>
    <x v="2"/>
    <s v="HELTON GONÇALVES BARSANULFO"/>
    <s v="HELTON GONÇALVES BARSANULFO"/>
    <m/>
    <s v="AUXILIO DOENÇA"/>
    <s v="Nathalia Louiz"/>
    <n v="33893.51"/>
    <s v="Entrada"/>
    <x v="1"/>
  </r>
  <r>
    <x v="65"/>
    <s v="Sarah Alves Lisboa"/>
    <s v="40% SOBRE A IMPLANTAÇÃO"/>
    <x v="2"/>
    <x v="2"/>
    <s v="CLAUDIA NUNES DOS SANTOS BARCELOS"/>
    <s v="CLAUDIA NUNES DOS SANTOS BARCELOS"/>
    <m/>
    <s v="AUXILIO DOENÇA"/>
    <s v="Thaynara Borges"/>
    <n v="2600"/>
    <s v="Entrada"/>
    <x v="1"/>
  </r>
  <r>
    <x v="66"/>
    <s v="Sarah Alves Lisboa"/>
    <s v="50% da Implantação"/>
    <x v="2"/>
    <x v="2"/>
    <s v="JOSÉ ROBERTO PEREIRA DA SILVA"/>
    <s v="JOSÉ ROBERTO PEREIRA DA SILVA"/>
    <m/>
    <s v="APOSENTADORIA POR IDADE"/>
    <s v="Nathalia Louiz"/>
    <n v="3750"/>
    <s v="Entrada"/>
    <x v="1"/>
  </r>
  <r>
    <x v="66"/>
    <s v="Sarah Alves Lisboa"/>
    <s v="Viagem de uber"/>
    <x v="27"/>
    <x v="4"/>
    <s v="SARAH ALVES LISBOA"/>
    <s v="SARAH ALVES LISBOA"/>
    <m/>
    <m/>
    <s v="Nathalia Louiz"/>
    <n v="-25"/>
    <s v="Saída"/>
    <x v="0"/>
  </r>
  <r>
    <x v="67"/>
    <s v="Sarah Alves Lisboa"/>
    <s v="comissão de 10% por indicação - LARISSA"/>
    <x v="28"/>
    <x v="7"/>
    <s v="JOSÉ ROBERTO PEREIRA DA SILVA"/>
    <s v="JOSÉ ROBERTO PEREIRA DA SILVA"/>
    <m/>
    <s v="APOSENTADORIA POR IDADE"/>
    <s v="Nathalia Louiz"/>
    <n v="-375"/>
    <s v="Saída"/>
    <x v="0"/>
  </r>
  <r>
    <x v="67"/>
    <s v="Sarah Alves Lisboa"/>
    <s v="70% de participação - Wanessa"/>
    <x v="28"/>
    <x v="7"/>
    <s v="HELTON GONÇALVES BARSANULFO"/>
    <s v="HELTON GONÇALVES BARSANULFO"/>
    <m/>
    <s v="AUXILIO DOENÇA"/>
    <s v="Nathalia Louiz"/>
    <n v="-23725.45"/>
    <s v="Saída"/>
    <x v="0"/>
  </r>
  <r>
    <x v="67"/>
    <s v="Sarah Alves Lisboa"/>
    <s v="Impressão"/>
    <x v="33"/>
    <x v="4"/>
    <s v="Laura Barbosa Marques"/>
    <s v="Laura Barbosa Marques"/>
    <m/>
    <m/>
    <s v="Thaynara Borges"/>
    <n v="-20"/>
    <s v="Saída"/>
    <x v="0"/>
  </r>
  <r>
    <x v="67"/>
    <s v="Sarah Alves Lisboa"/>
    <s v="PAGAMENTO COMISSÃO KARINE 20%"/>
    <x v="28"/>
    <x v="7"/>
    <s v="JOSÉ ROBERTO PEREIRA DA SILVA"/>
    <s v="JOSÉ ROBERTO PEREIRA DA SILVA"/>
    <m/>
    <s v="APOSENTADORIA POR IDADE"/>
    <s v="Nathalia Louiz"/>
    <n v="-750"/>
    <s v="Saída"/>
    <x v="0"/>
  </r>
  <r>
    <x v="67"/>
    <s v="Sarah Alves Lisboa"/>
    <s v="Reembolso de despesa"/>
    <x v="7"/>
    <x v="5"/>
    <s v="JOSELINA ROSA DE SANTANA"/>
    <s v="JOSELINA ROSA DE SANTANA"/>
    <m/>
    <m/>
    <s v="Nathalia Louiz"/>
    <n v="21.73"/>
    <s v="Entrada"/>
    <x v="1"/>
  </r>
  <r>
    <x v="67"/>
    <s v="Sarah Alves Lisboa"/>
    <s v="RPV SUCUMBENCIA ( R$ 1.290,95 - 70% Vanessa = 371,86)"/>
    <x v="2"/>
    <x v="2"/>
    <s v="VALNEI PORTO MACHADO"/>
    <s v="VALNEI PORTO MACHADO"/>
    <m/>
    <s v="APOSENTADORIA POR TEMPO DE CONTRIBUIÇAO / ELETRICISTA"/>
    <s v="Nathalia Louiz"/>
    <n v="1290.95"/>
    <s v="Entrada"/>
    <x v="1"/>
  </r>
  <r>
    <x v="68"/>
    <s v="Sarah Alves Lisboa"/>
    <s v="DIÁRIAS DE LIMPEZA/MANUTENÇÃO DO ESCRITÓRIO (2 DIÁRIAS)"/>
    <x v="9"/>
    <x v="1"/>
    <s v="ELIZANGELA FERREIRA DA SILVA"/>
    <s v="ELIZANGELA FERREIRA DA SILVA"/>
    <m/>
    <m/>
    <s v="Nathalia Louiz"/>
    <n v="-340"/>
    <s v="Saída"/>
    <x v="0"/>
  </r>
  <r>
    <x v="69"/>
    <s v="Sarah Alves Lisboa"/>
    <s v="Honorários sobre o êxito (metade) Ação com Dra Flávia"/>
    <x v="2"/>
    <x v="2"/>
    <s v="ELLEN BORGES PEREIRA"/>
    <s v="ELLEN BORGES PEREIRA"/>
    <m/>
    <s v="ELLEN BORGES PEREIRA x SODEXO"/>
    <s v="Thaynara Borges"/>
    <n v="600"/>
    <s v="Entrada"/>
    <x v="1"/>
  </r>
  <r>
    <x v="69"/>
    <s v="Lisboa e Lisboa"/>
    <s v="PUBLICAÇÕES - ULTIMO BOLETO"/>
    <x v="12"/>
    <x v="1"/>
    <s v="AVISO URGENTE T I LTDA"/>
    <s v="AVISO URGENTE T I LTDA"/>
    <m/>
    <m/>
    <s v="Thaynara Borges"/>
    <n v="-507.3"/>
    <s v="Saída"/>
    <x v="0"/>
  </r>
  <r>
    <x v="69"/>
    <s v="Sarah Alves Lisboa"/>
    <s v="Cartão de Crédito Dra Thaynara"/>
    <x v="6"/>
    <x v="1"/>
    <s v="C6"/>
    <s v="C6"/>
    <m/>
    <m/>
    <s v="Thaynara Borges"/>
    <n v="-1012.15"/>
    <s v="Saída"/>
    <x v="0"/>
  </r>
  <r>
    <x v="70"/>
    <s v="Sarah Alves Lisboa"/>
    <s v="Recebido junto com pagamento do CAIO"/>
    <x v="2"/>
    <x v="2"/>
    <s v="LEILA DO CARMO GONÇALVES OLIVEIRA"/>
    <s v="LEILA DO CARMO GONÇALVES OLIVEIRA"/>
    <m/>
    <s v="APOSENTADORIA POR IDADE RURAL"/>
    <s v="Thaynara Borges"/>
    <n v="1362.3"/>
    <s v="Entrada"/>
    <x v="1"/>
  </r>
  <r>
    <x v="70"/>
    <s v="Sarah Alves Lisboa"/>
    <s v="Manutenção em 3 nobreaks"/>
    <x v="3"/>
    <x v="1"/>
    <s v="NOBREAK E CIA"/>
    <s v="NOBREAK E CIA"/>
    <m/>
    <m/>
    <s v="Thaynara Borges"/>
    <n v="-337"/>
    <s v="Saída"/>
    <x v="0"/>
  </r>
  <r>
    <x v="70"/>
    <s v="Sarah Alves Lisboa"/>
    <s v="30% sobre a implantação do beneficio"/>
    <x v="2"/>
    <x v="2"/>
    <s v="CARMEM LUCIA MENDES DE OLIVEIRA"/>
    <s v="CARMEM LUCIA MENDES DE OLIVEIRA"/>
    <m/>
    <s v="BENEFÍCIO POR INCAPACIDADE"/>
    <s v="Thaynara Borges"/>
    <n v="462.99"/>
    <s v="Entrada"/>
    <x v="1"/>
  </r>
  <r>
    <x v="70"/>
    <s v="Sarah Alves Lisboa"/>
    <s v="30% sob implantação abatendo 50% do Dr Ajnaldo"/>
    <x v="2"/>
    <x v="2"/>
    <s v="CAIO FERNANDES BORGES"/>
    <s v="CAIO FERNANDES BORGES"/>
    <m/>
    <s v="BENEFÍCIO POR INCAPACIDADE"/>
    <s v="Nathalia Louiz"/>
    <n v="1362.3"/>
    <s v="Entrada"/>
    <x v="1"/>
  </r>
  <r>
    <x v="71"/>
    <s v="Sarah Alves Lisboa"/>
    <s v="Domínio lisboaelisboa"/>
    <x v="3"/>
    <x v="1"/>
    <s v="[$empty$]"/>
    <s v="[$empty$]"/>
    <m/>
    <m/>
    <s v="Thaynara Borges"/>
    <n v="-40"/>
    <s v="Saída"/>
    <x v="0"/>
  </r>
  <r>
    <x v="71"/>
    <s v="Sarah Alves Lisboa"/>
    <s v="30% sobre a implantação do beneficio"/>
    <x v="2"/>
    <x v="2"/>
    <s v="COSME FREIRE BESSA"/>
    <s v="COSME FREIRE BESSA"/>
    <m/>
    <s v="BENEFÍCIO POR INCAPACIDADE"/>
    <s v="Thaynara Borges"/>
    <n v="934.08"/>
    <s v="Entrada"/>
    <x v="1"/>
  </r>
  <r>
    <x v="71"/>
    <s v="Sarah Alves Lisboa"/>
    <s v="Domínio prevlex"/>
    <x v="3"/>
    <x v="1"/>
    <s v="NIC BR"/>
    <s v="NIC BR"/>
    <m/>
    <m/>
    <s v="Thaynara Borges"/>
    <n v="-40"/>
    <s v="Saída"/>
    <x v="0"/>
  </r>
  <r>
    <x v="72"/>
    <s v="Thaynara Borges Pereira"/>
    <s v="Parceria com Dr. Silvio"/>
    <x v="2"/>
    <x v="2"/>
    <s v="ANTONIO PEREIRA SOBRINHO"/>
    <s v="ANTONIO PEREIRA SOBRINHO"/>
    <m/>
    <m/>
    <s v="Thaynara Borges"/>
    <n v="354"/>
    <s v="Entrada"/>
    <x v="2"/>
  </r>
  <r>
    <x v="72"/>
    <s v="Lisboa e Lisboa"/>
    <s v="IPTU - BOX 83"/>
    <x v="29"/>
    <x v="1"/>
    <s v="PREFEITURA MUNICIPAL DE GOIÂNIA"/>
    <s v="PREFEITURA MUNICIPAL DE GOIÂNIA"/>
    <m/>
    <m/>
    <s v="Nathalia Louiz"/>
    <n v="-42.74"/>
    <s v="Saída"/>
    <x v="0"/>
  </r>
  <r>
    <x v="72"/>
    <s v="Lisboa e Lisboa"/>
    <s v="FGTS"/>
    <x v="18"/>
    <x v="6"/>
    <s v="Ministério do Trabalho e Emprego"/>
    <s v="Ministério do Trabalho e Emprego"/>
    <m/>
    <m/>
    <s v="Thaynara Borges"/>
    <n v="-285.23"/>
    <s v="Saída"/>
    <x v="0"/>
  </r>
  <r>
    <x v="72"/>
    <s v="Lisboa e Lisboa"/>
    <s v="IPTU - BOX 81"/>
    <x v="29"/>
    <x v="1"/>
    <s v="PREFEITURA MUNICIPAL DE GOIÂNIA"/>
    <s v="PREFEITURA MUNICIPAL DE GOIÂNIA"/>
    <m/>
    <m/>
    <s v="Nathalia Louiz"/>
    <n v="-42.74"/>
    <s v="Saída"/>
    <x v="0"/>
  </r>
  <r>
    <x v="72"/>
    <s v="Lisboa e Lisboa"/>
    <s v="IPTU - BOX 82"/>
    <x v="29"/>
    <x v="1"/>
    <s v="PREFEITURA MUNICIPAL DE GOIÂNIA"/>
    <s v="PREFEITURA MUNICIPAL DE GOIÂNIA"/>
    <s v=""/>
    <m/>
    <s v="Nathalia Louiz"/>
    <n v="-42.74"/>
    <s v="Saída"/>
    <x v="0"/>
  </r>
  <r>
    <x v="72"/>
    <s v="Lisboa e Lisboa"/>
    <s v="Água"/>
    <x v="17"/>
    <x v="1"/>
    <s v="SANEAGO GOIAS S/A"/>
    <s v="SANEAGO GOIAS S/A"/>
    <m/>
    <m/>
    <s v="Thaynara Borges"/>
    <n v="-106.3"/>
    <s v="Saída"/>
    <x v="0"/>
  </r>
  <r>
    <x v="72"/>
    <s v="Lisboa e Lisboa"/>
    <s v="INSS"/>
    <x v="19"/>
    <x v="6"/>
    <s v="Receita Federal"/>
    <s v="Receita Federal"/>
    <m/>
    <m/>
    <s v="Thaynara Borges"/>
    <n v="-2041.63"/>
    <s v="Saída"/>
    <x v="0"/>
  </r>
  <r>
    <x v="72"/>
    <s v="Lisboa e Lisboa"/>
    <s v="Simples Nacional"/>
    <x v="20"/>
    <x v="7"/>
    <s v="Simples Nacional"/>
    <s v="Simples Nacional"/>
    <m/>
    <m/>
    <s v="Thaynara Borges"/>
    <n v="-1722.45"/>
    <s v="Saída"/>
    <x v="0"/>
  </r>
  <r>
    <x v="72"/>
    <s v="Lisboa e Lisboa"/>
    <s v="IPTU - SALA B74"/>
    <x v="29"/>
    <x v="1"/>
    <s v="PREFEITURA MUNICIPAL DE GOIÂNIA"/>
    <s v="PREFEITURA MUNICIPAL DE GOIÂNIA"/>
    <m/>
    <m/>
    <s v="Nathalia Louiz"/>
    <n v="-125.52"/>
    <s v="Saída"/>
    <x v="0"/>
  </r>
  <r>
    <x v="72"/>
    <s v="Lisboa e Lisboa"/>
    <s v="IPTU - BOX 78"/>
    <x v="29"/>
    <x v="1"/>
    <s v="PREFEITURA MUNICIPAL DE GOIÂNIA"/>
    <s v="PREFEITURA MUNICIPAL DE GOIÂNIA"/>
    <m/>
    <m/>
    <s v="Nathalia Louiz"/>
    <n v="-42.74"/>
    <s v="Saída"/>
    <x v="0"/>
  </r>
  <r>
    <x v="72"/>
    <s v="Lisboa e Lisboa"/>
    <s v="IPTU - BOX 88"/>
    <x v="29"/>
    <x v="1"/>
    <s v="PREFEITURA MUNICIPAL DE GOIÂNIA"/>
    <s v="PREFEITURA MUNICIPAL DE GOIÂNIA"/>
    <m/>
    <m/>
    <s v="Nathalia Louiz"/>
    <n v="-42.74"/>
    <s v="Saída"/>
    <x v="0"/>
  </r>
  <r>
    <x v="72"/>
    <s v="Lisboa e Lisboa"/>
    <s v="HONORARIOS RPV (50%)"/>
    <x v="2"/>
    <x v="2"/>
    <s v="JOSELINA ROSA DE SANTANA"/>
    <s v="JOSELINA ROSA DE SANTANA"/>
    <m/>
    <s v="APOSENTADORIA RURAL"/>
    <s v="Nathalia Louiz"/>
    <n v="4802.2700000000004"/>
    <s v="Entrada"/>
    <x v="1"/>
  </r>
  <r>
    <x v="73"/>
    <s v="Lisboa e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2"/>
  </r>
  <r>
    <x v="73"/>
    <s v="Sarah Alves Lisboa"/>
    <s v="DIÁRIAS DE LIMPEZA/MANUTENÇÃO DO ESCRITÓRIO (2 DIÁRIAS)"/>
    <x v="9"/>
    <x v="1"/>
    <s v="ELIZANGELA FERREIRA DA SILVA"/>
    <s v="ELIZANGELA FERREIRA DA SILVA"/>
    <m/>
    <m/>
    <s v="Nathalia Louiz"/>
    <n v="-340"/>
    <s v="Saída"/>
    <x v="0"/>
  </r>
  <r>
    <x v="74"/>
    <s v="Sarah Alves Lisboa"/>
    <s v="Honorários RPV (30% + ANUIDADE)"/>
    <x v="2"/>
    <x v="2"/>
    <s v="VALERIA ALVES VIEIRA"/>
    <s v="VALERIA ALVES VIEIRA"/>
    <m/>
    <s v="AMPARO AO DEFICIENTE"/>
    <s v="Nathalia Louiz"/>
    <n v="9171.34"/>
    <s v="Entrada"/>
    <x v="1"/>
  </r>
  <r>
    <x v="74"/>
    <s v="Lisboa e Lisboa"/>
    <s v="40% SOBRE OS ATRASADOS + 3 SALARIOS DE BENEFICIOS."/>
    <x v="2"/>
    <x v="2"/>
    <s v="CLAUDIA NUNES DOS SANTOS BARCELOS"/>
    <s v="CLAUDIA NUNES DOS SANTOS BARCELOS"/>
    <m/>
    <s v="AUXILIO DOENÇA"/>
    <s v="Nathalia Louiz"/>
    <n v="9860.56"/>
    <s v="Entrada"/>
    <x v="1"/>
  </r>
  <r>
    <x v="74"/>
    <s v="Lisboa e Lisboa"/>
    <s v="50% dos honorários (Parceria Dr Ajnaldo)"/>
    <x v="2"/>
    <x v="2"/>
    <s v="LEILA DO CARMO GONÇALVES OLIVEIRA"/>
    <s v="LEILA DO CARMO GONÇALVES OLIVEIRA"/>
    <m/>
    <s v="APOSENTADORIA POR IDADE RURAL"/>
    <s v="Thaynara Borges"/>
    <n v="1137.7"/>
    <s v="Entrada"/>
    <x v="2"/>
  </r>
  <r>
    <x v="74"/>
    <s v="Lisboa e Lisboa"/>
    <s v="HONORÁRIO RPV (30%)"/>
    <x v="2"/>
    <x v="2"/>
    <s v="Eliane Teixeira do Nascimento Souza"/>
    <s v="Eliane Teixeira do Nascimento Souza"/>
    <m/>
    <s v="RESTABELECIMENTO DE AUXILIO DOENÇA"/>
    <s v="Nathalia Louiz"/>
    <n v="1510.48"/>
    <s v="Entrada"/>
    <x v="1"/>
  </r>
  <r>
    <x v="74"/>
    <s v="Sarah Alves Lisboa"/>
    <s v="Elaboração de novo contrato social"/>
    <x v="30"/>
    <x v="9"/>
    <s v="IVAN GUSTAVO JUNIO SANTOS TRINDADE"/>
    <s v="IVAN GUSTAVO JUNIO SANTOS TRINDADE"/>
    <m/>
    <m/>
    <s v="Thaynara Borges"/>
    <n v="-15000"/>
    <s v="Saída"/>
    <x v="0"/>
  </r>
  <r>
    <x v="75"/>
    <s v="Sarah Alves Lisboa"/>
    <s v="40% sobre os atrasados (R$ 8.033,91)"/>
    <x v="2"/>
    <x v="2"/>
    <s v="VALDOMIRO ROSA DE OLIVEIRA"/>
    <s v="VALDOMIRO ROSA DE OLIVEIRA"/>
    <m/>
    <s v="AUXILIO DOENÇA"/>
    <s v="Thaynara Borges"/>
    <n v="3213.56"/>
    <s v="Entrada"/>
    <x v="1"/>
  </r>
  <r>
    <x v="75"/>
    <s v="Sarah Alves Lisboa"/>
    <s v="Anuidade - parceria com Dr Fernando"/>
    <x v="2"/>
    <x v="2"/>
    <s v="ELVIO DE OLIVEIRA SOARES"/>
    <s v="ELVIO DE OLIVEIRA SOARES"/>
    <m/>
    <s v="APOSENTADORIA POR IDADE"/>
    <s v="Thaynara Borges"/>
    <n v="423.6"/>
    <s v="Entrada"/>
    <x v="1"/>
  </r>
  <r>
    <x v="75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75"/>
    <s v="Sarah Alves Lisboa"/>
    <s v="Acerto parte da Vanessa sucumbência cumprimento de sentença"/>
    <x v="28"/>
    <x v="7"/>
    <s v="VALNEI PORTO MACHADO"/>
    <s v="VALNEI PORTO MACHADO"/>
    <m/>
    <s v="APOSENTADORIA POR TEMPO DE CONTRIBUIÇAO / ELETRICISTA"/>
    <s v="Thaynara Borges"/>
    <n v="-903.66"/>
    <s v="Saída"/>
    <x v="0"/>
  </r>
  <r>
    <x v="75"/>
    <s v="Sarah Alves Lisboa"/>
    <s v="COMISSÃO 50% DR FERNANDO"/>
    <x v="28"/>
    <x v="7"/>
    <s v="ELVIO DE OLIVEIRA SOARES"/>
    <s v="ELVIO DE OLIVEIRA SOARES"/>
    <m/>
    <s v="APOSENTADORIA POR IDADE"/>
    <s v="Nathalia Louiz"/>
    <n v="-211.8"/>
    <s v="Saída"/>
    <x v="0"/>
  </r>
  <r>
    <x v="75"/>
    <s v="Sarah Alves Lisboa"/>
    <s v="COMISSÃO 50% DR GUSTAVO"/>
    <x v="28"/>
    <x v="7"/>
    <s v="VALDOMIRO ROSA DE OLIVEIRA"/>
    <s v="VALDOMIRO ROSA DE OLIVEIRA"/>
    <m/>
    <s v="AUXILIO DOENÇA"/>
    <s v="Nathalia Louiz"/>
    <n v="-2812.18"/>
    <s v="Saída"/>
    <x v="0"/>
  </r>
  <r>
    <x v="75"/>
    <s v="Sarah Alves Lisboa"/>
    <s v="RPV SUCUMBENCIA"/>
    <x v="2"/>
    <x v="2"/>
    <s v="VALNEI PORTO MACHADO"/>
    <s v="VALNEI PORTO MACHADO"/>
    <m/>
    <s v="APOSENTADORIA POR TEMPO DE CONTRIBUIÇAO / ELETRICISTA"/>
    <s v="Nathalia Louiz"/>
    <n v="6604.83"/>
    <s v="Entrada"/>
    <x v="1"/>
  </r>
  <r>
    <x v="75"/>
    <s v="Sarah Alves Lisboa"/>
    <s v="30% SOB A IMPLANTAÇÃO"/>
    <x v="2"/>
    <x v="2"/>
    <s v="ANDERSON FRADIQUE VINHAL RIBEIRO PEREIRA"/>
    <s v="ANDERSON FRADIQUE VINHAL RIBEIRO PEREIRA"/>
    <m/>
    <s v="BENEFÍCIO POR INCAPACIDADE"/>
    <s v="Nathalia Louiz"/>
    <n v="713.7"/>
    <s v="Entrada"/>
    <x v="1"/>
  </r>
  <r>
    <x v="75"/>
    <s v="Sarah Alves Lisboa"/>
    <s v="40% implantação - será descontada nos atrasados (40% de R$6.027 - Implantação)"/>
    <x v="2"/>
    <x v="2"/>
    <s v="VALDOMIRO ROSA DE OLIVEIRA"/>
    <s v="VALDOMIRO ROSA DE OLIVEIRA"/>
    <m/>
    <s v="AUXILIO DOENÇA"/>
    <s v="Nathalia Louiz"/>
    <n v="2410.8000000000002"/>
    <s v="Entrada"/>
    <x v="1"/>
  </r>
  <r>
    <x v="76"/>
    <s v="Lisboa e Lisboa"/>
    <s v="Parcelas - honorários 3 benefícios"/>
    <x v="2"/>
    <x v="2"/>
    <s v="JOÃO BAREICHA FERREIRA GALVÃO"/>
    <s v="JOÃO BAREICHA FERREIRA GALVÃO"/>
    <m/>
    <s v="APOSENTADORIA"/>
    <s v="Thaynara Borges"/>
    <n v="1589.72"/>
    <s v="Entrada"/>
    <x v="1"/>
  </r>
  <r>
    <x v="77"/>
    <s v="Sarah Alves Lisboa"/>
    <s v="APARELHO TELEFONE - FIXO (Para o escritório)"/>
    <x v="26"/>
    <x v="1"/>
    <s v="KABUM"/>
    <s v="KABUM"/>
    <m/>
    <m/>
    <s v="Nathalia Louiz"/>
    <n v="-65.14"/>
    <s v="Saída"/>
    <x v="0"/>
  </r>
  <r>
    <x v="77"/>
    <s v="Lisboa e Lisboa"/>
    <s v="Energia contrato 0067122721"/>
    <x v="21"/>
    <x v="1"/>
    <s v="EQUATORIAL GOIAS 0067122721"/>
    <s v="EQUATORIAL GOIAS 0067122721"/>
    <m/>
    <m/>
    <s v="Thaynara Borges"/>
    <n v="-627.22"/>
    <s v="Saída"/>
    <x v="0"/>
  </r>
  <r>
    <x v="77"/>
    <s v="Sarah Alves Lisboa"/>
    <s v="Exame admissional"/>
    <x v="27"/>
    <x v="4"/>
    <s v="Katyucia G Santos"/>
    <s v="Katyucia G Santos"/>
    <m/>
    <m/>
    <s v="Nathalia Louiz"/>
    <n v="-30"/>
    <s v="Saída"/>
    <x v="0"/>
  </r>
  <r>
    <x v="77"/>
    <s v="Lisboa e Lisboa"/>
    <s v="Energia contrato 0067122663"/>
    <x v="21"/>
    <x v="1"/>
    <s v="EQUATORIAL GOIAS 0067122663"/>
    <s v="EQUATORIAL GOIAS 0067122663"/>
    <m/>
    <m/>
    <s v="Thaynara Borges"/>
    <n v="-380.75"/>
    <s v="Saída"/>
    <x v="0"/>
  </r>
  <r>
    <x v="77"/>
    <s v="Sarah Alves Lisboa"/>
    <s v="DIÁRIAS DE LIMPEZA/MANUTENÇÃO DO ESCRITÓRIO (2 DIÁRIAS)"/>
    <x v="9"/>
    <x v="1"/>
    <s v="ELIZANGELA FERREIRA DA SILVA"/>
    <s v="ELIZANGELA FERREIRA DA SILVA"/>
    <m/>
    <m/>
    <s v="Nathalia Louiz"/>
    <n v="-340"/>
    <s v="Saída"/>
    <x v="0"/>
  </r>
  <r>
    <x v="77"/>
    <s v="Sarah Alves Lisboa"/>
    <s v="Reunião - Comissão"/>
    <x v="28"/>
    <x v="7"/>
    <s v="Maura Cardoso Borges"/>
    <s v="Maura Cardoso Borges"/>
    <m/>
    <m/>
    <s v="Nathalia Louiz"/>
    <n v="-200"/>
    <s v="Saída"/>
    <x v="0"/>
  </r>
  <r>
    <x v="78"/>
    <s v="Sarah Alves Lisboa"/>
    <s v="Retirada"/>
    <x v="22"/>
    <x v="8"/>
    <s v="Thaynara Borges Pereira"/>
    <s v="Thaynara Borges Pereira"/>
    <m/>
    <m/>
    <s v="Thaynara Borges"/>
    <n v="-3648.98"/>
    <s v="Saída"/>
    <x v="0"/>
  </r>
  <r>
    <x v="78"/>
    <s v="Lisboa e Lisboa"/>
    <s v="Bolsa Estagio"/>
    <x v="13"/>
    <x v="6"/>
    <s v="Laura Barbosa Marques"/>
    <s v="Laura Barbosa Marques"/>
    <m/>
    <m/>
    <s v="Thaynara Borges"/>
    <n v="-1300"/>
    <s v="Saída"/>
    <x v="0"/>
  </r>
  <r>
    <x v="78"/>
    <s v="Lisboa e Lisboa"/>
    <s v="Salario"/>
    <x v="15"/>
    <x v="6"/>
    <s v="Nina Araujo"/>
    <s v="Nina Araujo"/>
    <m/>
    <m/>
    <s v="Thaynara Borges"/>
    <n v="-3195.89"/>
    <s v="Saída"/>
    <x v="0"/>
  </r>
  <r>
    <x v="78"/>
    <s v="Lisboa e Lisboa"/>
    <s v="PRÓ-LABORE"/>
    <x v="23"/>
    <x v="8"/>
    <s v="Thaynara Borges Pereira"/>
    <s v="Thaynara Borges Pereira"/>
    <m/>
    <m/>
    <s v="Thaynara Borges"/>
    <n v="-1351.02"/>
    <s v="Saída"/>
    <x v="0"/>
  </r>
  <r>
    <x v="78"/>
    <s v="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78"/>
    <s v="Sarah Alves Lisboa"/>
    <s v="PAPELARIA - BOAS VINDAS KATIUCIA"/>
    <x v="27"/>
    <x v="4"/>
    <s v="DIGITAL COPIAS - GRÁFICA"/>
    <s v="DIGITAL COPIAS - GRÁFICA"/>
    <m/>
    <m/>
    <s v="Nathalia Louiz"/>
    <n v="-4"/>
    <s v="Saída"/>
    <x v="0"/>
  </r>
  <r>
    <x v="78"/>
    <s v="Lisboa e Lisboa"/>
    <s v="Salário"/>
    <x v="15"/>
    <x v="6"/>
    <s v="Raffaela Nunes"/>
    <s v="Raffaela Nunes"/>
    <m/>
    <m/>
    <s v="Thaynara Borges"/>
    <n v="-1420.06"/>
    <s v="Saída"/>
    <x v="0"/>
  </r>
  <r>
    <x v="78"/>
    <s v="Lisboa e Lisboa"/>
    <s v="Bolsa Estagio"/>
    <x v="13"/>
    <x v="6"/>
    <s v="ISABELLA ALVIM BIACHINI"/>
    <s v="ISABELLA ALVIM BIACHINI"/>
    <m/>
    <m/>
    <s v="Thaynara Borges"/>
    <n v="-1300"/>
    <s v="Saída"/>
    <x v="0"/>
  </r>
  <r>
    <x v="78"/>
    <s v="Sarah Alves Lisboa"/>
    <s v="50% SOBRE A IMPLANTAÇÃO"/>
    <x v="2"/>
    <x v="2"/>
    <s v="IRANY CARDOSO TEIXEIRA"/>
    <s v="IRANY CARDOSO TEIXEIRA"/>
    <m/>
    <s v="APOSENTADORIA RURAL"/>
    <s v="Thaynara Borges"/>
    <n v="759"/>
    <s v="Entrada"/>
    <x v="1"/>
  </r>
  <r>
    <x v="78"/>
    <s v="Sarah Alves Lisboa"/>
    <s v="Retirada"/>
    <x v="22"/>
    <x v="8"/>
    <s v="Sarah Alves Lisboa"/>
    <s v="Sarah Alves Lisboa"/>
    <m/>
    <m/>
    <s v="Thaynara Borges"/>
    <n v="-6148.98"/>
    <s v="Saída"/>
    <x v="0"/>
  </r>
  <r>
    <x v="78"/>
    <s v="Sarah Alves Lisboa"/>
    <s v="Salario"/>
    <x v="15"/>
    <x v="6"/>
    <s v="Raffaela Nunes"/>
    <s v="Raffaela Nunes"/>
    <m/>
    <m/>
    <s v="Thaynara Borges"/>
    <n v="-1079.94"/>
    <s v="Saída"/>
    <x v="0"/>
  </r>
  <r>
    <x v="78"/>
    <s v="Lisboa e Lisboa"/>
    <s v="PRÓ-LABORE"/>
    <x v="23"/>
    <x v="8"/>
    <s v="Sarah Alves Lisboa"/>
    <s v="Sarah Alves Lisboa"/>
    <m/>
    <m/>
    <s v="Thaynara Borges"/>
    <n v="-1351.02"/>
    <s v="Saída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9">
  <r>
    <x v="0"/>
    <s v="Lisboa e Lisboa"/>
    <s v="Consultoria Financeira"/>
    <x v="0"/>
    <x v="0"/>
    <x v="0"/>
    <s v="PROGRESSE CONSULTORIA EMPRESARIAL"/>
    <m/>
    <m/>
    <s v="Thaynara Borges"/>
    <n v="-1750"/>
    <s v="Saída"/>
    <x v="0"/>
  </r>
  <r>
    <x v="0"/>
    <s v="Lisboa e Lisboa"/>
    <s v="CONTABILIDADE"/>
    <x v="1"/>
    <x v="1"/>
    <x v="1"/>
    <s v="CARLOS ALBERTO GRACIANO RODRIGUES"/>
    <m/>
    <m/>
    <s v="Thaynara Borges"/>
    <n v="-1412"/>
    <s v="Saída"/>
    <x v="0"/>
  </r>
  <r>
    <x v="0"/>
    <s v="Thaynara Borges Pereira"/>
    <s v="Parcelamento em 7x"/>
    <x v="2"/>
    <x v="2"/>
    <x v="2"/>
    <s v="MARIA DA SILVA NOGUEIRA"/>
    <m/>
    <s v="Maria da Silva Nogueira x Nathalia dos Santos Nogueira"/>
    <s v="Thaynara Borges"/>
    <n v="250"/>
    <s v="Entrada"/>
    <x v="1"/>
  </r>
  <r>
    <x v="0"/>
    <s v="Lisboa e Lisboa"/>
    <s v="Honorário de implantação sobre 1 competência"/>
    <x v="2"/>
    <x v="2"/>
    <x v="3"/>
    <s v="ADOLFA MARIA DE JESUS ALMEIDA"/>
    <m/>
    <s v="BENEFÍCIO POR INCAPACIDADE"/>
    <s v="Thaynara Borges"/>
    <n v="423.6"/>
    <s v="Entrada"/>
    <x v="1"/>
  </r>
  <r>
    <x v="0"/>
    <s v="Lisboa e Lisboa"/>
    <s v="Serviços TI"/>
    <x v="3"/>
    <x v="1"/>
    <x v="4"/>
    <s v="Rhuan Carlos Batista"/>
    <m/>
    <m/>
    <s v="Thaynara Borges"/>
    <n v="-60"/>
    <s v="Saída"/>
    <x v="0"/>
  </r>
  <r>
    <x v="1"/>
    <s v="Lisboa e Lisboa"/>
    <s v="PLANO ADAPT 3"/>
    <x v="4"/>
    <x v="3"/>
    <x v="5"/>
    <s v="BANCO ITAU"/>
    <m/>
    <m/>
    <s v="Thaynara Borges"/>
    <n v="-261.75"/>
    <s v="Saída"/>
    <x v="0"/>
  </r>
  <r>
    <x v="2"/>
    <s v="Thaynara Borges Pereira"/>
    <s v="Última parcela acordo - parceria Dr. Gustavo"/>
    <x v="2"/>
    <x v="2"/>
    <x v="6"/>
    <s v="ODORICO CANASSA BIANCHINI JUNIOR"/>
    <m/>
    <m/>
    <s v="Thaynara Borges"/>
    <n v="450"/>
    <s v="Entrada"/>
    <x v="1"/>
  </r>
  <r>
    <x v="2"/>
    <s v="Sarah Alves Lisboa"/>
    <s v="Pedágios Edilândia"/>
    <x v="5"/>
    <x v="4"/>
    <x v="7"/>
    <s v="Sarah Alves Lisboa"/>
    <m/>
    <m/>
    <s v="Thaynara Borges"/>
    <n v="-36.119999999999997"/>
    <s v="Saída"/>
    <x v="0"/>
  </r>
  <r>
    <x v="2"/>
    <s v="Thaynara Borges Pereira"/>
    <s v="30% de uma competência"/>
    <x v="2"/>
    <x v="2"/>
    <x v="8"/>
    <s v="EDSON RAEL DE OLIVEIRA"/>
    <m/>
    <s v="BENEFÍCIO POR INCAPACIDADE"/>
    <s v="Thaynara Borges"/>
    <n v="268.3"/>
    <s v="Entrada"/>
    <x v="1"/>
  </r>
  <r>
    <x v="3"/>
    <s v="Lisboa e Lisboa"/>
    <s v="Cartão de Crédito"/>
    <x v="6"/>
    <x v="1"/>
    <x v="9"/>
    <s v="BANCO ITAU"/>
    <m/>
    <m/>
    <s v="Thaynara Borges"/>
    <n v="-1924.77"/>
    <s v="Saída"/>
    <x v="0"/>
  </r>
  <r>
    <x v="3"/>
    <s v="Lisboa e Lisboa"/>
    <s v="2 Benefícios parcelados em 6x"/>
    <x v="2"/>
    <x v="2"/>
    <x v="10"/>
    <s v="ISABEL PEREIRA SOUSA"/>
    <m/>
    <s v="APOSENTADORIA POR IDADE"/>
    <s v="Thaynara Borges"/>
    <n v="471"/>
    <s v="Entrada"/>
    <x v="1"/>
  </r>
  <r>
    <x v="3"/>
    <s v="Lisboa e Lisboa"/>
    <s v="Anuidade"/>
    <x v="2"/>
    <x v="2"/>
    <x v="11"/>
    <s v="LENIR MARIA DOS SANTOS LIMA"/>
    <m/>
    <s v="LENIR MARIA DOS SANTOS LIMA x INSS"/>
    <s v="Thaynara Borges"/>
    <n v="284.39999999999998"/>
    <s v="Entrada"/>
    <x v="1"/>
  </r>
  <r>
    <x v="4"/>
    <s v="Thaynara Borges Pereira"/>
    <s v="Parcela 3 e 4 - 3 benefícios"/>
    <x v="2"/>
    <x v="2"/>
    <x v="12"/>
    <s v="ANDREZA CESARIA DA SILVA RODRIGUES"/>
    <m/>
    <s v="APOSENTADORIA POR IDADE"/>
    <s v="Thaynara Borges"/>
    <n v="1059"/>
    <s v="Entrada"/>
    <x v="1"/>
  </r>
  <r>
    <x v="4"/>
    <s v="Sarah Alves Lisboa"/>
    <s v="Estacionamento - ida ao banco"/>
    <x v="7"/>
    <x v="5"/>
    <x v="13"/>
    <s v="NATALIA ALVES DA SILVA"/>
    <m/>
    <s v="SALÁRIO MATERNIDADE"/>
    <s v="Thaynara Borges"/>
    <n v="-10"/>
    <s v="Saída"/>
    <x v="0"/>
  </r>
  <r>
    <x v="4"/>
    <s v="Lisboa e Lisboa"/>
    <s v="Celular escritório"/>
    <x v="8"/>
    <x v="1"/>
    <x v="14"/>
    <s v="VIVO"/>
    <m/>
    <m/>
    <s v="Thaynara Borges"/>
    <n v="-130.37"/>
    <s v="Saída"/>
    <x v="0"/>
  </r>
  <r>
    <x v="4"/>
    <s v="Thaynara Borges Pereira"/>
    <s v="Limpeza"/>
    <x v="9"/>
    <x v="1"/>
    <x v="15"/>
    <s v="ELIZANGELA FERREIRA DA SILVA"/>
    <m/>
    <m/>
    <s v="Thaynara Borges"/>
    <n v="-340"/>
    <s v="Saída"/>
    <x v="0"/>
  </r>
  <r>
    <x v="4"/>
    <s v="Lisboa e Lisboa"/>
    <s v="Condomínio"/>
    <x v="10"/>
    <x v="1"/>
    <x v="16"/>
    <s v="ATON BUSINESS STYLE"/>
    <m/>
    <m/>
    <s v="Thaynara Borges"/>
    <n v="-2977.01"/>
    <s v="Saída"/>
    <x v="0"/>
  </r>
  <r>
    <x v="5"/>
    <s v="Lisboa e Lisboa"/>
    <s v="Anuidade parcelada em 13x"/>
    <x v="2"/>
    <x v="2"/>
    <x v="17"/>
    <s v="CALEB FERNANDES BARCELLOS REPRESENTADO PELA ROSALIA FERNANDES TEIXEIRA"/>
    <m/>
    <s v="AUXILIO RECLUSÃO"/>
    <s v="Thaynara Borges"/>
    <n v="282.39999999999998"/>
    <s v="Entrada"/>
    <x v="1"/>
  </r>
  <r>
    <x v="5"/>
    <s v="Sarah Alves Lisboa"/>
    <s v="Lanche"/>
    <x v="11"/>
    <x v="1"/>
    <x v="18"/>
    <s v="ISABELLA ALVIM BIACHINI"/>
    <m/>
    <m/>
    <s v="Thaynara Borges"/>
    <n v="-67.64"/>
    <s v="Saída"/>
    <x v="0"/>
  </r>
  <r>
    <x v="5"/>
    <s v="Lisboa e Lisboa"/>
    <s v="Telefone e internet"/>
    <x v="8"/>
    <x v="1"/>
    <x v="14"/>
    <s v="VIVO"/>
    <m/>
    <m/>
    <s v="Thaynara Borges"/>
    <n v="-371.57"/>
    <s v="Saída"/>
    <x v="0"/>
  </r>
  <r>
    <x v="6"/>
    <s v="Lisboa e Lisboa"/>
    <s v="Publicações Renio"/>
    <x v="12"/>
    <x v="1"/>
    <x v="19"/>
    <s v="PRO JURIDICO"/>
    <m/>
    <m/>
    <s v="Thaynara Borges"/>
    <n v="-100"/>
    <s v="Saída"/>
    <x v="0"/>
  </r>
  <r>
    <x v="6"/>
    <s v="Lisboa e Lisboa"/>
    <s v="Parcela 2 de 2"/>
    <x v="2"/>
    <x v="2"/>
    <x v="20"/>
    <s v="ANTONIO MOREIRA DOS SANTOS"/>
    <m/>
    <s v="DIVÓRCIO"/>
    <s v="Thaynara Borges"/>
    <n v="600"/>
    <s v="Entrada"/>
    <x v="1"/>
  </r>
  <r>
    <x v="6"/>
    <s v="Lisboa e Lisboa"/>
    <s v="Seguros estagiárias"/>
    <x v="13"/>
    <x v="6"/>
    <x v="21"/>
    <s v="IEL"/>
    <m/>
    <m/>
    <s v="Thaynara Borges"/>
    <n v="-300"/>
    <s v="Saída"/>
    <x v="0"/>
  </r>
  <r>
    <x v="6"/>
    <s v="Sarah Alves Lisboa"/>
    <s v="Tarifa Bancária"/>
    <x v="4"/>
    <x v="3"/>
    <x v="22"/>
    <s v="BANCO DO BRASIL S/A"/>
    <m/>
    <m/>
    <s v="Thaynara Borges"/>
    <n v="-14.55"/>
    <s v="Saída"/>
    <x v="0"/>
  </r>
  <r>
    <x v="7"/>
    <s v="Lisboa e Lisboa"/>
    <s v="Parcela Honorários Parceria"/>
    <x v="2"/>
    <x v="2"/>
    <x v="23"/>
    <s v="SONIA MARIA DA SILVA"/>
    <m/>
    <s v="Defesa Cível - Parceria Dr Silvio"/>
    <s v="Thaynara Borges"/>
    <n v="450"/>
    <s v="Entrada"/>
    <x v="2"/>
  </r>
  <r>
    <x v="8"/>
    <s v="Lisboa e Lisboa"/>
    <s v="30% sobre os atrasados"/>
    <x v="2"/>
    <x v="2"/>
    <x v="13"/>
    <s v="NATALIA ALVES DA SILVA"/>
    <m/>
    <s v="SALÁRIO MATERNIDADE"/>
    <s v="Thaynara Borges"/>
    <n v="2464.31"/>
    <s v="Entrada"/>
    <x v="1"/>
  </r>
  <r>
    <x v="9"/>
    <s v="Thaynara Borges Pereira"/>
    <s v="Material e troca de todas as tomadas do escritório"/>
    <x v="14"/>
    <x v="1"/>
    <x v="24"/>
    <s v="Luiz Antonio Sousa de Morais"/>
    <m/>
    <m/>
    <s v="Thaynara Borges"/>
    <n v="-1083"/>
    <s v="Saída"/>
    <x v="0"/>
  </r>
  <r>
    <x v="9"/>
    <s v="Lisboa e Lisboa"/>
    <s v="30% sobre os atrasados + 20% anuidade + Imposto (líquido, tirando Giuliano e Vanessa)"/>
    <x v="2"/>
    <x v="2"/>
    <x v="25"/>
    <s v="ANA MARIA DE JESUS"/>
    <m/>
    <s v="PENSAO POR MORTE"/>
    <s v="Thaynara Borges"/>
    <n v="6691.29"/>
    <s v="Entrada"/>
    <x v="1"/>
  </r>
  <r>
    <x v="9"/>
    <s v="Lisboa e Lisboa"/>
    <s v="Sucumbencia líquida (tirando Giuliano e Vanessa)"/>
    <x v="2"/>
    <x v="2"/>
    <x v="25"/>
    <s v="ANA MARIA DE JESUS"/>
    <m/>
    <s v="PENSAO POR MORTE"/>
    <s v="Thaynara Borges"/>
    <n v="1331.36"/>
    <s v="Entrada"/>
    <x v="1"/>
  </r>
  <r>
    <x v="9"/>
    <s v="Sarah Alves Lisboa"/>
    <s v="Limpeza"/>
    <x v="9"/>
    <x v="1"/>
    <x v="15"/>
    <s v="ELIZANGELA FERREIRA DA SILVA"/>
    <m/>
    <m/>
    <s v="Thaynara Borges"/>
    <n v="-340"/>
    <s v="Saída"/>
    <x v="0"/>
  </r>
  <r>
    <x v="10"/>
    <s v="Lisboa e Lisboa"/>
    <s v="Parceria Dra Flavia"/>
    <x v="2"/>
    <x v="2"/>
    <x v="26"/>
    <s v="JULIANI DOMINGOS DOS REIS"/>
    <m/>
    <s v="AÇÃO DE GUARDA"/>
    <s v="Thaynara Borges"/>
    <n v="150"/>
    <s v="Entrada"/>
    <x v="1"/>
  </r>
  <r>
    <x v="10"/>
    <s v="Lisboa e Lisboa"/>
    <s v="Parceria Dra Flavia"/>
    <x v="2"/>
    <x v="2"/>
    <x v="26"/>
    <s v="JULIANI DOMINGOS DOS REIS"/>
    <m/>
    <s v="AÇÃO DE GUARDA"/>
    <s v="Thaynara Borges"/>
    <n v="150"/>
    <s v="Entrada"/>
    <x v="1"/>
  </r>
  <r>
    <x v="11"/>
    <s v="Thaynara Borges Pereira"/>
    <s v="Gastos com cartão de crédito"/>
    <x v="6"/>
    <x v="1"/>
    <x v="27"/>
    <s v="C6"/>
    <m/>
    <m/>
    <s v="Thaynara Borges"/>
    <n v="-1012.15"/>
    <s v="Saída"/>
    <x v="0"/>
  </r>
  <r>
    <x v="11"/>
    <s v="Thaynara Borges Pereira"/>
    <s v="Parceria com Dr. Silvio"/>
    <x v="2"/>
    <x v="2"/>
    <x v="28"/>
    <s v="LEONARDO MATEUS BATISTA DE OLIVEIRA"/>
    <m/>
    <m/>
    <s v="Thaynara Borges"/>
    <n v="150"/>
    <s v="Entrada"/>
    <x v="1"/>
  </r>
  <r>
    <x v="11"/>
    <s v="Lisboa e Lisboa"/>
    <s v="Publicações"/>
    <x v="12"/>
    <x v="1"/>
    <x v="29"/>
    <s v="AVISO URGENTE T I LTDA"/>
    <m/>
    <m/>
    <s v="Thaynara Borges"/>
    <n v="-507.3"/>
    <s v="Saída"/>
    <x v="0"/>
  </r>
  <r>
    <x v="12"/>
    <s v="Lisboa e Lisboa"/>
    <s v="Anuidade - parceria com Dr Fernando"/>
    <x v="2"/>
    <x v="2"/>
    <x v="30"/>
    <s v="ELVIO DE OLIVEIRA SOARES"/>
    <m/>
    <s v="APOSENTADORIA POR IDADE"/>
    <s v="Thaynara Borges"/>
    <n v="211.8"/>
    <s v="Entrada"/>
    <x v="1"/>
  </r>
  <r>
    <x v="12"/>
    <s v="Sarah Alves Lisboa"/>
    <s v="Sucumbencia liquida (tirando Vanessa)"/>
    <x v="2"/>
    <x v="2"/>
    <x v="31"/>
    <s v="UBIRACI LOSI"/>
    <m/>
    <s v="CONCESSÃO DA APOSENTADORIA POR IDADE RURAL"/>
    <s v="Thaynara Borges"/>
    <n v="386.8"/>
    <s v="Entrada"/>
    <x v="1"/>
  </r>
  <r>
    <x v="13"/>
    <s v="Thaynara Borges Pereira"/>
    <s v="2º Parcela 13º salário"/>
    <x v="15"/>
    <x v="6"/>
    <x v="32"/>
    <s v="Raffaela Nunes"/>
    <m/>
    <m/>
    <s v="Thaynara Borges"/>
    <n v="-1100"/>
    <s v="Saída"/>
    <x v="0"/>
  </r>
  <r>
    <x v="13"/>
    <s v="Lisboa e Lisboa"/>
    <s v="13º CONTADOR"/>
    <x v="1"/>
    <x v="1"/>
    <x v="1"/>
    <s v="CARLOS ALBERTO GRACIANO RODRIGUES"/>
    <m/>
    <m/>
    <s v="Thaynara Borges"/>
    <n v="-1412"/>
    <s v="Saída"/>
    <x v="0"/>
  </r>
  <r>
    <x v="13"/>
    <s v="Thaynara Borges Pereira"/>
    <s v="CESTA DE NATAL PARA JAINY"/>
    <x v="16"/>
    <x v="4"/>
    <x v="33"/>
    <s v="A mesma (Pessoa de contato de: Alci Ferraz de Aguiar Barbosa)"/>
    <m/>
    <m/>
    <s v="Thaynara Borges"/>
    <n v="-165"/>
    <s v="Saída"/>
    <x v="0"/>
  </r>
  <r>
    <x v="14"/>
    <s v="Lisboa e Lisboa"/>
    <s v="Água"/>
    <x v="17"/>
    <x v="1"/>
    <x v="34"/>
    <s v="SANEAGO GOIAS S/A"/>
    <m/>
    <m/>
    <s v="Thaynara Borges"/>
    <n v="-106.3"/>
    <s v="Saída"/>
    <x v="0"/>
  </r>
  <r>
    <x v="14"/>
    <s v="Lisboa e Lisboa"/>
    <s v="FGTS"/>
    <x v="18"/>
    <x v="6"/>
    <x v="35"/>
    <s v="Ministério do Trabalho e Emprego"/>
    <m/>
    <m/>
    <s v="Thaynara Borges"/>
    <n v="-392.19"/>
    <s v="Saída"/>
    <x v="0"/>
  </r>
  <r>
    <x v="14"/>
    <s v="Lisboa e Lisboa"/>
    <s v="20% pela parceria com Dra. Nubia"/>
    <x v="2"/>
    <x v="2"/>
    <x v="36"/>
    <s v="GILNETH VIDAL DOS SANTOS"/>
    <m/>
    <s v="ANALISAR PROCESSOS"/>
    <s v="Thaynara Borges"/>
    <n v="119.35"/>
    <s v="Entrada"/>
    <x v="1"/>
  </r>
  <r>
    <x v="14"/>
    <s v="Lisboa e Lisboa"/>
    <s v="2ª Parcela 13º salário"/>
    <x v="15"/>
    <x v="6"/>
    <x v="37"/>
    <s v="Nina Araujo"/>
    <m/>
    <m/>
    <s v="Thaynara Borges"/>
    <n v="-1378.81"/>
    <s v="Saída"/>
    <x v="0"/>
  </r>
  <r>
    <x v="14"/>
    <s v="Lisboa e Lisboa"/>
    <s v="INSS 13º Salário"/>
    <x v="19"/>
    <x v="6"/>
    <x v="38"/>
    <s v="Receita Federal"/>
    <m/>
    <m/>
    <s v="Thaynara Borges"/>
    <n v="-864.45"/>
    <s v="Saída"/>
    <x v="0"/>
  </r>
  <r>
    <x v="14"/>
    <s v="Lisboa e Lisboa"/>
    <s v="Simples Nacional"/>
    <x v="20"/>
    <x v="7"/>
    <x v="39"/>
    <s v="Simples Nacional"/>
    <m/>
    <m/>
    <s v="Thaynara Borges"/>
    <n v="-1623.52"/>
    <s v="Saída"/>
    <x v="0"/>
  </r>
  <r>
    <x v="14"/>
    <s v="Lisboa e Lisboa"/>
    <s v="INSS"/>
    <x v="19"/>
    <x v="6"/>
    <x v="38"/>
    <s v="Receita Federal"/>
    <m/>
    <m/>
    <s v="Thaynara Borges"/>
    <n v="-1980.52"/>
    <s v="Saída"/>
    <x v="0"/>
  </r>
  <r>
    <x v="14"/>
    <s v="Thaynara Borges Pereira"/>
    <s v="Limpeza"/>
    <x v="9"/>
    <x v="1"/>
    <x v="15"/>
    <s v="ELIZANGELA FERREIRA DA SILVA"/>
    <m/>
    <m/>
    <s v="Thaynara Borges"/>
    <n v="-340"/>
    <s v="Saída"/>
    <x v="0"/>
  </r>
  <r>
    <x v="15"/>
    <s v="Thaynara Borges Pereira"/>
    <s v="Parcelas - parceria Dr Silvio"/>
    <x v="2"/>
    <x v="2"/>
    <x v="40"/>
    <s v="GLEYCIANNE RIBEIRO DE SOUZA CABRAL"/>
    <m/>
    <s v="DIVÓRCIO CONSENSUAL C/C REGULAMENTAÇÃO DE GUARDA E ALIMENTOS"/>
    <s v="Thaynara Borges"/>
    <n v="150"/>
    <s v="Entrada"/>
    <x v="1"/>
  </r>
  <r>
    <x v="16"/>
    <s v="Sarah Alves Lisboa"/>
    <s v="30% sobre 1 competencia tirando 20% da Dra Nubia (indicação)"/>
    <x v="2"/>
    <x v="2"/>
    <x v="41"/>
    <s v="LUZIMEIRE MARTINS COSTA ALVES"/>
    <m/>
    <s v="BENEFÍCIO POR INCAPACIDADE"/>
    <s v="Thaynara Borges"/>
    <n v="338.88"/>
    <s v="Entrada"/>
    <x v="1"/>
  </r>
  <r>
    <x v="16"/>
    <s v="Sarah Alves Lisboa"/>
    <s v="Parcelas anuidade"/>
    <x v="2"/>
    <x v="2"/>
    <x v="42"/>
    <s v="JOSE NILTON FERREIRA DE SOUZA"/>
    <m/>
    <s v="APOSENTADORIA POR IDADE"/>
    <s v="Thaynara Borges"/>
    <n v="282.39999999999998"/>
    <s v="Entrada"/>
    <x v="1"/>
  </r>
  <r>
    <x v="16"/>
    <s v="Lisboa e Lisboa"/>
    <s v="3 Benefícios parcelados"/>
    <x v="2"/>
    <x v="2"/>
    <x v="43"/>
    <s v="ANA ELIA DE SOUZA MANSE"/>
    <m/>
    <s v="PENSÃO POR MORTE"/>
    <s v="Thaynara Borges"/>
    <n v="400"/>
    <s v="Entrada"/>
    <x v="1"/>
  </r>
  <r>
    <x v="16"/>
    <s v="Sarah Alves Lisboa"/>
    <s v="30% SOBRE IMPLANTAÇÃO"/>
    <x v="2"/>
    <x v="2"/>
    <x v="44"/>
    <s v="FRANCISCA DA COSTA GOMES OLIVEIRA"/>
    <m/>
    <s v="AUXILIO DOENÇA"/>
    <s v="Thaynara Borges"/>
    <n v="1962"/>
    <s v="Entrada"/>
    <x v="1"/>
  </r>
  <r>
    <x v="16"/>
    <s v="Lisboa e Lisboa"/>
    <s v="ENERGIA"/>
    <x v="21"/>
    <x v="1"/>
    <x v="45"/>
    <s v="EQUATORIAL GOIAS"/>
    <m/>
    <m/>
    <s v="Thaynara Borges"/>
    <n v="-1168.73"/>
    <s v="Saída"/>
    <x v="0"/>
  </r>
  <r>
    <x v="17"/>
    <s v="Thaynara Borges Pereira"/>
    <s v="Retirada de lucros"/>
    <x v="22"/>
    <x v="8"/>
    <x v="27"/>
    <s v="Thaynara Borges Pereira"/>
    <m/>
    <m/>
    <s v="Thaynara Borges"/>
    <n v="-8743.32"/>
    <s v="Saída"/>
    <x v="0"/>
  </r>
  <r>
    <x v="17"/>
    <s v="Thaynara Borges Pereira"/>
    <s v="Retirada de lucros"/>
    <x v="22"/>
    <x v="8"/>
    <x v="7"/>
    <s v="Sarah Alves Lisboa"/>
    <m/>
    <m/>
    <s v="Thaynara Borges"/>
    <n v="-13743.32"/>
    <s v="Saída"/>
    <x v="0"/>
  </r>
  <r>
    <x v="18"/>
    <s v="Lisboa e Lisboa"/>
    <s v="Bolsa estágio"/>
    <x v="13"/>
    <x v="6"/>
    <x v="18"/>
    <s v="ISABELLA ALVIM BIACHINI"/>
    <m/>
    <m/>
    <s v="Thaynara Borges"/>
    <n v="-1200"/>
    <s v="Saída"/>
    <x v="0"/>
  </r>
  <r>
    <x v="18"/>
    <s v="Lisboa e Lisboa"/>
    <s v="Salário"/>
    <x v="15"/>
    <x v="6"/>
    <x v="37"/>
    <s v="Nina Araujo"/>
    <m/>
    <m/>
    <s v="Thaynara Borges"/>
    <n v="-3191.28"/>
    <s v="Saída"/>
    <x v="0"/>
  </r>
  <r>
    <x v="18"/>
    <s v="Lisboa e Lisboa"/>
    <s v="Pró-labore"/>
    <x v="23"/>
    <x v="8"/>
    <x v="7"/>
    <s v="Sarah Alves Lisboa"/>
    <m/>
    <m/>
    <s v="Thaynara Borges"/>
    <n v="-1256.68"/>
    <s v="Saída"/>
    <x v="0"/>
  </r>
  <r>
    <x v="18"/>
    <s v="Thaynara Borges Pereira"/>
    <s v="Salário"/>
    <x v="15"/>
    <x v="6"/>
    <x v="32"/>
    <s v="Raffaela Nunes"/>
    <m/>
    <m/>
    <s v="Thaynara Borges"/>
    <n v="-2200"/>
    <s v="Saída"/>
    <x v="0"/>
  </r>
  <r>
    <x v="18"/>
    <s v="Lisboa e Lisboa"/>
    <s v="Pró-labore"/>
    <x v="23"/>
    <x v="8"/>
    <x v="27"/>
    <s v="Thaynara Borges Pereira"/>
    <m/>
    <m/>
    <s v="Thaynara Borges"/>
    <n v="-1256.68"/>
    <s v="Saída"/>
    <x v="0"/>
  </r>
  <r>
    <x v="18"/>
    <s v="Lisboa e Lisboa"/>
    <s v="Bolsa estágio"/>
    <x v="13"/>
    <x v="6"/>
    <x v="46"/>
    <s v="Laura Barbosa Marques"/>
    <m/>
    <m/>
    <s v="Thaynara Borges"/>
    <n v="-1200"/>
    <s v="Saída"/>
    <x v="0"/>
  </r>
  <r>
    <x v="19"/>
    <s v="Cartão de Crédito Dra Thaynara"/>
    <s v="Pagamento Cartão de Crédito Dra Thaynara"/>
    <x v="6"/>
    <x v="1"/>
    <x v="47"/>
    <s v="C6"/>
    <m/>
    <m/>
    <s v="Thaynara Borges"/>
    <n v="1012.15"/>
    <s v="Entrada"/>
    <x v="3"/>
  </r>
  <r>
    <x v="19"/>
    <s v="Cartão de Crédito Dr Ivanildo"/>
    <s v="São Jorge - ultima parcela vaso sanitario Sarah"/>
    <x v="24"/>
    <x v="0"/>
    <x v="5"/>
    <s v="BANCO ITAU"/>
    <m/>
    <m/>
    <s v="Thaynara Borges"/>
    <n v="-233.15"/>
    <s v="Saída"/>
    <x v="0"/>
  </r>
  <r>
    <x v="19"/>
    <s v="Cartão de Crédito Dr Ivanildo"/>
    <s v="Presente de fim de ano para Dra Flavia"/>
    <x v="16"/>
    <x v="4"/>
    <x v="5"/>
    <s v="BANCO ITAU"/>
    <m/>
    <m/>
    <s v="Thaynara Borges"/>
    <n v="-126.7"/>
    <s v="Saída"/>
    <x v="0"/>
  </r>
  <r>
    <x v="19"/>
    <s v="Cartão de Crédito Dr Ivanildo"/>
    <s v="Lanches"/>
    <x v="11"/>
    <x v="1"/>
    <x v="5"/>
    <s v="BANCO ITAU"/>
    <m/>
    <m/>
    <s v="Thaynara Borges"/>
    <n v="-26"/>
    <s v="Saída"/>
    <x v="0"/>
  </r>
  <r>
    <x v="19"/>
    <s v="Cartão de Crédito Dra Thaynara"/>
    <s v="ASTREA"/>
    <x v="12"/>
    <x v="1"/>
    <x v="47"/>
    <s v="C6"/>
    <m/>
    <m/>
    <s v="Thaynara Borges"/>
    <n v="-456.75"/>
    <s v="Saída"/>
    <x v="0"/>
  </r>
  <r>
    <x v="19"/>
    <s v="Cartão de Crédito Dr Ivanildo"/>
    <s v="Almoço de confraternização final de ano"/>
    <x v="11"/>
    <x v="1"/>
    <x v="5"/>
    <s v="BANCO ITAU"/>
    <m/>
    <m/>
    <s v="Thaynara Borges"/>
    <n v="-1212.29"/>
    <s v="Saída"/>
    <x v="0"/>
  </r>
  <r>
    <x v="19"/>
    <s v="Cartão de Crédito Dr Ivanildo"/>
    <s v="Jusbrasil"/>
    <x v="12"/>
    <x v="1"/>
    <x v="5"/>
    <s v="BANCO ITAU"/>
    <m/>
    <m/>
    <s v="Thaynara Borges"/>
    <n v="-58.9"/>
    <s v="Saída"/>
    <x v="0"/>
  </r>
  <r>
    <x v="19"/>
    <s v="Cartão de Crédito Dra Sarah"/>
    <s v="DELL - Notebook (será estornado)"/>
    <x v="24"/>
    <x v="0"/>
    <x v="5"/>
    <s v="BANCO ITAU"/>
    <m/>
    <m/>
    <s v="Thaynara Borges"/>
    <n v="-308.25"/>
    <s v="Saída"/>
    <x v="0"/>
  </r>
  <r>
    <x v="19"/>
    <s v="Cartão de Crédito Dra Thaynara"/>
    <s v="Cálculo Jurídico"/>
    <x v="12"/>
    <x v="1"/>
    <x v="47"/>
    <s v="C6"/>
    <m/>
    <m/>
    <s v="Thaynara Borges"/>
    <n v="-120.29"/>
    <s v="Saída"/>
    <x v="0"/>
  </r>
  <r>
    <x v="19"/>
    <s v="Cartão de Crédito Dra Thaynara"/>
    <s v="ASA*TRINDADE AMADO PRO (Curso de atualização previdenciária)"/>
    <x v="12"/>
    <x v="1"/>
    <x v="47"/>
    <s v="C6"/>
    <m/>
    <m/>
    <s v="Thaynara Borges"/>
    <n v="-59.9"/>
    <s v="Saída"/>
    <x v="0"/>
  </r>
  <r>
    <x v="19"/>
    <s v="Cartão de Crédito Dr Ivanildo"/>
    <s v="Prévius"/>
    <x v="12"/>
    <x v="1"/>
    <x v="5"/>
    <s v="BANCO ITAU"/>
    <m/>
    <m/>
    <s v="Thaynara Borges"/>
    <n v="-80.91"/>
    <s v="Saída"/>
    <x v="0"/>
  </r>
  <r>
    <x v="19"/>
    <s v="Cartão de Crédito Dr Ivanildo"/>
    <s v="kabum - última parcela do origem (servidor)"/>
    <x v="25"/>
    <x v="0"/>
    <x v="5"/>
    <s v="BANCO ITAU"/>
    <m/>
    <m/>
    <s v="Thaynara Borges"/>
    <n v="-292.89"/>
    <s v="Saída"/>
    <x v="0"/>
  </r>
  <r>
    <x v="19"/>
    <s v="Cartão de Crédito Dr Ivanildo"/>
    <s v="ZapSign programa de assinatura eletronica"/>
    <x v="12"/>
    <x v="1"/>
    <x v="5"/>
    <s v="BANCO ITAU"/>
    <m/>
    <m/>
    <s v="Thaynara Borges"/>
    <n v="-19.899999999999999"/>
    <s v="Saída"/>
    <x v="0"/>
  </r>
  <r>
    <x v="19"/>
    <s v="Cartão de Crédito Dr Ivanildo"/>
    <s v="Jusbrasil"/>
    <x v="12"/>
    <x v="1"/>
    <x v="5"/>
    <s v="BANCO ITAU"/>
    <m/>
    <m/>
    <s v="Thaynara Borges"/>
    <n v="-58.9"/>
    <s v="Saída"/>
    <x v="0"/>
  </r>
  <r>
    <x v="19"/>
    <s v="Cartão de Crédito Dr Ivanildo"/>
    <s v="Google One"/>
    <x v="12"/>
    <x v="1"/>
    <x v="5"/>
    <s v="BANCO ITAU"/>
    <m/>
    <m/>
    <s v="Thaynara Borges"/>
    <n v="-38.99"/>
    <s v="Saída"/>
    <x v="0"/>
  </r>
  <r>
    <x v="19"/>
    <s v="Cartão de Crédito Dr Ivanildo"/>
    <s v="Bolo aniversario Sarah e Nina"/>
    <x v="11"/>
    <x v="1"/>
    <x v="5"/>
    <s v="BANCO ITAU"/>
    <m/>
    <m/>
    <s v="Thaynara Borges"/>
    <n v="-170.99"/>
    <s v="Saída"/>
    <x v="0"/>
  </r>
  <r>
    <x v="19"/>
    <s v="Cartão de Crédito Dra Sarah"/>
    <s v="Pagamento Cartão de Crédito Dra Sarah"/>
    <x v="6"/>
    <x v="1"/>
    <x v="5"/>
    <s v="BANCO ITAU"/>
    <m/>
    <m/>
    <s v="Thaynara Borges"/>
    <n v="308.25"/>
    <s v="Entrada"/>
    <x v="3"/>
  </r>
  <r>
    <x v="19"/>
    <s v="Cartão de Crédito Dr Ivanildo"/>
    <s v="Cestas de fim de ano para equipe"/>
    <x v="11"/>
    <x v="1"/>
    <x v="5"/>
    <s v="BANCO ITAU"/>
    <m/>
    <m/>
    <s v="Thaynara Borges"/>
    <n v="-725"/>
    <s v="Saída"/>
    <x v="0"/>
  </r>
  <r>
    <x v="19"/>
    <s v="Cartão de Crédito Dr Ivanildo"/>
    <s v="Pagamento Cartão de Crédito Dr Ivanildo"/>
    <x v="6"/>
    <x v="1"/>
    <x v="5"/>
    <s v="BANCO ITAU"/>
    <m/>
    <m/>
    <s v="Thaynara Borges"/>
    <n v="3379.88"/>
    <s v="Entrada"/>
    <x v="3"/>
  </r>
  <r>
    <x v="19"/>
    <s v="Cartão de Crédito Dr Ivanildo"/>
    <s v="Previdenciarista"/>
    <x v="12"/>
    <x v="1"/>
    <x v="5"/>
    <s v="BANCO ITAU"/>
    <m/>
    <m/>
    <s v="Thaynara Borges"/>
    <n v="-99.9"/>
    <s v="Saída"/>
    <x v="0"/>
  </r>
  <r>
    <x v="19"/>
    <s v="Cartão de Crédito Dra Thaynara"/>
    <s v="HTM*ALINEDECKER (Curso Liderança)"/>
    <x v="12"/>
    <x v="1"/>
    <x v="47"/>
    <s v="C6"/>
    <m/>
    <m/>
    <s v="Thaynara Borges"/>
    <n v="-249.21"/>
    <s v="Saída"/>
    <x v="0"/>
  </r>
  <r>
    <x v="19"/>
    <s v="Cartão de Crédito Dr Ivanildo"/>
    <s v="Google One"/>
    <x v="12"/>
    <x v="1"/>
    <x v="5"/>
    <s v="BANCO ITAU"/>
    <m/>
    <m/>
    <s v="Thaynara Borges"/>
    <n v="-11.99"/>
    <s v="Saída"/>
    <x v="0"/>
  </r>
  <r>
    <x v="19"/>
    <s v="Cartão de Crédito Dra Thaynara"/>
    <s v="GOOGLE GSUITE_PREVLEX."/>
    <x v="12"/>
    <x v="1"/>
    <x v="47"/>
    <s v="C6"/>
    <m/>
    <m/>
    <s v="Thaynara Borges"/>
    <n v="-126"/>
    <s v="Saída"/>
    <x v="0"/>
  </r>
  <r>
    <x v="19"/>
    <s v="Cartão de Crédito Dr Ivanildo"/>
    <s v="Salgados aniversario Sarah e Nina"/>
    <x v="11"/>
    <x v="1"/>
    <x v="5"/>
    <s v="BANCO ITAU"/>
    <m/>
    <m/>
    <s v="Thaynara Borges"/>
    <n v="-170.6"/>
    <s v="Saída"/>
    <x v="0"/>
  </r>
  <r>
    <x v="19"/>
    <s v="Cartão de Crédito Dr Ivanildo"/>
    <s v="Lanches"/>
    <x v="11"/>
    <x v="1"/>
    <x v="5"/>
    <s v="BANCO ITAU"/>
    <m/>
    <m/>
    <s v="Thaynara Borges"/>
    <n v="-52.77"/>
    <s v="Saída"/>
    <x v="0"/>
  </r>
  <r>
    <x v="20"/>
    <s v="Lisboa e Lisboa"/>
    <s v="Assessoria Contábil"/>
    <x v="1"/>
    <x v="1"/>
    <x v="1"/>
    <s v="CARLOS ALBERTO GRACIANO RODRIGUES"/>
    <m/>
    <m/>
    <s v="Thaynara Borges"/>
    <n v="-1412"/>
    <s v="Saída"/>
    <x v="0"/>
  </r>
  <r>
    <x v="20"/>
    <s v="Sarah Alves Lisboa"/>
    <s v="50% sobre implantação (líquido, tirando 10% da Jainy)"/>
    <x v="2"/>
    <x v="2"/>
    <x v="48"/>
    <s v="MARIA DAS GRAÇAS MOREIRA DA SILVA"/>
    <m/>
    <s v="APOSENTADORIA RURAL"/>
    <s v="Thaynara Borges"/>
    <n v="2385"/>
    <s v="Entrada"/>
    <x v="1"/>
  </r>
  <r>
    <x v="20"/>
    <s v="Sarah Alves Lisboa"/>
    <s v="50% sobre a implantação"/>
    <x v="2"/>
    <x v="2"/>
    <x v="49"/>
    <s v="JOSELINA ROSA DE SANTANA"/>
    <m/>
    <s v="APOSENTADORIA RURAL"/>
    <s v="Thaynara Borges"/>
    <n v="1945"/>
    <s v="Entrada"/>
    <x v="1"/>
  </r>
  <r>
    <x v="20"/>
    <s v="Lisboa e Lisboa"/>
    <s v="Consultoria Financeira"/>
    <x v="0"/>
    <x v="0"/>
    <x v="0"/>
    <s v="PROGRESSE CONSULTORIA EMPRESARIAL"/>
    <m/>
    <m/>
    <s v="Thaynara Borges"/>
    <n v="-1750"/>
    <s v="Saída"/>
    <x v="0"/>
  </r>
  <r>
    <x v="20"/>
    <s v="Lisboa e Lisboa"/>
    <s v="30% sobre a implantação"/>
    <x v="2"/>
    <x v="2"/>
    <x v="50"/>
    <s v="MARIA JOSE FONSECA ARAUJO MELO ROSETE GOIS"/>
    <m/>
    <s v="REVISÃO DE BENEFÍCIO"/>
    <s v="Thaynara Borges"/>
    <n v="3692.45"/>
    <s v="Entrada"/>
    <x v="1"/>
  </r>
  <r>
    <x v="20"/>
    <s v="Thaynara Borges Pereira"/>
    <s v="Parcelamento em 7x"/>
    <x v="2"/>
    <x v="2"/>
    <x v="2"/>
    <s v="MARIA DA SILVA NOGUEIRA"/>
    <m/>
    <s v="Maria da Silva Nogueira x Nathalia dos Santos Nogueira"/>
    <s v="Thaynara Borges"/>
    <n v="250"/>
    <s v="Entrada"/>
    <x v="1"/>
  </r>
  <r>
    <x v="21"/>
    <s v="Lisboa e Lisboa"/>
    <s v="Plano mensal - conta corrente"/>
    <x v="4"/>
    <x v="3"/>
    <x v="5"/>
    <s v="BANCO ITAU"/>
    <m/>
    <m/>
    <s v="Thaynara Borges"/>
    <n v="-261.75"/>
    <s v="Saída"/>
    <x v="0"/>
  </r>
  <r>
    <x v="21"/>
    <s v="Sarah Alves Lisboa"/>
    <s v="30% sobre o 1º pagamento"/>
    <x v="2"/>
    <x v="2"/>
    <x v="51"/>
    <s v="ANTÔNIO BARBOSA DA SILVA FILHO"/>
    <m/>
    <s v="BENEFÍCIO POR INCAPACIDADE"/>
    <s v="Thaynara Borges"/>
    <n v="560"/>
    <s v="Entrada"/>
    <x v="1"/>
  </r>
  <r>
    <x v="22"/>
    <s v="Sarah Alves Lisboa"/>
    <s v="GRU"/>
    <x v="7"/>
    <x v="5"/>
    <x v="52"/>
    <s v="Jose Francisco Rodrigues da Silva"/>
    <m/>
    <s v="AUXILIO DOENÇA/ APOSENTADORIA POR INVALIDEZ"/>
    <s v="Thaynara Borges"/>
    <n v="-21.73"/>
    <s v="Saída"/>
    <x v="0"/>
  </r>
  <r>
    <x v="22"/>
    <s v="Lisboa e Lisboa"/>
    <s v="30% sobre os atrasados (valor liquido 50% Fernando)"/>
    <x v="2"/>
    <x v="2"/>
    <x v="53"/>
    <s v="MARCOS ANTONIO LOURENÇO DE TOLEDO"/>
    <m/>
    <s v="AUXILIO DOENÇA"/>
    <s v="Thaynara Borges"/>
    <n v="1507.81"/>
    <s v="Entrada"/>
    <x v="2"/>
  </r>
  <r>
    <x v="22"/>
    <s v="Lisboa e Lisboa"/>
    <s v="Sucumbência líquida (70% da Vanessa)"/>
    <x v="2"/>
    <x v="2"/>
    <x v="54"/>
    <s v="LEILA DIAS MARTINS"/>
    <m/>
    <s v="SUSPENÇAO DE ALTA MEDICA CONCEDIDA EM APOSENTADORIA POR INVALIDEZ"/>
    <s v="Thaynara Borges"/>
    <n v="361.22"/>
    <s v="Entrada"/>
    <x v="2"/>
  </r>
  <r>
    <x v="22"/>
    <s v="Lisboa e Lisboa"/>
    <s v="30% sobre os atrasados (líquidos, 70% da Vanessa)"/>
    <x v="2"/>
    <x v="2"/>
    <x v="54"/>
    <s v="LEILA DIAS MARTINS"/>
    <m/>
    <s v="SUSPENÇAO DE ALTA MEDICA CONCEDIDA EM APOSENTADORIA POR INVALIDEZ"/>
    <s v="Thaynara Borges"/>
    <n v="1083.6400000000001"/>
    <s v="Entrada"/>
    <x v="2"/>
  </r>
  <r>
    <x v="22"/>
    <s v="Thaynara Borges Pereira"/>
    <s v="Jarra para cafeteira"/>
    <x v="26"/>
    <x v="1"/>
    <x v="55"/>
    <s v="Mercado Livre"/>
    <m/>
    <m/>
    <s v="Thaynara Borges"/>
    <n v="-70.22"/>
    <s v="Saída"/>
    <x v="0"/>
  </r>
  <r>
    <x v="22"/>
    <s v="Lisboa e Lisboa"/>
    <s v="2 Benefícios parcelados em 6x"/>
    <x v="2"/>
    <x v="2"/>
    <x v="10"/>
    <s v="ISABEL PEREIRA SOUSA"/>
    <m/>
    <s v="APOSENTADORIA POR IDADE"/>
    <s v="Thaynara Borges"/>
    <n v="470.66"/>
    <s v="Entrada"/>
    <x v="1"/>
  </r>
  <r>
    <x v="22"/>
    <s v="Sarah Alves Lisboa"/>
    <s v="GRU"/>
    <x v="7"/>
    <x v="5"/>
    <x v="56"/>
    <s v="FABIANO MAGNO CESAR"/>
    <m/>
    <s v="AUXILIO DOENÇA"/>
    <s v="Thaynara Borges"/>
    <n v="-21.73"/>
    <s v="Saída"/>
    <x v="0"/>
  </r>
  <r>
    <x v="22"/>
    <s v="Lisboa e Lisboa"/>
    <s v="Condomínio"/>
    <x v="10"/>
    <x v="1"/>
    <x v="16"/>
    <s v="ATON BUSINESS STYLE"/>
    <m/>
    <m/>
    <s v="Thaynara Borges"/>
    <n v="-2967.49"/>
    <s v="Saída"/>
    <x v="0"/>
  </r>
  <r>
    <x v="22"/>
    <s v="Sarah Alves Lisboa"/>
    <s v="GRU"/>
    <x v="7"/>
    <x v="5"/>
    <x v="53"/>
    <s v="MARCOS ANTONIO LOURENÇO DE TOLEDO"/>
    <m/>
    <s v="AUXILIO DOENÇA"/>
    <s v="Thaynara Borges"/>
    <n v="-21.73"/>
    <s v="Saída"/>
    <x v="0"/>
  </r>
  <r>
    <x v="22"/>
    <s v="Sarah Alves Lisboa"/>
    <s v="Limpeza"/>
    <x v="9"/>
    <x v="1"/>
    <x v="15"/>
    <s v="ELIZANGELA FERREIRA DA SILVA"/>
    <m/>
    <m/>
    <s v="Thaynara Borges"/>
    <n v="-170"/>
    <s v="Saída"/>
    <x v="0"/>
  </r>
  <r>
    <x v="22"/>
    <s v="Lisboa e Lisboa"/>
    <s v="Cartão de Crédito Dr Ivanilldo"/>
    <x v="6"/>
    <x v="1"/>
    <x v="5"/>
    <s v="BANCO ITAU"/>
    <m/>
    <m/>
    <s v="Thaynara Borges"/>
    <n v="-3379.88"/>
    <s v="Saída"/>
    <x v="3"/>
  </r>
  <r>
    <x v="23"/>
    <s v="Lisboa e Lisboa"/>
    <s v="Banner"/>
    <x v="3"/>
    <x v="1"/>
    <x v="4"/>
    <s v="Rhuan Carlos Batista"/>
    <m/>
    <m/>
    <s v="Thaynara Borges"/>
    <n v="-30"/>
    <s v="Saída"/>
    <x v="0"/>
  </r>
  <r>
    <x v="23"/>
    <s v="Sarah Alves Lisboa"/>
    <s v="30% sobre implantação"/>
    <x v="2"/>
    <x v="2"/>
    <x v="57"/>
    <s v="GERENIAS GOMES DA SILVA"/>
    <m/>
    <s v="BENEFÍCIO POR INCAPACIDADE"/>
    <s v="Thaynara Borges"/>
    <n v="1523.1"/>
    <s v="Entrada"/>
    <x v="1"/>
  </r>
  <r>
    <x v="23"/>
    <s v="Thaynara Borges Pereira"/>
    <s v="Honorários 25% sobre a parte encontrada (tirando parte da Vanessa)"/>
    <x v="2"/>
    <x v="2"/>
    <x v="58"/>
    <s v="PABLO CASSIO MENDES"/>
    <m/>
    <s v="INDENIZACAO POR DANOS MORAIS E MATERIAIS"/>
    <s v="Thaynara Borges"/>
    <n v="201.46"/>
    <s v="Entrada"/>
    <x v="1"/>
  </r>
  <r>
    <x v="23"/>
    <s v="Thaynara Borges Pereira"/>
    <s v="Parceria com Dr. Silvio"/>
    <x v="2"/>
    <x v="2"/>
    <x v="59"/>
    <s v="ANTONIO PEREIRA SOBRINHO"/>
    <m/>
    <m/>
    <s v="Thaynara Borges"/>
    <n v="354"/>
    <s v="Entrada"/>
    <x v="1"/>
  </r>
  <r>
    <x v="24"/>
    <s v="Lisboa e Lisboa"/>
    <s v="Telefone fixo e internet"/>
    <x v="8"/>
    <x v="1"/>
    <x v="14"/>
    <s v="VIVO"/>
    <m/>
    <m/>
    <s v="Thaynara Borges"/>
    <n v="-367.84"/>
    <s v="Saída"/>
    <x v="0"/>
  </r>
  <r>
    <x v="24"/>
    <s v="Lisboa e Lisboa"/>
    <s v="Parcelas - honorários 3 benefícios"/>
    <x v="2"/>
    <x v="2"/>
    <x v="60"/>
    <s v="JOÃO BAREICHA FERREIRA GALVÃO"/>
    <m/>
    <s v="APOSENTADORIA"/>
    <s v="Thaynara Borges"/>
    <n v="1589.62"/>
    <s v="Entrada"/>
    <x v="1"/>
  </r>
  <r>
    <x v="25"/>
    <s v="Sarah Alves Lisboa"/>
    <s v="Celular"/>
    <x v="8"/>
    <x v="1"/>
    <x v="14"/>
    <s v="VIVO"/>
    <m/>
    <m/>
    <s v="Thaynara Borges"/>
    <n v="-130.37"/>
    <s v="Saída"/>
    <x v="0"/>
  </r>
  <r>
    <x v="25"/>
    <s v="Lisboa e Lisboa"/>
    <s v="Cartão de Crédito Dra Sarah"/>
    <x v="6"/>
    <x v="1"/>
    <x v="5"/>
    <s v="BANCO ITAU"/>
    <m/>
    <m/>
    <s v="Thaynara Borges"/>
    <n v="-308.25"/>
    <s v="Saída"/>
    <x v="3"/>
  </r>
  <r>
    <x v="26"/>
    <s v="Sarah Alves Lisboa"/>
    <s v="Tarifa Bancária"/>
    <x v="4"/>
    <x v="3"/>
    <x v="22"/>
    <s v="BANCO DO BRASIL S/A"/>
    <m/>
    <m/>
    <s v="Thaynara Borges"/>
    <n v="-14.55"/>
    <s v="Saída"/>
    <x v="0"/>
  </r>
  <r>
    <x v="26"/>
    <s v="Lisboa e Lisboa"/>
    <s v="30% sobre os atrasados"/>
    <x v="2"/>
    <x v="2"/>
    <x v="17"/>
    <s v="CALEB FERNANDES BARCELLOS REPRESENTADO PELA ROSALIA FERNANDES TEIXEIRA"/>
    <m/>
    <s v="AUXILIO RECLUSÃO"/>
    <s v="Thaynara Borges"/>
    <n v="12957.89"/>
    <s v="Entrada"/>
    <x v="1"/>
  </r>
  <r>
    <x v="26"/>
    <s v="Lisboa e Lisboa"/>
    <s v="Publicações Renio"/>
    <x v="12"/>
    <x v="1"/>
    <x v="19"/>
    <s v="PRO JURIDICO"/>
    <m/>
    <m/>
    <s v="Thaynara Borges"/>
    <n v="-100"/>
    <s v="Saída"/>
    <x v="0"/>
  </r>
  <r>
    <x v="26"/>
    <s v="Lisboa e Lisboa"/>
    <s v="Anuidade parcelada em 13x"/>
    <x v="2"/>
    <x v="2"/>
    <x v="17"/>
    <s v="CALEB FERNANDES BARCELLOS REPRESENTADO PELA ROSALIA FERNANDES TEIXEIRA"/>
    <m/>
    <s v="AUXILIO RECLUSÃO"/>
    <s v="Thaynara Borges"/>
    <n v="282.39999999999998"/>
    <s v="Entrada"/>
    <x v="1"/>
  </r>
  <r>
    <x v="26"/>
    <s v="Sarah Alves Lisboa"/>
    <s v="Limpeza"/>
    <x v="9"/>
    <x v="1"/>
    <x v="15"/>
    <s v="ELIZANGELA FERREIRA DA SILVA"/>
    <m/>
    <m/>
    <s v="Thaynara Borges"/>
    <n v="-340"/>
    <s v="Saída"/>
    <x v="0"/>
  </r>
  <r>
    <x v="26"/>
    <s v="Lisboa e Lisboa"/>
    <s v="IEL Estagiárias"/>
    <x v="13"/>
    <x v="6"/>
    <x v="21"/>
    <s v="IEL"/>
    <m/>
    <m/>
    <s v="Thaynara Borges"/>
    <n v="-200"/>
    <s v="Saída"/>
    <x v="0"/>
  </r>
  <r>
    <x v="26"/>
    <s v="Lisboa e Lisboa"/>
    <s v="Anuidade parcelada em 13x"/>
    <x v="2"/>
    <x v="2"/>
    <x v="17"/>
    <s v="CALEB FERNANDES BARCELLOS REPRESENTADO PELA ROSALIA FERNANDES TEIXEIRA"/>
    <m/>
    <s v="AUXILIO RECLUSÃO"/>
    <s v="Thaynara Borges"/>
    <n v="282.39999999999998"/>
    <s v="Entrada"/>
    <x v="1"/>
  </r>
  <r>
    <x v="26"/>
    <s v="Lisboa e Lisboa"/>
    <s v="50% dos atrasados (líquido, 10% da jainy)"/>
    <x v="2"/>
    <x v="2"/>
    <x v="48"/>
    <s v="MARIA DAS GRAÇAS MOREIRA DA SILVA"/>
    <m/>
    <s v="APOSENTADORIA RURAL"/>
    <s v="Thaynara Borges"/>
    <n v="3438"/>
    <s v="Entrada"/>
    <x v="1"/>
  </r>
  <r>
    <x v="26"/>
    <s v="Lisboa e Lisboa"/>
    <s v="30% dos atrasados + 20% anuidade"/>
    <x v="2"/>
    <x v="2"/>
    <x v="61"/>
    <s v="MARIA APARECIDA DA COSTA DIAS"/>
    <m/>
    <s v="AUXÍLIO DOENÇA RURAL"/>
    <s v="Thaynara Borges"/>
    <n v="11829.76"/>
    <s v="Entrada"/>
    <x v="1"/>
  </r>
  <r>
    <x v="26"/>
    <s v="Lisboa e Lisboa"/>
    <s v="Anuidade parcelada em 13x"/>
    <x v="2"/>
    <x v="2"/>
    <x v="17"/>
    <s v="CALEB FERNANDES BARCELLOS REPRESENTADO PELA ROSALIA FERNANDES TEIXEIRA"/>
    <m/>
    <s v="AUXILIO RECLUSÃO"/>
    <s v="Thaynara Borges"/>
    <n v="282.39999999999998"/>
    <s v="Entrada"/>
    <x v="1"/>
  </r>
  <r>
    <x v="26"/>
    <s v="Sarah Alves Lisboa"/>
    <s v="30% SOBRE A IMPLANTAÇÃO"/>
    <x v="2"/>
    <x v="2"/>
    <x v="62"/>
    <s v="ANA PEREIRA DA SILVA JESUS"/>
    <m/>
    <s v="AMPARA AO IDOSO"/>
    <s v="Thaynara Borges"/>
    <n v="1272.3"/>
    <s v="Entrada"/>
    <x v="1"/>
  </r>
  <r>
    <x v="27"/>
    <s v="Lisboa e Lisboa"/>
    <s v="Parcela Honorários Parceria"/>
    <x v="2"/>
    <x v="2"/>
    <x v="23"/>
    <s v="SONIA MARIA DA SILVA"/>
    <m/>
    <s v="Defesa Cível - Parceria Dr Silvio"/>
    <s v="Thaynara Borges"/>
    <n v="450"/>
    <s v="Entrada"/>
    <x v="2"/>
  </r>
  <r>
    <x v="28"/>
    <s v="Lisboa e Lisboa"/>
    <s v="Anuidade parcelada em 13x"/>
    <x v="2"/>
    <x v="2"/>
    <x v="17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x v="17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x v="17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x v="17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x v="17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x v="17"/>
    <s v="CALEB FERNANDES BARCELLOS REPRESENTADO PELA ROSALIA FERNANDES TEIXEIRA"/>
    <m/>
    <s v="AUXILIO RECLUSÃO"/>
    <s v="Thaynara Borges"/>
    <n v="282.39999999999998"/>
    <s v="Entrada"/>
    <x v="1"/>
  </r>
  <r>
    <x v="29"/>
    <s v="Lisboa e Lisboa"/>
    <s v="CONSULTA"/>
    <x v="2"/>
    <x v="2"/>
    <x v="63"/>
    <s v="DJEROWILSON ARAÚJO GONÇALVES"/>
    <m/>
    <s v="ANÁLISE"/>
    <s v="Nathalia Louiz"/>
    <n v="400"/>
    <s v="Entrada"/>
    <x v="1"/>
  </r>
  <r>
    <x v="29"/>
    <s v="Sarah Alves Lisboa"/>
    <s v="Honorário de implantação"/>
    <x v="2"/>
    <x v="2"/>
    <x v="64"/>
    <s v="AMARILDO DE MOURA"/>
    <m/>
    <s v="APOSENTADORIA"/>
    <s v="Thaynara Borges"/>
    <n v="1125"/>
    <s v="Entrada"/>
    <x v="1"/>
  </r>
  <r>
    <x v="30"/>
    <s v="Sarah Alves Lisboa"/>
    <s v="Cartão de Crédito Dra Thaynara"/>
    <x v="6"/>
    <x v="1"/>
    <x v="47"/>
    <s v="C6"/>
    <m/>
    <m/>
    <s v="Thaynara Borges"/>
    <n v="-1012.15"/>
    <s v="Saída"/>
    <x v="3"/>
  </r>
  <r>
    <x v="30"/>
    <s v="Lisboa e Lisboa"/>
    <s v="Publicações aviso urgente"/>
    <x v="12"/>
    <x v="1"/>
    <x v="29"/>
    <s v="AVISO URGENTE T I LTDA"/>
    <m/>
    <m/>
    <s v="Thaynara Borges"/>
    <n v="-507.3"/>
    <s v="Saída"/>
    <x v="0"/>
  </r>
  <r>
    <x v="31"/>
    <s v="Sarah Alves Lisboa"/>
    <s v="SSD para computador da Nina"/>
    <x v="14"/>
    <x v="1"/>
    <x v="65"/>
    <s v="LISBOA E LISBOA ADVOGADOS ASSOCIADOS"/>
    <m/>
    <m/>
    <s v="Nathalia Louiz"/>
    <n v="-244.32"/>
    <s v="Saída"/>
    <x v="0"/>
  </r>
  <r>
    <x v="32"/>
    <s v="Sarah Alves Lisboa"/>
    <s v="Limpeza"/>
    <x v="9"/>
    <x v="1"/>
    <x v="15"/>
    <s v="ELIZANGELA FERREIRA DA SILVA"/>
    <m/>
    <m/>
    <s v="Thaynara Borges"/>
    <n v="-340"/>
    <s v="Saída"/>
    <x v="0"/>
  </r>
  <r>
    <x v="33"/>
    <s v="Lisboa e Lisboa"/>
    <s v="Simples Nacional"/>
    <x v="20"/>
    <x v="7"/>
    <x v="39"/>
    <s v="Simples Nacional"/>
    <m/>
    <m/>
    <s v="Thaynara Borges"/>
    <n v="-3049.39"/>
    <s v="Saída"/>
    <x v="0"/>
  </r>
  <r>
    <x v="33"/>
    <s v="Thaynara Borges Pereira"/>
    <s v="Parceria com Dr. Silvio"/>
    <x v="2"/>
    <x v="2"/>
    <x v="59"/>
    <s v="ANTONIO PEREIRA SOBRINHO"/>
    <m/>
    <m/>
    <s v="Thaynara Borges"/>
    <n v="354"/>
    <s v="Entrada"/>
    <x v="2"/>
  </r>
  <r>
    <x v="33"/>
    <s v="Lisboa e Lisboa"/>
    <s v="Água"/>
    <x v="17"/>
    <x v="1"/>
    <x v="34"/>
    <s v="SANEAGO GOIAS S/A"/>
    <m/>
    <m/>
    <s v="Thaynara Borges"/>
    <n v="-61.14"/>
    <s v="Saída"/>
    <x v="0"/>
  </r>
  <r>
    <x v="33"/>
    <s v="Lisboa e Lisboa"/>
    <s v="Anuidade - parceria com Dr Fernando"/>
    <x v="2"/>
    <x v="2"/>
    <x v="30"/>
    <s v="ELVIO DE OLIVEIRA SOARES"/>
    <m/>
    <s v="APOSENTADORIA POR IDADE"/>
    <s v="Thaynara Borges"/>
    <n v="211.8"/>
    <s v="Entrada"/>
    <x v="1"/>
  </r>
  <r>
    <x v="33"/>
    <s v="Lisboa e Lisboa"/>
    <s v="FGTS"/>
    <x v="18"/>
    <x v="6"/>
    <x v="35"/>
    <s v="Ministério do Trabalho e Emprego"/>
    <m/>
    <m/>
    <s v="Thaynara Borges"/>
    <n v="-415.96"/>
    <s v="Saída"/>
    <x v="0"/>
  </r>
  <r>
    <x v="33"/>
    <s v="Sarah Alves Lisboa"/>
    <s v="PIX para Gasolina - Sarah (Pleiteio de Cliente)"/>
    <x v="27"/>
    <x v="4"/>
    <x v="65"/>
    <s v="LISBOA E LISBOA ADVOGADOS ASSOCIADOS"/>
    <s v="Enviado da conta BB Sarah para a conta Itaú Sarah"/>
    <m/>
    <s v="Nathalia Louiz"/>
    <n v="-70"/>
    <s v="Saída"/>
    <x v="0"/>
  </r>
  <r>
    <x v="33"/>
    <s v="Sarah Alves Lisboa"/>
    <s v="PIX PARA XEROX (Plenteio de cliente)"/>
    <x v="27"/>
    <x v="4"/>
    <x v="65"/>
    <s v="LISBOA E LISBOA ADVOGADOS ASSOCIADOS"/>
    <s v="Enviado da conta BB Sarah para a conta Itaú Sarah"/>
    <m/>
    <s v="Nathalia Louiz"/>
    <n v="-30"/>
    <s v="Saída"/>
    <x v="0"/>
  </r>
  <r>
    <x v="33"/>
    <s v="Lisboa e Lisboa"/>
    <s v="INSS"/>
    <x v="19"/>
    <x v="6"/>
    <x v="38"/>
    <s v="Receita Federal"/>
    <m/>
    <m/>
    <s v="Thaynara Borges"/>
    <n v="-1980.52"/>
    <s v="Saída"/>
    <x v="0"/>
  </r>
  <r>
    <x v="34"/>
    <s v="Sarah Alves Lisboa"/>
    <s v="Indicação para Dra. Karine Domingues"/>
    <x v="2"/>
    <x v="2"/>
    <x v="66"/>
    <s v="KESIA DA SILVA RIBEIRO"/>
    <m/>
    <m/>
    <s v="Thaynara Borges"/>
    <n v="270"/>
    <s v="Entrada"/>
    <x v="1"/>
  </r>
  <r>
    <x v="34"/>
    <s v="Lisboa e Lisboa"/>
    <s v="20% pela parceria com Dra. Nubia"/>
    <x v="2"/>
    <x v="2"/>
    <x v="36"/>
    <s v="GILNETH VIDAL DOS SANTOS"/>
    <m/>
    <s v="ANALISAR PROCESSOS"/>
    <s v="Thaynara Borges"/>
    <n v="120"/>
    <s v="Entrada"/>
    <x v="2"/>
  </r>
  <r>
    <x v="34"/>
    <s v="Lisboa e Lisboa"/>
    <s v="Sucumbencia liquida, tirando Giuliano e Vanessa"/>
    <x v="2"/>
    <x v="2"/>
    <x v="67"/>
    <s v="LUCILENE DOMINGUES DE OLIVEIRA"/>
    <m/>
    <s v="PENSAO POR MORTE"/>
    <s v="Thaynara Borges"/>
    <n v="3674.98"/>
    <s v="Entrada"/>
    <x v="1"/>
  </r>
  <r>
    <x v="34"/>
    <s v="Sarah Alves Lisboa"/>
    <s v="Indicação para Dra. Karine Domingues"/>
    <x v="2"/>
    <x v="2"/>
    <x v="66"/>
    <s v="KESIA DA SILVA RIBEIRO"/>
    <m/>
    <m/>
    <s v="Thaynara Borges"/>
    <n v="270"/>
    <s v="Entrada"/>
    <x v="1"/>
  </r>
  <r>
    <x v="35"/>
    <s v="Sarah Alves Lisboa"/>
    <s v="30%  sobre atrasados"/>
    <x v="2"/>
    <x v="2"/>
    <x v="52"/>
    <s v="Jose Francisco Rodrigues da Silva"/>
    <s v="BB da Sarah"/>
    <s v="AUXILIO DOENÇA/ APOSENTADORIA POR INVALIDEZ"/>
    <s v="Thaynara Borges"/>
    <n v="616.44000000000005"/>
    <s v="Entrada"/>
    <x v="1"/>
  </r>
  <r>
    <x v="36"/>
    <s v="Thaynara Borges Pereira"/>
    <s v="Parcelas - parceria Dr Silvio"/>
    <x v="2"/>
    <x v="2"/>
    <x v="40"/>
    <s v="GLEYCIANNE RIBEIRO DE SOUZA CABRAL"/>
    <m/>
    <s v="DIVÓRCIO CONSENSUAL C/C REGULAMENTAÇÃO DE GUARDA E ALIMENTOS"/>
    <s v="Thaynara Borges"/>
    <n v="150"/>
    <s v="Entrada"/>
    <x v="1"/>
  </r>
  <r>
    <x v="36"/>
    <s v="Lisboa e Lisboa"/>
    <s v="MANUTENÇÃO DO ESCRITORIO (vazamentos hidráulicos)"/>
    <x v="14"/>
    <x v="1"/>
    <x v="65"/>
    <s v="LISBOA E LISBOA ADVOGADOS ASSOCIADOS"/>
    <s v="PIX para IDEAL DEDETIZADORA E DESENTUPIDORA"/>
    <m/>
    <s v="Nathalia Louiz"/>
    <n v="-150"/>
    <s v="Saída"/>
    <x v="0"/>
  </r>
  <r>
    <x v="37"/>
    <s v="Lisboa e Lisboa"/>
    <s v="CUSTAS EXECUÇÃO ESPÓLIO REGINALDO"/>
    <x v="7"/>
    <x v="5"/>
    <x v="68"/>
    <s v="ESPÓLIO DE REGINALDO DE SOUZA LIRA"/>
    <m/>
    <s v="ESPÓLIO DE REGINALDO DE SOUZA LIRA x A DEFINIR"/>
    <s v="Nathalia Louiz"/>
    <n v="-132.99"/>
    <s v="Saída"/>
    <x v="0"/>
  </r>
  <r>
    <x v="37"/>
    <s v="Sarah Alves Lisboa"/>
    <s v="Limpeza"/>
    <x v="9"/>
    <x v="1"/>
    <x v="15"/>
    <s v="ELIZANGELA FERREIRA DA SILVA"/>
    <m/>
    <m/>
    <s v="Thaynara Borges"/>
    <n v="-340"/>
    <s v="Saída"/>
    <x v="0"/>
  </r>
  <r>
    <x v="38"/>
    <s v="Sarah Alves Lisboa"/>
    <s v="Parcelas anuidade"/>
    <x v="2"/>
    <x v="2"/>
    <x v="42"/>
    <s v="JOSE NILTON FERREIRA DE SOUZA"/>
    <m/>
    <s v="APOSENTADORIA POR IDADE"/>
    <s v="Thaynara Borges"/>
    <n v="282.39999999999998"/>
    <s v="Entrada"/>
    <x v="1"/>
  </r>
  <r>
    <x v="38"/>
    <s v="Lisboa e Lisboa"/>
    <s v="Suprimentos para o Escritório"/>
    <x v="26"/>
    <x v="1"/>
    <x v="65"/>
    <s v="LISBOA E LISBOA ADVOGADOS ASSOCIADOS"/>
    <s v="Boleto agendado"/>
    <m/>
    <s v="Nathalia Louiz"/>
    <n v="-340.6"/>
    <s v="Saída"/>
    <x v="0"/>
  </r>
  <r>
    <x v="38"/>
    <s v="Lisboa e Lisboa"/>
    <s v="30% sobre os atrasados"/>
    <x v="2"/>
    <x v="2"/>
    <x v="56"/>
    <s v="FABIANO MAGNO CESAR"/>
    <m/>
    <s v="AUXILIO DOENÇA"/>
    <s v="Thaynara Borges"/>
    <n v="14421.52"/>
    <s v="Entrada"/>
    <x v="1"/>
  </r>
  <r>
    <x v="38"/>
    <s v="Lisboa e Lisboa"/>
    <s v="Energia"/>
    <x v="21"/>
    <x v="1"/>
    <x v="45"/>
    <s v="EQUATORIAL GOIAS"/>
    <m/>
    <m/>
    <s v="Thaynara Borges"/>
    <n v="-720.51"/>
    <s v="Saída"/>
    <x v="0"/>
  </r>
  <r>
    <x v="39"/>
    <s v="Thaynara Borges Pereira"/>
    <s v="Diferença ref.: 3 Benefícios parcelados"/>
    <x v="2"/>
    <x v="2"/>
    <x v="43"/>
    <s v="ANA ELIA DE SOUZA MANSE"/>
    <s v="Recebimento parcial"/>
    <s v="PENSÃO POR MORTE"/>
    <s v="Thaynara Borges"/>
    <n v="410"/>
    <s v="Entrada"/>
    <x v="1"/>
  </r>
  <r>
    <x v="39"/>
    <s v="Thaynara Borges Pereira"/>
    <s v="Diferença ref.: 3 Benefícios parcelados"/>
    <x v="2"/>
    <x v="2"/>
    <x v="43"/>
    <s v="ANA ELIA DE SOUZA MANSE"/>
    <m/>
    <s v="PENSÃO POR MORTE"/>
    <s v="Thaynara Borges"/>
    <n v="59"/>
    <s v="Entrada"/>
    <x v="1"/>
  </r>
  <r>
    <x v="40"/>
    <s v="Lisboa e Lisboa"/>
    <s v="Salario"/>
    <x v="15"/>
    <x v="6"/>
    <x v="37"/>
    <s v="Nina Araujo"/>
    <m/>
    <m/>
    <s v="Thaynara Borges"/>
    <n v="-3195.89"/>
    <s v="Saída"/>
    <x v="0"/>
  </r>
  <r>
    <x v="40"/>
    <s v="Sarah Alves Lisboa"/>
    <s v="Limpeza"/>
    <x v="9"/>
    <x v="1"/>
    <x v="15"/>
    <s v="ELIZANGELA FERREIRA DA SILVA"/>
    <m/>
    <m/>
    <s v="Thaynara Borges"/>
    <n v="-340"/>
    <s v="Saída"/>
    <x v="0"/>
  </r>
  <r>
    <x v="40"/>
    <s v="Lisboa e Lisboa"/>
    <s v="Retirada"/>
    <x v="22"/>
    <x v="8"/>
    <x v="27"/>
    <s v="Thaynara Borges Pereira"/>
    <m/>
    <m/>
    <s v="Thaynara Borges"/>
    <n v="-3648.98"/>
    <s v="Saída"/>
    <x v="0"/>
  </r>
  <r>
    <x v="40"/>
    <s v="Sarah Alves Lisboa"/>
    <s v="Salário - Parcial"/>
    <x v="15"/>
    <x v="6"/>
    <x v="69"/>
    <s v="Nathalia Louiz Alves Vigilato"/>
    <m/>
    <m/>
    <s v="Nathalia Louiz"/>
    <n v="-930.39"/>
    <s v="Saída"/>
    <x v="0"/>
  </r>
  <r>
    <x v="40"/>
    <s v="Lisboa e Lisboa"/>
    <s v="Bolsa Estagio"/>
    <x v="13"/>
    <x v="6"/>
    <x v="18"/>
    <s v="ISABELLA ALVIM BIACHINI"/>
    <m/>
    <m/>
    <s v="Thaynara Borges"/>
    <n v="-1300"/>
    <s v="Saída"/>
    <x v="0"/>
  </r>
  <r>
    <x v="40"/>
    <s v="Lisboa e Lisboa"/>
    <s v="Retirada"/>
    <x v="22"/>
    <x v="8"/>
    <x v="7"/>
    <s v="Sarah Alves Lisboa"/>
    <m/>
    <m/>
    <s v="Thaynara Borges"/>
    <n v="-6148.98"/>
    <s v="Saída"/>
    <x v="0"/>
  </r>
  <r>
    <x v="40"/>
    <s v="Lisboa e Lisboa"/>
    <s v="Pro labore"/>
    <x v="23"/>
    <x v="8"/>
    <x v="27"/>
    <s v="Thaynara Borges Pereira"/>
    <m/>
    <m/>
    <s v="Thaynara Borges"/>
    <n v="-1351.02"/>
    <s v="Saída"/>
    <x v="0"/>
  </r>
  <r>
    <x v="40"/>
    <s v="Lisboa e Lisboa"/>
    <s v="Pro labore"/>
    <x v="23"/>
    <x v="8"/>
    <x v="7"/>
    <s v="Sarah Alves Lisboa"/>
    <m/>
    <m/>
    <s v="Thaynara Borges"/>
    <n v="-1351.02"/>
    <s v="Saída"/>
    <x v="0"/>
  </r>
  <r>
    <x v="40"/>
    <s v="Lisboa e Lisboa"/>
    <s v="Bolsa Estagio"/>
    <x v="13"/>
    <x v="6"/>
    <x v="46"/>
    <s v="Laura Barbosa Marques"/>
    <m/>
    <m/>
    <s v="Thaynara Borges"/>
    <n v="-1300"/>
    <s v="Saída"/>
    <x v="0"/>
  </r>
  <r>
    <x v="40"/>
    <s v="Sarah Alves Lisboa"/>
    <s v="Salario"/>
    <x v="15"/>
    <x v="6"/>
    <x v="32"/>
    <s v="Raffaela Nunes"/>
    <m/>
    <m/>
    <s v="Thaynara Borges"/>
    <n v="-2200"/>
    <s v="Saída"/>
    <x v="0"/>
  </r>
  <r>
    <x v="41"/>
    <s v="Cartão de Crédito Dr Ivanildo"/>
    <s v="Google One"/>
    <x v="12"/>
    <x v="1"/>
    <x v="5"/>
    <s v="BANCO ITAU"/>
    <m/>
    <m/>
    <s v="Thaynara Borges"/>
    <n v="-38.99"/>
    <s v="Saída"/>
    <x v="0"/>
  </r>
  <r>
    <x v="41"/>
    <s v="Lisboa e Lisboa"/>
    <s v="Assessoria Contábil"/>
    <x v="1"/>
    <x v="1"/>
    <x v="1"/>
    <s v="CARLOS ALBERTO GRACIANO RODRIGUES"/>
    <m/>
    <m/>
    <s v="Thaynara Borges"/>
    <n v="-1518"/>
    <s v="Saída"/>
    <x v="0"/>
  </r>
  <r>
    <x v="41"/>
    <s v="Cartão de Crédito Dr Ivanildo"/>
    <s v="Computador Dell"/>
    <x v="25"/>
    <x v="0"/>
    <x v="5"/>
    <s v="BANCO ITAU"/>
    <s v=""/>
    <m/>
    <s v="Nathalia Louiz"/>
    <n v="-333.24"/>
    <s v="Saída"/>
    <x v="0"/>
  </r>
  <r>
    <x v="41"/>
    <s v="Cartão de Crédito Dra Thaynara"/>
    <s v="HTM*ALINEDECKER (Curso Liderança)"/>
    <x v="12"/>
    <x v="1"/>
    <x v="47"/>
    <s v="C6"/>
    <m/>
    <m/>
    <s v="Thaynara Borges"/>
    <n v="-249.21"/>
    <s v="Saída"/>
    <x v="0"/>
  </r>
  <r>
    <x v="41"/>
    <s v="Cartão de Crédito Dra Thaynara"/>
    <s v="GOOGLE GSUITE_PREVLEX."/>
    <x v="12"/>
    <x v="1"/>
    <x v="47"/>
    <s v="C6"/>
    <m/>
    <m/>
    <s v="Thaynara Borges"/>
    <n v="-126"/>
    <s v="Saída"/>
    <x v="0"/>
  </r>
  <r>
    <x v="41"/>
    <s v="Cartão de Crédito Dr Ivanildo"/>
    <s v="Jusbrasil"/>
    <x v="12"/>
    <x v="1"/>
    <x v="5"/>
    <s v="BANCO ITAU"/>
    <m/>
    <m/>
    <s v="Thaynara Borges"/>
    <n v="-58.9"/>
    <s v="Saída"/>
    <x v="0"/>
  </r>
  <r>
    <x v="41"/>
    <s v="Cartão de Crédito Dr Ivanildo"/>
    <s v="Canaã Frios"/>
    <x v="11"/>
    <x v="1"/>
    <x v="5"/>
    <s v="BANCO ITAU"/>
    <m/>
    <m/>
    <s v="Nathalia Louiz"/>
    <n v="-41.08"/>
    <s v="Saída"/>
    <x v="0"/>
  </r>
  <r>
    <x v="41"/>
    <s v="Cartão de Crédito Dr Ivanildo"/>
    <s v="Pagamento Cartão de Crédito Dr Ivanildo"/>
    <x v="6"/>
    <x v="1"/>
    <x v="5"/>
    <s v="BANCO ITAU"/>
    <m/>
    <m/>
    <s v="Thaynara Borges"/>
    <n v="2474.3000000000002"/>
    <s v="Entrada"/>
    <x v="1"/>
  </r>
  <r>
    <x v="41"/>
    <s v="Cartão de Crédito Dr Ivanildo"/>
    <s v="Google One"/>
    <x v="12"/>
    <x v="1"/>
    <x v="5"/>
    <s v="BANCO ITAU"/>
    <m/>
    <m/>
    <s v="Thaynara Borges"/>
    <n v="-11.99"/>
    <s v="Saída"/>
    <x v="0"/>
  </r>
  <r>
    <x v="41"/>
    <s v="Sarah Alves Lisboa"/>
    <s v="Parcela Honorários Parceria"/>
    <x v="2"/>
    <x v="2"/>
    <x v="23"/>
    <s v="SONIA MARIA DA SILVA"/>
    <m/>
    <s v="Defesa Cível - Parceria Dr Silvio"/>
    <s v="Thaynara Borges"/>
    <n v="450"/>
    <s v="Entrada"/>
    <x v="1"/>
  </r>
  <r>
    <x v="41"/>
    <s v="Cartão de Crédito Dr Ivanildo"/>
    <s v="Moreira"/>
    <x v="26"/>
    <x v="1"/>
    <x v="5"/>
    <s v="BANCO ITAU"/>
    <m/>
    <m/>
    <s v="Nathalia Louiz"/>
    <n v="-198.48"/>
    <s v="Saída"/>
    <x v="0"/>
  </r>
  <r>
    <x v="41"/>
    <s v="Cartão de Crédito Dra Thaynara"/>
    <s v="ASTREA"/>
    <x v="12"/>
    <x v="1"/>
    <x v="47"/>
    <s v="C6"/>
    <m/>
    <m/>
    <s v="Thaynara Borges"/>
    <n v="-456.75"/>
    <s v="Saída"/>
    <x v="0"/>
  </r>
  <r>
    <x v="41"/>
    <s v="Cartão de Crédito Dr Ivanildo"/>
    <s v="Previdenciarista"/>
    <x v="12"/>
    <x v="1"/>
    <x v="5"/>
    <s v="BANCO ITAU"/>
    <m/>
    <m/>
    <s v="Thaynara Borges"/>
    <n v="-99.9"/>
    <s v="Saída"/>
    <x v="0"/>
  </r>
  <r>
    <x v="41"/>
    <s v="Lisboa e Lisboa"/>
    <s v="Consultoria Financeira"/>
    <x v="0"/>
    <x v="0"/>
    <x v="0"/>
    <s v="PROGRESSE CONSULTORIA EMPRESARIAL"/>
    <m/>
    <m/>
    <s v="Thaynara Borges"/>
    <n v="-1750"/>
    <s v="Saída"/>
    <x v="0"/>
  </r>
  <r>
    <x v="41"/>
    <s v="Sarah Alves Lisboa"/>
    <s v="Honorários contratuais + sucumbência"/>
    <x v="2"/>
    <x v="2"/>
    <x v="58"/>
    <s v="PABLO CASSIO MENDES"/>
    <m/>
    <s v="INDENIZACAO POR DANOS MORAIS E MATERIAIS"/>
    <s v="Thaynara Borges"/>
    <n v="6125"/>
    <s v="Entrada"/>
    <x v="1"/>
  </r>
  <r>
    <x v="41"/>
    <s v="Cartão de Crédito Dr Ivanildo"/>
    <s v="ZapSign programa de assinatura eletronica"/>
    <x v="12"/>
    <x v="1"/>
    <x v="5"/>
    <s v="BANCO ITAU"/>
    <m/>
    <m/>
    <s v="Thaynara Borges"/>
    <n v="-19.899999999999999"/>
    <s v="Saída"/>
    <x v="0"/>
  </r>
  <r>
    <x v="41"/>
    <s v="Thaynara Borges Pereira"/>
    <s v="Parcelamento em 7x"/>
    <x v="2"/>
    <x v="2"/>
    <x v="2"/>
    <s v="MARIA DA SILVA NOGUEIRA"/>
    <m/>
    <s v="Maria da Silva Nogueira x Nathalia dos Santos Nogueira"/>
    <s v="Thaynara Borges"/>
    <n v="250"/>
    <s v="Entrada"/>
    <x v="1"/>
  </r>
  <r>
    <x v="41"/>
    <s v="Lisboa e Lisboa"/>
    <s v="30% da implantação do adicional de 25%. Será descontado na RPV."/>
    <x v="2"/>
    <x v="2"/>
    <x v="70"/>
    <s v="SANDRA MARIA SOARES"/>
    <m/>
    <s v="RESTABELECIMENTO AUXILIO DOENÇA"/>
    <s v="Thaynara Borges"/>
    <n v="317.7"/>
    <s v="Entrada"/>
    <x v="2"/>
  </r>
  <r>
    <x v="41"/>
    <s v="Cartão de Crédito Dra Thaynara"/>
    <s v="Cálculo Jurídico"/>
    <x v="12"/>
    <x v="1"/>
    <x v="47"/>
    <s v="C6"/>
    <m/>
    <m/>
    <s v="Thaynara Borges"/>
    <n v="-120.29"/>
    <s v="Saída"/>
    <x v="0"/>
  </r>
  <r>
    <x v="41"/>
    <s v="Cartão de Crédito Dra Thaynara"/>
    <s v="APPLE.COM/BILL - Assinatura Teleprompter"/>
    <x v="27"/>
    <x v="4"/>
    <x v="47"/>
    <s v="C6"/>
    <m/>
    <m/>
    <s v="Thaynara Borges"/>
    <n v="-99.9"/>
    <s v="Saída"/>
    <x v="0"/>
  </r>
  <r>
    <x v="41"/>
    <s v="Cartão de Crédito Dr Ivanildo"/>
    <s v="Cestas de fim de ano para equipe"/>
    <x v="11"/>
    <x v="1"/>
    <x v="5"/>
    <s v="BANCO ITAU"/>
    <m/>
    <m/>
    <s v="Thaynara Borges"/>
    <n v="-725"/>
    <s v="Saída"/>
    <x v="0"/>
  </r>
  <r>
    <x v="41"/>
    <s v="Sarah Alves Lisboa"/>
    <s v="Parcela Honorários Parceria"/>
    <x v="2"/>
    <x v="2"/>
    <x v="23"/>
    <s v="SONIA MARIA DA SILVA"/>
    <m/>
    <s v="Defesa Cível - Parceria Dr Silvio"/>
    <s v="Thaynara Borges"/>
    <n v="450"/>
    <s v="Entrada"/>
    <x v="1"/>
  </r>
  <r>
    <x v="41"/>
    <s v="Cartão de Crédito Dr Ivanildo"/>
    <s v="Canaã Frios"/>
    <x v="11"/>
    <x v="1"/>
    <x v="5"/>
    <s v="BANCO ITAU"/>
    <m/>
    <m/>
    <s v="Nathalia Louiz"/>
    <n v="-41.1"/>
    <s v="Saída"/>
    <x v="0"/>
  </r>
  <r>
    <x v="41"/>
    <s v="Cartão de Crédito Dr Ivanildo"/>
    <s v="Pão de açúcar"/>
    <x v="26"/>
    <x v="1"/>
    <x v="5"/>
    <s v="BANCO ITAU"/>
    <m/>
    <m/>
    <s v="Nathalia Louiz"/>
    <n v="-412.91"/>
    <s v="Saída"/>
    <x v="0"/>
  </r>
  <r>
    <x v="41"/>
    <s v="Cartão de Crédito Dr Ivanildo"/>
    <s v="Pequenas Coisas"/>
    <x v="26"/>
    <x v="1"/>
    <x v="5"/>
    <s v="BANCO ITAU"/>
    <m/>
    <m/>
    <s v="Nathalia Louiz"/>
    <n v="-269"/>
    <s v="Saída"/>
    <x v="0"/>
  </r>
  <r>
    <x v="41"/>
    <s v="Cartão de Crédito Dr Ivanildo"/>
    <s v="Jusbrasil"/>
    <x v="12"/>
    <x v="1"/>
    <x v="5"/>
    <s v="BANCO ITAU"/>
    <m/>
    <m/>
    <s v="Thaynara Borges"/>
    <n v="-58.9"/>
    <s v="Saída"/>
    <x v="0"/>
  </r>
  <r>
    <x v="41"/>
    <s v="Cartão de Crédito Dr Ivanildo"/>
    <s v="Papelaria"/>
    <x v="26"/>
    <x v="1"/>
    <x v="5"/>
    <s v="BANCO ITAU"/>
    <m/>
    <m/>
    <s v="Nathalia Louiz"/>
    <n v="-84"/>
    <s v="Saída"/>
    <x v="0"/>
  </r>
  <r>
    <x v="41"/>
    <s v="Cartão de Crédito Dra Thaynara"/>
    <s v="Pagamento Cartão de Crédito Dra Thaynara"/>
    <x v="6"/>
    <x v="1"/>
    <x v="47"/>
    <s v="C6"/>
    <m/>
    <m/>
    <s v="Nathalia Louiz"/>
    <n v="1112.05"/>
    <s v="Entrada"/>
    <x v="1"/>
  </r>
  <r>
    <x v="41"/>
    <s v="Cartão de Crédito Dr Ivanildo"/>
    <s v="Prévius"/>
    <x v="12"/>
    <x v="1"/>
    <x v="5"/>
    <s v="BANCO ITAU"/>
    <m/>
    <m/>
    <s v="Thaynara Borges"/>
    <n v="-80.91"/>
    <s v="Saída"/>
    <x v="0"/>
  </r>
  <r>
    <x v="41"/>
    <s v="Cartão de Crédito Dra Thaynara"/>
    <s v="ASA*TRINDADE AMADO PRO (Curso de atualização previdenciária)"/>
    <x v="12"/>
    <x v="1"/>
    <x v="47"/>
    <s v="C6"/>
    <m/>
    <m/>
    <s v="Thaynara Borges"/>
    <n v="-59.9"/>
    <s v="Saída"/>
    <x v="0"/>
  </r>
  <r>
    <x v="42"/>
    <s v="Sarah Alves Lisboa"/>
    <s v="3 Benefícios em Parcela Única"/>
    <x v="2"/>
    <x v="2"/>
    <x v="64"/>
    <s v="AMARILDO DE MOURA"/>
    <m/>
    <m/>
    <s v="Nathalia Louiz"/>
    <n v="5891.37"/>
    <s v="Entrada"/>
    <x v="1"/>
  </r>
  <r>
    <x v="42"/>
    <s v="Lisboa e Lisboa"/>
    <s v="Serviços TI e Marketing"/>
    <x v="3"/>
    <x v="1"/>
    <x v="4"/>
    <s v="Rhuan Carlos Batista"/>
    <m/>
    <m/>
    <s v="Thaynara Borges"/>
    <n v="-460"/>
    <s v="Saída"/>
    <x v="0"/>
  </r>
  <r>
    <x v="42"/>
    <s v="Lisboa e Lisboa"/>
    <s v="Plano mensal - conta corrente"/>
    <x v="4"/>
    <x v="3"/>
    <x v="5"/>
    <s v="BANCO ITAU"/>
    <m/>
    <m/>
    <s v="Thaynara Borges"/>
    <n v="-69.5"/>
    <s v="Saída"/>
    <x v="0"/>
  </r>
  <r>
    <x v="42"/>
    <s v="Sarah Alves Lisboa"/>
    <s v="ANUIDADE 12X"/>
    <x v="2"/>
    <x v="2"/>
    <x v="62"/>
    <s v="ANA PEREIRA DA SILVA JESUS"/>
    <m/>
    <s v="AMPARA AO IDOSO"/>
    <s v="Nathalia Louiz"/>
    <n v="303.60000000000002"/>
    <s v="Entrada"/>
    <x v="1"/>
  </r>
  <r>
    <x v="43"/>
    <s v="Lisboa e Lisboa"/>
    <s v="Condomínio"/>
    <x v="10"/>
    <x v="1"/>
    <x v="16"/>
    <s v="ATON BUSINESS STYLE"/>
    <m/>
    <m/>
    <s v="Thaynara Borges"/>
    <n v="-3015.68"/>
    <s v="Saída"/>
    <x v="0"/>
  </r>
  <r>
    <x v="43"/>
    <s v="Lisboa e Lisboa"/>
    <s v="Cartão de Crédito Dr Ivanilldo"/>
    <x v="6"/>
    <x v="1"/>
    <x v="5"/>
    <s v="BANCO ITAU"/>
    <m/>
    <m/>
    <s v="Thaynara Borges"/>
    <n v="-2474.3000000000002"/>
    <s v="Saída"/>
    <x v="0"/>
  </r>
  <r>
    <x v="43"/>
    <s v="Thaynara Borges Pereira"/>
    <s v="Diferença ref.: 3 Benefícios parcelados"/>
    <x v="2"/>
    <x v="2"/>
    <x v="43"/>
    <s v="ANA ELIA DE SOUZA MANSE"/>
    <m/>
    <s v="PENSÃO POR MORTE"/>
    <s v="Thaynara Borges"/>
    <n v="159"/>
    <s v="Entrada"/>
    <x v="1"/>
  </r>
  <r>
    <x v="43"/>
    <s v="Sarah Alves Lisboa"/>
    <s v="Comissão de meta batida - Janeiro"/>
    <x v="28"/>
    <x v="7"/>
    <x v="27"/>
    <s v="Thaynara Borges Pereira"/>
    <m/>
    <m/>
    <s v="Nathalia Louiz"/>
    <n v="-100"/>
    <s v="Saída"/>
    <x v="0"/>
  </r>
  <r>
    <x v="43"/>
    <s v="Thaynara Borges Pereira"/>
    <s v="Diferença ref.: 3 Benefícios parcelados"/>
    <x v="2"/>
    <x v="2"/>
    <x v="43"/>
    <s v="ANA ELIA DE SOUZA MANSE"/>
    <m/>
    <s v="PENSÃO POR MORTE"/>
    <s v="Thaynara Borges"/>
    <n v="59"/>
    <s v="Entrada"/>
    <x v="1"/>
  </r>
  <r>
    <x v="43"/>
    <s v="Sarah Alves Lisboa"/>
    <s v="Comissão de meta batida - Janeiro"/>
    <x v="28"/>
    <x v="7"/>
    <x v="18"/>
    <s v="ISABELLA ALVIM BIACHINI"/>
    <m/>
    <m/>
    <s v="Nathalia Louiz"/>
    <n v="-100"/>
    <s v="Saída"/>
    <x v="0"/>
  </r>
  <r>
    <x v="43"/>
    <s v="Lisboa e Lisboa"/>
    <s v="IPTU - SALA B73"/>
    <x v="29"/>
    <x v="1"/>
    <x v="71"/>
    <s v="PREFEITURA MUNICIPAL DE GOIÂNIA"/>
    <m/>
    <m/>
    <s v="Nathalia Louiz"/>
    <n v="-1242.7"/>
    <s v="Saída"/>
    <x v="0"/>
  </r>
  <r>
    <x v="43"/>
    <s v="Lisboa e Lisboa"/>
    <s v="2 Benefícios parcelados em 6x"/>
    <x v="2"/>
    <x v="2"/>
    <x v="10"/>
    <s v="ISABEL PEREIRA SOUSA"/>
    <m/>
    <s v="APOSENTADORIA POR IDADE"/>
    <s v="Thaynara Borges"/>
    <n v="500"/>
    <s v="Entrada"/>
    <x v="1"/>
  </r>
  <r>
    <x v="43"/>
    <s v="Sarah Alves Lisboa"/>
    <s v="Comissão de meta batida - Janeiro"/>
    <x v="28"/>
    <x v="7"/>
    <x v="46"/>
    <s v="Laura Barbosa Marques"/>
    <m/>
    <m/>
    <s v="Nathalia Louiz"/>
    <n v="-100"/>
    <s v="Saída"/>
    <x v="0"/>
  </r>
  <r>
    <x v="43"/>
    <s v="Sarah Alves Lisboa"/>
    <s v="Comissão de meta batida - Janeiro"/>
    <x v="28"/>
    <x v="7"/>
    <x v="7"/>
    <s v="Sarah Alves Lisboa"/>
    <m/>
    <m/>
    <s v="Nathalia Louiz"/>
    <n v="-100"/>
    <s v="Saída"/>
    <x v="0"/>
  </r>
  <r>
    <x v="43"/>
    <s v="Sarah Alves Lisboa"/>
    <s v="Comissão de meta batida - Janeiro"/>
    <x v="28"/>
    <x v="7"/>
    <x v="32"/>
    <s v="Raffaela Nunes"/>
    <m/>
    <m/>
    <s v="Nathalia Louiz"/>
    <n v="-100"/>
    <s v="Saída"/>
    <x v="0"/>
  </r>
  <r>
    <x v="43"/>
    <s v="Sarah Alves Lisboa"/>
    <s v="Comissão de meta batida - Janeiro"/>
    <x v="28"/>
    <x v="7"/>
    <x v="72"/>
    <s v="EVANILZA ARAUJO MORAES"/>
    <m/>
    <m/>
    <s v="Nathalia Louiz"/>
    <n v="-100"/>
    <s v="Saída"/>
    <x v="0"/>
  </r>
  <r>
    <x v="43"/>
    <s v="Thaynara Borges Pereira"/>
    <s v="Diferença ref.: 3 Benefícios parcelados"/>
    <x v="2"/>
    <x v="2"/>
    <x v="43"/>
    <s v="ANA ELIA DE SOUZA MANSE"/>
    <m/>
    <s v="PENSÃO POR MORTE"/>
    <s v="Thaynara Borges"/>
    <n v="149"/>
    <s v="Entrada"/>
    <x v="1"/>
  </r>
  <r>
    <x v="44"/>
    <s v="Lisboa e Lisboa"/>
    <s v="Celular"/>
    <x v="8"/>
    <x v="1"/>
    <x v="14"/>
    <s v="VIVO"/>
    <m/>
    <m/>
    <s v="Thaynara Borges"/>
    <n v="-130.37"/>
    <s v="Saída"/>
    <x v="0"/>
  </r>
  <r>
    <x v="44"/>
    <s v="Sarah Alves Lisboa"/>
    <s v="20% pela parceria com Dra. Nubia"/>
    <x v="2"/>
    <x v="2"/>
    <x v="36"/>
    <s v="GILNETH VIDAL DOS SANTOS"/>
    <m/>
    <s v="ANALISAR PROCESSOS"/>
    <s v="Thaynara Borges"/>
    <n v="119.35"/>
    <s v="Entrada"/>
    <x v="1"/>
  </r>
  <r>
    <x v="45"/>
    <s v="Sarah Alves Lisboa"/>
    <s v="30% sobre o 1º pagamento"/>
    <x v="2"/>
    <x v="2"/>
    <x v="73"/>
    <s v="MARINA MARIA DA CRUZ BARRETO"/>
    <m/>
    <s v="BENEFÍCIO POR INCAPACIDADE"/>
    <s v="Thaynara Borges"/>
    <n v="488.05"/>
    <s v="Entrada"/>
    <x v="1"/>
  </r>
  <r>
    <x v="45"/>
    <s v="Sarah Alves Lisboa"/>
    <s v="Diárias - limpeza"/>
    <x v="9"/>
    <x v="1"/>
    <x v="15"/>
    <s v="ELIZANGELA FERREIRA DA SILVA"/>
    <m/>
    <m/>
    <s v="Thaynara Borges"/>
    <n v="-340"/>
    <s v="Saída"/>
    <x v="0"/>
  </r>
  <r>
    <x v="45"/>
    <s v="Lisboa e Lisboa"/>
    <s v="Anuidade OAB de Sarah"/>
    <x v="30"/>
    <x v="9"/>
    <x v="74"/>
    <s v="OAB"/>
    <s v="Pago pela conta Lisboa"/>
    <m/>
    <s v="Nathalia Louiz"/>
    <n v="-1015.42"/>
    <s v="Saída"/>
    <x v="0"/>
  </r>
  <r>
    <x v="45"/>
    <s v="Lisboa e Lisboa"/>
    <s v="Anuidade OAB Thaynara"/>
    <x v="30"/>
    <x v="9"/>
    <x v="74"/>
    <s v="OAB"/>
    <s v="Pago pela conta Lisboa"/>
    <m/>
    <s v="Nathalia Louiz"/>
    <n v="-1015.42"/>
    <s v="Saída"/>
    <x v="0"/>
  </r>
  <r>
    <x v="46"/>
    <s v="Sarah Alves Lisboa"/>
    <s v="Tarifa Bancária"/>
    <x v="4"/>
    <x v="3"/>
    <x v="22"/>
    <s v="BANCO DO BRASIL S/A"/>
    <m/>
    <m/>
    <s v="Thaynara Borges"/>
    <n v="-14.55"/>
    <s v="Saída"/>
    <x v="0"/>
  </r>
  <r>
    <x v="46"/>
    <s v="Lisboa e Lisboa"/>
    <s v="Publicações Renio"/>
    <x v="12"/>
    <x v="1"/>
    <x v="19"/>
    <s v="PRO JURIDICO"/>
    <m/>
    <m/>
    <s v="Thaynara Borges"/>
    <n v="-100"/>
    <s v="Saída"/>
    <x v="0"/>
  </r>
  <r>
    <x v="46"/>
    <s v="Lisboa e Lisboa"/>
    <s v="Telefone fixo e internet"/>
    <x v="8"/>
    <x v="1"/>
    <x v="14"/>
    <s v="VIVO"/>
    <m/>
    <m/>
    <s v="Thaynara Borges"/>
    <n v="-371.57"/>
    <s v="Saída"/>
    <x v="0"/>
  </r>
  <r>
    <x v="46"/>
    <s v="Lisboa e Lisboa"/>
    <s v="IEL Estagiárias"/>
    <x v="13"/>
    <x v="6"/>
    <x v="21"/>
    <s v="IEL"/>
    <m/>
    <m/>
    <s v="Thaynara Borges"/>
    <n v="-100"/>
    <s v="Saída"/>
    <x v="0"/>
  </r>
  <r>
    <x v="47"/>
    <s v="Sarah Alves Lisboa"/>
    <s v="30% da implantação"/>
    <x v="2"/>
    <x v="2"/>
    <x v="75"/>
    <s v="JULIANA VILELA DA PAIXÃO"/>
    <m/>
    <s v="BENEFÍCIO POR INCAPACIDADE"/>
    <s v="Nathalia Louiz"/>
    <n v="545.24"/>
    <s v="Entrada"/>
    <x v="1"/>
  </r>
  <r>
    <x v="48"/>
    <s v="Lisboa e Lisboa"/>
    <s v="EXTINTOR DE INCENDIO"/>
    <x v="14"/>
    <x v="1"/>
    <x v="76"/>
    <s v="ABSAIR MANOEL LAZARO"/>
    <m/>
    <m/>
    <s v="Nathalia Louiz"/>
    <n v="-70"/>
    <s v="Saída"/>
    <x v="0"/>
  </r>
  <r>
    <x v="48"/>
    <s v="Lisboa e Lisboa"/>
    <s v="CUSTAS EXECUÇÃO 5917080-42.2024.8.09.0051"/>
    <x v="7"/>
    <x v="5"/>
    <x v="68"/>
    <s v="ESPÓLIO DE REGINALDO DE SOUZA LIRA"/>
    <m/>
    <s v="AÇÃO ACIDENTÁRIA (RESTABELECIMENTO DE AUXÍLIO-DOENÇA/CONCESSÃO DE AUXÍLIO-ACIDENTE/AP. POR INVALIDEZ"/>
    <s v="Thaynara Borges"/>
    <n v="-76.239999999999995"/>
    <s v="Saída"/>
    <x v="0"/>
  </r>
  <r>
    <x v="48"/>
    <s v="Sarah Alves Lisboa"/>
    <s v="Honorários de sucumbência"/>
    <x v="2"/>
    <x v="2"/>
    <x v="77"/>
    <s v="HELENA CRISTINA DE MELO"/>
    <m/>
    <s v="APOSENTADORIA POR INVALIDEZ OU RESTABELECIMENTO DE AUXILIO-DOENÇA"/>
    <s v="Thaynara Borges"/>
    <n v="7261.27"/>
    <s v="Entrada"/>
    <x v="1"/>
  </r>
  <r>
    <x v="49"/>
    <s v="Sarah Alves Lisboa"/>
    <s v="HONORÁRIOS PERITO"/>
    <x v="7"/>
    <x v="5"/>
    <x v="78"/>
    <s v="SUELLEN DE JESUS LIMA"/>
    <m/>
    <s v="AUXILIO ACIDENTE"/>
    <s v="Thaynara Borges"/>
    <n v="-230"/>
    <s v="Saída"/>
    <x v="0"/>
  </r>
  <r>
    <x v="49"/>
    <s v="Lisboa e Lisboa"/>
    <s v="30% sobre os atrasados"/>
    <x v="2"/>
    <x v="2"/>
    <x v="77"/>
    <s v="HELENA CRISTINA DE MELO"/>
    <m/>
    <s v="APOSENTADORIA POR INVALIDEZ OU RESTABELECIMENTO DE AUXILIO-DOENÇA"/>
    <s v="Thaynara Borges"/>
    <n v="9178.3799999999992"/>
    <s v="Entrada"/>
    <x v="1"/>
  </r>
  <r>
    <x v="49"/>
    <s v="Lisboa e Lisboa"/>
    <s v="Parcelas - honorários 3 benefícios"/>
    <x v="2"/>
    <x v="2"/>
    <x v="60"/>
    <s v="JOÃO BAREICHA FERREIRA GALVÃO"/>
    <m/>
    <s v="APOSENTADORIA"/>
    <s v="Thaynara Borges"/>
    <n v="1589.72"/>
    <s v="Entrada"/>
    <x v="1"/>
  </r>
  <r>
    <x v="50"/>
    <s v="Sarah Alves Lisboa"/>
    <s v="Diárias - limpeza"/>
    <x v="9"/>
    <x v="1"/>
    <x v="15"/>
    <s v="ELIZANGELA FERREIRA DA SILVA"/>
    <m/>
    <m/>
    <s v="Thaynara Borges"/>
    <n v="-340"/>
    <s v="Saída"/>
    <x v="0"/>
  </r>
  <r>
    <x v="50"/>
    <s v="Sarah Alves Lisboa"/>
    <s v="CHOCOLATES PARA LARISSA DE CROMINIA"/>
    <x v="16"/>
    <x v="4"/>
    <x v="79"/>
    <s v="KOPENHAGEN"/>
    <m/>
    <m/>
    <s v="Thaynara Borges"/>
    <n v="-152.9"/>
    <s v="Saída"/>
    <x v="0"/>
  </r>
  <r>
    <x v="50"/>
    <s v="Sarah Alves Lisboa"/>
    <s v="Almoço - Viagem Crominia"/>
    <x v="27"/>
    <x v="4"/>
    <x v="7"/>
    <s v="SARAH ALVES LISBOA"/>
    <m/>
    <m/>
    <s v="Nathalia Louiz"/>
    <n v="-73.2"/>
    <s v="Saída"/>
    <x v="0"/>
  </r>
  <r>
    <x v="51"/>
    <s v="Lisboa e Lisboa"/>
    <s v="Publicações aviso urgente"/>
    <x v="12"/>
    <x v="1"/>
    <x v="29"/>
    <s v="AVISO URGENTE T I LTDA"/>
    <m/>
    <m/>
    <s v="Thaynara Borges"/>
    <n v="-507.3"/>
    <s v="Saída"/>
    <x v="0"/>
  </r>
  <r>
    <x v="51"/>
    <s v="Sarah Alves Lisboa"/>
    <s v="Combustível viagem Cromínia"/>
    <x v="27"/>
    <x v="4"/>
    <x v="7"/>
    <s v="SARAH ALVES LISBOA"/>
    <m/>
    <m/>
    <s v="Nathalia Louiz"/>
    <n v="-108.5"/>
    <s v="Saída"/>
    <x v="0"/>
  </r>
  <r>
    <x v="51"/>
    <s v="Sarah Alves Lisboa"/>
    <s v="Cartão de Crédito Dra Thaynara"/>
    <x v="6"/>
    <x v="1"/>
    <x v="47"/>
    <s v="C6"/>
    <m/>
    <m/>
    <s v="Thaynara Borges"/>
    <n v="-1112.05"/>
    <s v="Saída"/>
    <x v="0"/>
  </r>
  <r>
    <x v="51"/>
    <s v="Sarah Alves Lisboa"/>
    <s v="Comissão de participação em viagem"/>
    <x v="28"/>
    <x v="7"/>
    <x v="46"/>
    <s v="Laura Barbosa Marques"/>
    <m/>
    <m/>
    <s v="Nathalia Louiz"/>
    <n v="-100"/>
    <s v="Saída"/>
    <x v="0"/>
  </r>
  <r>
    <x v="52"/>
    <s v="Sarah Alves Lisboa"/>
    <s v="Comissão - Ida ao atendimento rural com Dra Sarah"/>
    <x v="28"/>
    <x v="7"/>
    <x v="18"/>
    <s v="ISABELLA ALVIM BIACHINI"/>
    <m/>
    <m/>
    <s v="Thaynara Borges"/>
    <n v="-100"/>
    <s v="Saída"/>
    <x v="0"/>
  </r>
  <r>
    <x v="52"/>
    <s v="Sarah Alves Lisboa"/>
    <s v="REUNIÃO"/>
    <x v="27"/>
    <x v="4"/>
    <x v="80"/>
    <s v="MARIA DE LOURDES NASCIMENTO"/>
    <m/>
    <m/>
    <s v="Nathalia Louiz"/>
    <n v="-200"/>
    <s v="Saída"/>
    <x v="0"/>
  </r>
  <r>
    <x v="52"/>
    <s v="Sarah Alves Lisboa"/>
    <s v="CAPTAÇÃO MARIA L F NASCIMENTO"/>
    <x v="28"/>
    <x v="7"/>
    <x v="81"/>
    <s v="HUMBERTO PEREIRA DA COSTA"/>
    <m/>
    <s v="APOSENTADORIA POR IDADE RURAL"/>
    <s v="Thaynara Borges"/>
    <n v="-300"/>
    <s v="Saída"/>
    <x v="0"/>
  </r>
  <r>
    <x v="52"/>
    <s v="Sarah Alves Lisboa"/>
    <s v="Despesas de Reunião (Lanches)"/>
    <x v="27"/>
    <x v="4"/>
    <x v="7"/>
    <s v="SARAH ALVES LISBOA"/>
    <m/>
    <m/>
    <s v="Nathalia Louiz"/>
    <n v="-114.64"/>
    <s v="Saída"/>
    <x v="0"/>
  </r>
  <r>
    <x v="52"/>
    <s v="Sarah Alves Lisboa"/>
    <s v="Despesas de Reunião (combustível)"/>
    <x v="27"/>
    <x v="4"/>
    <x v="7"/>
    <s v="SARAH ALVES LISBOA"/>
    <m/>
    <m/>
    <s v="Nathalia Louiz"/>
    <n v="-113.96"/>
    <s v="Saída"/>
    <x v="0"/>
  </r>
  <r>
    <x v="52"/>
    <s v="Sarah Alves Lisboa"/>
    <s v="CAPTAÇÃO MARIA L F NASCIMENTO"/>
    <x v="28"/>
    <x v="7"/>
    <x v="82"/>
    <s v="IRISMAR REGINA BORGES"/>
    <m/>
    <s v="APOSENTADORIA RURAL"/>
    <s v="Thaynara Borges"/>
    <n v="-300"/>
    <s v="Saída"/>
    <x v="0"/>
  </r>
  <r>
    <x v="52"/>
    <s v="Sarah Alves Lisboa"/>
    <s v="CAPTAÇÃO MARIA L F NASCIMENTO"/>
    <x v="28"/>
    <x v="7"/>
    <x v="83"/>
    <s v="JOÃO BATISTA RIBAS"/>
    <m/>
    <s v="APOSENTADORIA RURAL"/>
    <s v="Thaynara Borges"/>
    <n v="-300"/>
    <s v="Saída"/>
    <x v="0"/>
  </r>
  <r>
    <x v="52"/>
    <s v="Sarah Alves Lisboa"/>
    <s v="Água e energético"/>
    <x v="27"/>
    <x v="4"/>
    <x v="7"/>
    <s v="Sarah Alves Lisboa"/>
    <m/>
    <m/>
    <s v="Thaynara Borges"/>
    <n v="-28.5"/>
    <s v="Saída"/>
    <x v="0"/>
  </r>
  <r>
    <x v="52"/>
    <s v="Sarah Alves Lisboa"/>
    <s v="Chocolates brindes para Maria Lourdes"/>
    <x v="16"/>
    <x v="4"/>
    <x v="7"/>
    <s v="SARAH ALVES LISBOA"/>
    <m/>
    <m/>
    <s v="Nathalia Louiz"/>
    <n v="-84.9"/>
    <s v="Saída"/>
    <x v="0"/>
  </r>
  <r>
    <x v="52"/>
    <s v="Sarah Alves Lisboa"/>
    <s v="30%  sobre atrasados"/>
    <x v="2"/>
    <x v="2"/>
    <x v="84"/>
    <s v="MARIA AMELIA DE SOUSA MENDES"/>
    <m/>
    <m/>
    <s v="Nathalia Louiz"/>
    <n v="1869"/>
    <s v="Entrada"/>
    <x v="1"/>
  </r>
  <r>
    <x v="52"/>
    <s v="Sarah Alves Lisboa"/>
    <s v="despesa comercial (combustível)"/>
    <x v="31"/>
    <x v="4"/>
    <x v="7"/>
    <s v="SARAH ALVES LISBOA"/>
    <m/>
    <m/>
    <s v="Nathalia Louiz"/>
    <n v="-100"/>
    <s v="Saída"/>
    <x v="0"/>
  </r>
  <r>
    <x v="53"/>
    <s v="Sarah Alves Lisboa"/>
    <s v="70% para Vanessa do proveito econômico da ação"/>
    <x v="28"/>
    <x v="7"/>
    <x v="58"/>
    <s v="PABLO CASSIO MENDES"/>
    <m/>
    <s v="INDENIZACAO POR DANOS MORAIS E MATERIAIS"/>
    <s v="Thaynara Borges"/>
    <n v="-4287.5"/>
    <s v="Saída"/>
    <x v="0"/>
  </r>
  <r>
    <x v="53"/>
    <s v="Sarah Alves Lisboa"/>
    <s v="Anuidade - parceria com Dr Fernando"/>
    <x v="2"/>
    <x v="2"/>
    <x v="30"/>
    <s v="ELVIO DE OLIVEIRA SOARES"/>
    <m/>
    <s v="APOSENTADORIA POR IDADE"/>
    <s v="Thaynara Borges"/>
    <n v="211.8"/>
    <s v="Entrada"/>
    <x v="1"/>
  </r>
  <r>
    <x v="53"/>
    <s v="Sarah Alves Lisboa"/>
    <s v="70% SOBRE O PROVEITO ECONOMICO OBTIDO NA AÇÃO"/>
    <x v="28"/>
    <x v="7"/>
    <x v="77"/>
    <s v="HELENA CRISTINA DE MELO"/>
    <m/>
    <s v="APOSENTADORIA POR INVALIDEZ OU RESTABELECIMENTO DE AUXILIO-DOENÇA"/>
    <s v="Thaynara Borges"/>
    <n v="-10681.5"/>
    <s v="Saída"/>
    <x v="0"/>
  </r>
  <r>
    <x v="53"/>
    <s v="Sarah Alves Lisboa"/>
    <s v="Parceria Dra Flavia"/>
    <x v="2"/>
    <x v="2"/>
    <x v="26"/>
    <s v="JULIANI DOMINGOS DOS REIS"/>
    <m/>
    <s v="AÇÃO DE GUARDA"/>
    <s v="Thaynara Borges"/>
    <n v="150"/>
    <s v="Entrada"/>
    <x v="1"/>
  </r>
  <r>
    <x v="53"/>
    <s v="Sarah Alves Lisboa"/>
    <s v="40% SOBRE OS VALORES DA IMPLANTAÇÃO"/>
    <x v="2"/>
    <x v="2"/>
    <x v="85"/>
    <s v="IACY DA SILVA MAGALHÃES"/>
    <m/>
    <s v="APOSENTADORIA DO DEFICIENTE"/>
    <s v="Thaynara Borges"/>
    <n v="2370.1999999999998"/>
    <s v="Entrada"/>
    <x v="1"/>
  </r>
  <r>
    <x v="54"/>
    <s v="Lisboa e Lisboa"/>
    <s v="FGTS"/>
    <x v="18"/>
    <x v="6"/>
    <x v="35"/>
    <s v="Ministério do Trabalho e Emprego"/>
    <m/>
    <m/>
    <s v="Thaynara Borges"/>
    <n v="-285.23"/>
    <s v="Saída"/>
    <x v="0"/>
  </r>
  <r>
    <x v="54"/>
    <s v="Lisboa e Lisboa"/>
    <s v="INSS"/>
    <x v="19"/>
    <x v="6"/>
    <x v="38"/>
    <s v="Receita Federal"/>
    <m/>
    <m/>
    <s v="Thaynara Borges"/>
    <n v="-2041.63"/>
    <s v="Saída"/>
    <x v="0"/>
  </r>
  <r>
    <x v="54"/>
    <s v="Lisboa e Lisboa"/>
    <s v="IPTU - BOX 82"/>
    <x v="29"/>
    <x v="1"/>
    <x v="71"/>
    <s v="PREFEITURA MUNICIPAL DE GOIÂNIA"/>
    <s v=""/>
    <m/>
    <s v="Nathalia Louiz"/>
    <n v="-42.74"/>
    <s v="Saída"/>
    <x v="0"/>
  </r>
  <r>
    <x v="54"/>
    <s v="Lisboa e Lisboa"/>
    <s v="IPTU - SALA B74"/>
    <x v="29"/>
    <x v="1"/>
    <x v="71"/>
    <s v="PREFEITURA MUNICIPAL DE GOIÂNIA"/>
    <m/>
    <m/>
    <s v="Nathalia Louiz"/>
    <n v="-125.57"/>
    <s v="Saída"/>
    <x v="0"/>
  </r>
  <r>
    <x v="54"/>
    <s v="Lisboa e Lisboa"/>
    <s v="Simples Nacional"/>
    <x v="20"/>
    <x v="7"/>
    <x v="39"/>
    <s v="Simples Nacional"/>
    <m/>
    <m/>
    <s v="Thaynara Borges"/>
    <n v="-6435.84"/>
    <s v="Saída"/>
    <x v="0"/>
  </r>
  <r>
    <x v="54"/>
    <s v="Lisboa e Lisboa"/>
    <s v="IPTU - BOX 88"/>
    <x v="29"/>
    <x v="1"/>
    <x v="71"/>
    <s v="PREFEITURA MUNICIPAL DE GOIÂNIA"/>
    <m/>
    <m/>
    <s v="Nathalia Louiz"/>
    <n v="-42.74"/>
    <s v="Saída"/>
    <x v="0"/>
  </r>
  <r>
    <x v="54"/>
    <s v="Lisboa e Lisboa"/>
    <s v="IPTU - BOX 78"/>
    <x v="29"/>
    <x v="1"/>
    <x v="71"/>
    <s v="PREFEITURA MUNICIPAL DE GOIÂNIA"/>
    <m/>
    <m/>
    <s v="Nathalia Louiz"/>
    <n v="-42.74"/>
    <s v="Saída"/>
    <x v="0"/>
  </r>
  <r>
    <x v="54"/>
    <s v="Lisboa e Lisboa"/>
    <s v="IPTU - BOX 81"/>
    <x v="29"/>
    <x v="1"/>
    <x v="71"/>
    <s v="PREFEITURA MUNICIPAL DE GOIÂNIA"/>
    <m/>
    <m/>
    <s v="Nathalia Louiz"/>
    <n v="-42.74"/>
    <s v="Saída"/>
    <x v="0"/>
  </r>
  <r>
    <x v="54"/>
    <s v="Lisboa e Lisboa"/>
    <s v="IPTU - BOX 83"/>
    <x v="29"/>
    <x v="1"/>
    <x v="71"/>
    <s v="PREFEITURA MUNICIPAL DE GOIÂNIA"/>
    <m/>
    <m/>
    <s v="Nathalia Louiz"/>
    <n v="-42.74"/>
    <s v="Saída"/>
    <x v="0"/>
  </r>
  <r>
    <x v="54"/>
    <s v="Lisboa e Lisboa"/>
    <s v="Água"/>
    <x v="17"/>
    <x v="1"/>
    <x v="34"/>
    <s v="SANEAGO GOIAS S/A"/>
    <m/>
    <m/>
    <s v="Thaynara Borges"/>
    <n v="-128.88"/>
    <s v="Saída"/>
    <x v="0"/>
  </r>
  <r>
    <x v="54"/>
    <s v="Thaynara Borges Pereira"/>
    <s v="Parceria com Dr. Silvio"/>
    <x v="2"/>
    <x v="2"/>
    <x v="59"/>
    <s v="ANTONIO PEREIRA SOBRINHO"/>
    <m/>
    <m/>
    <s v="Thaynara Borges"/>
    <n v="354"/>
    <s v="Entrada"/>
    <x v="2"/>
  </r>
  <r>
    <x v="55"/>
    <s v="Sarah Alves Lisboa"/>
    <s v="Gasolina"/>
    <x v="31"/>
    <x v="4"/>
    <x v="7"/>
    <s v="Sarah Alves Lisboa"/>
    <m/>
    <m/>
    <s v="Thaynara Borges"/>
    <n v="-231.5"/>
    <s v="Saída"/>
    <x v="0"/>
  </r>
  <r>
    <x v="55"/>
    <s v="Sarah Alves Lisboa"/>
    <s v="CAPTAÇÃO - SEBASTIÃO PEIXOTO DE EDILÂNDIA"/>
    <x v="28"/>
    <x v="7"/>
    <x v="86"/>
    <s v="MÔNICA MENDES DA COSTA"/>
    <m/>
    <s v="PENSÃO POR MORTE - RURAL"/>
    <s v="Thaynara Borges"/>
    <n v="-300"/>
    <s v="Saída"/>
    <x v="0"/>
  </r>
  <r>
    <x v="55"/>
    <s v="Sarah Alves Lisboa"/>
    <s v="Diárias - Limpeza"/>
    <x v="9"/>
    <x v="1"/>
    <x v="15"/>
    <s v="ELIZANGELA FERREIRA DA SILVA"/>
    <m/>
    <m/>
    <s v="Thaynara Borges"/>
    <n v="-340"/>
    <s v="Saída"/>
    <x v="0"/>
  </r>
  <r>
    <x v="55"/>
    <s v="Sarah Alves Lisboa"/>
    <s v="Reunião"/>
    <x v="27"/>
    <x v="4"/>
    <x v="87"/>
    <s v="SEBASTIAO PEIXOTO DE EDILANDIA (Pessoa de contato de: WILMAR ANASTACIO DOS SANTOS)"/>
    <m/>
    <m/>
    <s v="Thaynara Borges"/>
    <n v="-200"/>
    <s v="Saída"/>
    <x v="0"/>
  </r>
  <r>
    <x v="55"/>
    <s v="Sarah Alves Lisboa"/>
    <s v="20% pela parceria com Dra. Nubia"/>
    <x v="2"/>
    <x v="2"/>
    <x v="36"/>
    <s v="GILNETH VIDAL DOS SANTOS"/>
    <m/>
    <s v="ANALISAR PROCESSOS"/>
    <s v="Thaynara Borges"/>
    <n v="119.35"/>
    <s v="Entrada"/>
    <x v="2"/>
  </r>
  <r>
    <x v="55"/>
    <s v="Sarah Alves Lisboa"/>
    <s v="Comissão - Ida ao atendimento rural com Dra Sarah"/>
    <x v="28"/>
    <x v="7"/>
    <x v="18"/>
    <s v="ISABELLA ALVIM BIACHINI"/>
    <m/>
    <m/>
    <s v="Thaynara Borges"/>
    <n v="-100"/>
    <s v="Saída"/>
    <x v="0"/>
  </r>
  <r>
    <x v="55"/>
    <s v="Sarah Alves Lisboa"/>
    <s v="CAPTAÇÃO - SEBASTIÃO PEIXOTO DE EDILÂNDIA"/>
    <x v="28"/>
    <x v="7"/>
    <x v="88"/>
    <s v="ARISTEU GONÇALVES DA CRUZ"/>
    <m/>
    <s v="AUXILIO DOENÇA"/>
    <s v="Thaynara Borges"/>
    <n v="-300"/>
    <s v="Saída"/>
    <x v="0"/>
  </r>
  <r>
    <x v="56"/>
    <s v="Thaynara Borges Pereira"/>
    <s v="Parcelas - parceria Dr Silvio"/>
    <x v="2"/>
    <x v="2"/>
    <x v="40"/>
    <s v="GLEYCIANNE RIBEIRO DE SOUZA CABRAL"/>
    <m/>
    <s v="DIVÓRCIO CONSENSUAL C/C REGULAMENTAÇÃO DE GUARDA E ALIMENTOS"/>
    <s v="Thaynara Borges"/>
    <n v="150"/>
    <s v="Entrada"/>
    <x v="1"/>
  </r>
  <r>
    <x v="57"/>
    <s v="Sarah Alves Lisboa"/>
    <s v="Consulta (parcelado 300 + 200)"/>
    <x v="2"/>
    <x v="2"/>
    <x v="89"/>
    <s v="GEDILANE ROSA DE SA FERREIRA"/>
    <m/>
    <m/>
    <s v="Nathalia Louiz"/>
    <n v="300"/>
    <s v="Entrada"/>
    <x v="1"/>
  </r>
  <r>
    <x v="57"/>
    <s v="Sarah Alves Lisboa"/>
    <s v="Honorários periciais - guia complementar"/>
    <x v="7"/>
    <x v="5"/>
    <x v="78"/>
    <s v="SUELLEN DE JESUS LIMA"/>
    <m/>
    <s v="AUXILIO ACIDENTE"/>
    <s v="Thaynara Borges"/>
    <n v="-120"/>
    <s v="Saída"/>
    <x v="0"/>
  </r>
  <r>
    <x v="58"/>
    <s v="Sarah Alves Lisboa"/>
    <s v="Guia para emissão de certidão de militância"/>
    <x v="7"/>
    <x v="5"/>
    <x v="49"/>
    <s v="JOSELINA ROSA DE SANTANA"/>
    <m/>
    <s v="APOSENTADORIA RURAL"/>
    <s v="Thaynara Borges"/>
    <n v="-21.73"/>
    <s v="Saída"/>
    <x v="0"/>
  </r>
  <r>
    <x v="58"/>
    <s v="Sarah Alves Lisboa"/>
    <s v="Guia para emissão de certidão de militância - honorários de sucumbência Proc 1004340-77.2020.4.01.3500 VALNEI PORTO MACHADO"/>
    <x v="30"/>
    <x v="9"/>
    <x v="90"/>
    <s v="[$empty$]"/>
    <m/>
    <m/>
    <s v="Thaynara Borges"/>
    <n v="-21.73"/>
    <s v="Saída"/>
    <x v="0"/>
  </r>
  <r>
    <x v="58"/>
    <s v="Sarah Alves Lisboa"/>
    <s v="Parcelas anuidade"/>
    <x v="2"/>
    <x v="2"/>
    <x v="42"/>
    <s v="JOSE NILTON FERREIRA DE SOUZA"/>
    <m/>
    <s v="APOSENTADORIA POR IDADE"/>
    <s v="Thaynara Borges"/>
    <n v="282.39999999999998"/>
    <s v="Entrada"/>
    <x v="1"/>
  </r>
  <r>
    <x v="59"/>
    <s v="Lisboa e Lisboa"/>
    <s v="Bolsa Estagio"/>
    <x v="13"/>
    <x v="6"/>
    <x v="18"/>
    <s v="ISABELLA ALVIM BIACHINI"/>
    <m/>
    <m/>
    <s v="Thaynara Borges"/>
    <n v="-1300"/>
    <s v="Saída"/>
    <x v="0"/>
  </r>
  <r>
    <x v="59"/>
    <s v="Lisboa e Lisboa"/>
    <s v="Pro labore"/>
    <x v="23"/>
    <x v="8"/>
    <x v="27"/>
    <s v="Thaynara Borges Pereira"/>
    <m/>
    <m/>
    <s v="Thaynara Borges"/>
    <n v="-1351.02"/>
    <s v="Saída"/>
    <x v="0"/>
  </r>
  <r>
    <x v="59"/>
    <s v="Lisboa e Lisboa"/>
    <s v="Bolsa Estagio"/>
    <x v="13"/>
    <x v="6"/>
    <x v="46"/>
    <s v="Laura Barbosa Marques"/>
    <m/>
    <m/>
    <s v="Thaynara Borges"/>
    <n v="-1300"/>
    <s v="Saída"/>
    <x v="0"/>
  </r>
  <r>
    <x v="59"/>
    <s v="Sarah Alves Lisboa"/>
    <s v="COMISSÃO POR BATER A META"/>
    <x v="28"/>
    <x v="7"/>
    <x v="27"/>
    <s v="Thaynara Borges Pereira"/>
    <m/>
    <m/>
    <s v="Thaynara Borges"/>
    <n v="-100"/>
    <s v="Saída"/>
    <x v="0"/>
  </r>
  <r>
    <x v="59"/>
    <s v="Sarah Alves Lisboa"/>
    <s v="COMISSÃO POR BATER A META"/>
    <x v="28"/>
    <x v="7"/>
    <x v="32"/>
    <s v="Raffaela Nunes"/>
    <m/>
    <m/>
    <s v="Thaynara Borges"/>
    <n v="-100"/>
    <s v="Saída"/>
    <x v="0"/>
  </r>
  <r>
    <x v="59"/>
    <s v="Lisboa e Lisboa"/>
    <s v="Energia"/>
    <x v="21"/>
    <x v="1"/>
    <x v="91"/>
    <s v="EQUATORIAL GOIAS 0067122663"/>
    <m/>
    <m/>
    <s v="Thaynara Borges"/>
    <n v="-390.61"/>
    <s v="Saída"/>
    <x v="0"/>
  </r>
  <r>
    <x v="59"/>
    <s v="Lisboa e Lisboa"/>
    <s v="Retirada"/>
    <x v="22"/>
    <x v="8"/>
    <x v="27"/>
    <s v="Thaynara Borges Pereira"/>
    <m/>
    <m/>
    <s v="Thaynara Borges"/>
    <n v="-3648.98"/>
    <s v="Saída"/>
    <x v="0"/>
  </r>
  <r>
    <x v="59"/>
    <s v="Sarah Alves Lisboa"/>
    <s v="COMISSÃO POR BATER A META"/>
    <x v="28"/>
    <x v="7"/>
    <x v="7"/>
    <s v="Sarah Alves Lisboa"/>
    <m/>
    <m/>
    <s v="Thaynara Borges"/>
    <n v="-100"/>
    <s v="Saída"/>
    <x v="0"/>
  </r>
  <r>
    <x v="59"/>
    <s v="Sarah Alves Lisboa"/>
    <s v="HONORÁRIOS DE SUCUMBÊNCIA"/>
    <x v="2"/>
    <x v="2"/>
    <x v="92"/>
    <s v="SIRLENE PEREIRA DE RESENDE GRATAO"/>
    <m/>
    <s v="RMI"/>
    <s v="Thaynara Borges"/>
    <n v="1678.79"/>
    <s v="Entrada"/>
    <x v="1"/>
  </r>
  <r>
    <x v="59"/>
    <s v="Sarah Alves Lisboa"/>
    <s v="INDICAÇÃO NINA"/>
    <x v="28"/>
    <x v="7"/>
    <x v="84"/>
    <s v="MARIA AMELIA DE SOUSA MENDES"/>
    <m/>
    <s v="BENEFÍCIO POR INCAPACIDADE"/>
    <s v="Thaynara Borges"/>
    <n v="-186.9"/>
    <s v="Saída"/>
    <x v="0"/>
  </r>
  <r>
    <x v="59"/>
    <s v="Lisboa e Lisboa"/>
    <s v="Retirada"/>
    <x v="22"/>
    <x v="8"/>
    <x v="7"/>
    <s v="Sarah Alves Lisboa"/>
    <m/>
    <m/>
    <s v="Thaynara Borges"/>
    <n v="-6148.98"/>
    <s v="Saída"/>
    <x v="0"/>
  </r>
  <r>
    <x v="59"/>
    <s v="Sarah Alves Lisboa"/>
    <s v="COMISSÃO POR BATER A META"/>
    <x v="28"/>
    <x v="7"/>
    <x v="46"/>
    <s v="Laura Barbosa Marques"/>
    <m/>
    <m/>
    <s v="Thaynara Borges"/>
    <n v="-100"/>
    <s v="Saída"/>
    <x v="0"/>
  </r>
  <r>
    <x v="59"/>
    <s v="Sarah Alves Lisboa"/>
    <s v="Salário"/>
    <x v="15"/>
    <x v="6"/>
    <x v="69"/>
    <s v="Nathalia Louiz Alves Vigilato"/>
    <m/>
    <m/>
    <s v="Nathalia Louiz"/>
    <n v="-1518"/>
    <s v="Saída"/>
    <x v="0"/>
  </r>
  <r>
    <x v="59"/>
    <s v="Sarah Alves Lisboa"/>
    <s v="Indicação paga para Daniele de Almeida Cardoso"/>
    <x v="28"/>
    <x v="7"/>
    <x v="93"/>
    <s v="MARUZALEN FERREIRA DA CRUZ"/>
    <m/>
    <s v="APOSENTADORIA RURAL"/>
    <s v="Thaynara Borges"/>
    <n v="-600"/>
    <s v="Saída"/>
    <x v="0"/>
  </r>
  <r>
    <x v="59"/>
    <s v="Lisboa e Lisboa"/>
    <s v="Pro labore"/>
    <x v="23"/>
    <x v="8"/>
    <x v="7"/>
    <s v="Sarah Alves Lisboa"/>
    <m/>
    <m/>
    <s v="Thaynara Borges"/>
    <n v="-1351.02"/>
    <s v="Saída"/>
    <x v="0"/>
  </r>
  <r>
    <x v="59"/>
    <s v="Sarah Alves Lisboa"/>
    <s v="Diárias - limpeza"/>
    <x v="9"/>
    <x v="1"/>
    <x v="15"/>
    <s v="ELIZANGELA FERREIRA DA SILVA"/>
    <m/>
    <m/>
    <s v="Thaynara Borges"/>
    <n v="-340"/>
    <s v="Saída"/>
    <x v="0"/>
  </r>
  <r>
    <x v="59"/>
    <s v="Sarah Alves Lisboa"/>
    <s v="70% DO PROVEITO ECONÔMICO DA AÇÃO REPASSADO A DRA VANESSA"/>
    <x v="28"/>
    <x v="7"/>
    <x v="92"/>
    <s v="SIRLENE PEREIRA DE RESENDE GRATAO"/>
    <m/>
    <s v="RMI"/>
    <s v="Thaynara Borges"/>
    <n v="-3216.41"/>
    <s v="Saída"/>
    <x v="0"/>
  </r>
  <r>
    <x v="59"/>
    <s v="Lisboa e Lisboa"/>
    <s v="HONORÁRIOS CONTRATUAIS 25% SOBRE O PROVEITO ECONOMICO"/>
    <x v="2"/>
    <x v="2"/>
    <x v="92"/>
    <s v="SIRLENE PEREIRA DE RESENDE GRATAO"/>
    <m/>
    <s v="RMI"/>
    <s v="Thaynara Borges"/>
    <n v="3334.18"/>
    <s v="Entrada"/>
    <x v="1"/>
  </r>
  <r>
    <x v="59"/>
    <s v="Sarah Alves Lisboa"/>
    <s v="Salario"/>
    <x v="15"/>
    <x v="6"/>
    <x v="32"/>
    <s v="Raffaela Nunes"/>
    <m/>
    <m/>
    <s v="Thaynara Borges"/>
    <n v="-2200"/>
    <s v="Saída"/>
    <x v="0"/>
  </r>
  <r>
    <x v="59"/>
    <s v="Sarah Alves Lisboa"/>
    <s v="COMISSÃO POR BATER A META"/>
    <x v="28"/>
    <x v="7"/>
    <x v="18"/>
    <s v="ISABELLA ALVIM BIACHINI"/>
    <m/>
    <m/>
    <s v="Thaynara Borges"/>
    <n v="-100"/>
    <s v="Saída"/>
    <x v="0"/>
  </r>
  <r>
    <x v="59"/>
    <s v="Lisboa e Lisboa"/>
    <s v="Salario"/>
    <x v="15"/>
    <x v="6"/>
    <x v="37"/>
    <s v="Nina Araujo"/>
    <m/>
    <m/>
    <s v="Thaynara Borges"/>
    <n v="-3195.89"/>
    <s v="Saída"/>
    <x v="0"/>
  </r>
  <r>
    <x v="59"/>
    <s v="Lisboa e Lisboa"/>
    <s v="Energia"/>
    <x v="21"/>
    <x v="1"/>
    <x v="94"/>
    <s v="EQUATORIAL GOIAS 0067122721"/>
    <m/>
    <m/>
    <s v="Thaynara Borges"/>
    <n v="-669.63"/>
    <s v="Saída"/>
    <x v="0"/>
  </r>
  <r>
    <x v="59"/>
    <s v="Sarah Alves Lisboa"/>
    <s v="COMISSÃO POR BATER A META"/>
    <x v="28"/>
    <x v="7"/>
    <x v="37"/>
    <s v="Nina Araujo"/>
    <m/>
    <m/>
    <s v="Thaynara Borges"/>
    <n v="-100"/>
    <s v="Saída"/>
    <x v="0"/>
  </r>
  <r>
    <x v="60"/>
    <s v="Cartão de Crédito Dr Ivanildo"/>
    <s v="Prévius"/>
    <x v="12"/>
    <x v="1"/>
    <x v="5"/>
    <s v="BANCO ITAU"/>
    <m/>
    <m/>
    <s v="Thaynara Borges"/>
    <n v="-80.91"/>
    <s v="Saída"/>
    <x v="0"/>
  </r>
  <r>
    <x v="60"/>
    <s v="Cartão de Crédito Dr Ivanildo"/>
    <s v="BISTRO LIA"/>
    <x v="11"/>
    <x v="1"/>
    <x v="5"/>
    <s v="BANCO ITAU"/>
    <m/>
    <m/>
    <s v="Nathalia Louiz"/>
    <n v="-384.3"/>
    <s v="Saída"/>
    <x v="0"/>
  </r>
  <r>
    <x v="60"/>
    <s v="Cartão de Crédito Dr Ivanildo"/>
    <s v="Previdenciarista"/>
    <x v="12"/>
    <x v="1"/>
    <x v="5"/>
    <s v="BANCO ITAU"/>
    <m/>
    <m/>
    <s v="Thaynara Borges"/>
    <n v="-119.9"/>
    <s v="Saída"/>
    <x v="0"/>
  </r>
  <r>
    <x v="60"/>
    <s v="Cartão de Crédito Dra Thaynara"/>
    <s v="HTM*ALINEDECKER (Curso Liderança)"/>
    <x v="32"/>
    <x v="6"/>
    <x v="47"/>
    <s v="C6"/>
    <m/>
    <m/>
    <s v="Thaynara Borges"/>
    <n v="-249.21"/>
    <s v="Saída"/>
    <x v="0"/>
  </r>
  <r>
    <x v="60"/>
    <s v="Cartão de Crédito Dr Ivanildo"/>
    <s v="Jusbrasil"/>
    <x v="12"/>
    <x v="1"/>
    <x v="5"/>
    <s v="BANCO ITAU"/>
    <m/>
    <m/>
    <s v="Thaynara Borges"/>
    <n v="-58.9"/>
    <s v="Saída"/>
    <x v="0"/>
  </r>
  <r>
    <x v="60"/>
    <s v="Cartão de Crédito Dr Ivanildo"/>
    <s v="HIPER MOREIRA"/>
    <x v="14"/>
    <x v="1"/>
    <x v="5"/>
    <s v="BANCO ITAU"/>
    <m/>
    <m/>
    <s v="Nathalia Louiz"/>
    <n v="-26.8"/>
    <s v="Saída"/>
    <x v="0"/>
  </r>
  <r>
    <x v="60"/>
    <s v="Cartão de Crédito Dr Ivanildo"/>
    <s v="ZapSign programa de assinatura eletronica"/>
    <x v="12"/>
    <x v="1"/>
    <x v="5"/>
    <s v="BANCO ITAU"/>
    <m/>
    <m/>
    <s v="Thaynara Borges"/>
    <n v="-19.899999999999999"/>
    <s v="Saída"/>
    <x v="0"/>
  </r>
  <r>
    <x v="60"/>
    <s v="Cartão de Crédito Dr Ivanildo"/>
    <s v="PANIFICADORA SANTO ANTONIO"/>
    <x v="11"/>
    <x v="1"/>
    <x v="5"/>
    <s v="BANCO ITAU"/>
    <m/>
    <m/>
    <s v="Nathalia Louiz"/>
    <n v="-52.68"/>
    <s v="Saída"/>
    <x v="0"/>
  </r>
  <r>
    <x v="60"/>
    <s v="Cartão de Crédito Dra Thaynara"/>
    <s v="Pagamento Cartão de Crédito Dra Thaynara"/>
    <x v="6"/>
    <x v="1"/>
    <x v="47"/>
    <s v="C6"/>
    <m/>
    <m/>
    <s v="Nathalia Louiz"/>
    <n v="1012.15"/>
    <s v="Entrada"/>
    <x v="1"/>
  </r>
  <r>
    <x v="60"/>
    <s v="Cartão de Crédito Dra Thaynara"/>
    <s v="Cálculo Jurídico"/>
    <x v="12"/>
    <x v="1"/>
    <x v="47"/>
    <s v="C6"/>
    <m/>
    <m/>
    <s v="Thaynara Borges"/>
    <n v="-120.29"/>
    <s v="Saída"/>
    <x v="0"/>
  </r>
  <r>
    <x v="60"/>
    <s v="Cartão de Crédito Dr Ivanildo"/>
    <s v="canaã frios"/>
    <x v="11"/>
    <x v="1"/>
    <x v="5"/>
    <s v="BANCO ITAU"/>
    <m/>
    <m/>
    <s v="Nathalia Louiz"/>
    <n v="-41.7"/>
    <s v="Saída"/>
    <x v="0"/>
  </r>
  <r>
    <x v="60"/>
    <s v="Cartão de Crédito Dra Thaynara"/>
    <s v="ASA*TRINDADE AMADO PRO (Curso de atualização previdenciária)"/>
    <x v="32"/>
    <x v="6"/>
    <x v="47"/>
    <s v="C6"/>
    <m/>
    <m/>
    <s v="Thaynara Borges"/>
    <n v="-59.9"/>
    <s v="Saída"/>
    <x v="0"/>
  </r>
  <r>
    <x v="60"/>
    <s v="Cartão de Crédito Dra Thaynara"/>
    <s v="ASTREA"/>
    <x v="12"/>
    <x v="1"/>
    <x v="47"/>
    <s v="C6"/>
    <m/>
    <m/>
    <s v="Thaynara Borges"/>
    <n v="-456.75"/>
    <s v="Saída"/>
    <x v="0"/>
  </r>
  <r>
    <x v="60"/>
    <s v="Cartão de Crédito Dr Ivanildo"/>
    <s v="Cestas de fim de ano para equipe"/>
    <x v="11"/>
    <x v="1"/>
    <x v="5"/>
    <s v="BANCO ITAU"/>
    <m/>
    <m/>
    <s v="Thaynara Borges"/>
    <n v="-725"/>
    <s v="Saída"/>
    <x v="0"/>
  </r>
  <r>
    <x v="60"/>
    <s v="Cartão de Crédito Dr Ivanildo"/>
    <s v="Google One"/>
    <x v="12"/>
    <x v="1"/>
    <x v="5"/>
    <s v="BANCO ITAU"/>
    <m/>
    <m/>
    <s v="Thaynara Borges"/>
    <n v="-38.99"/>
    <s v="Saída"/>
    <x v="0"/>
  </r>
  <r>
    <x v="60"/>
    <s v="Cartão de Crédito Dr Ivanildo"/>
    <s v="RAFAEL FRANCI (23/01)"/>
    <x v="27"/>
    <x v="4"/>
    <x v="5"/>
    <s v="BANCO ITAU"/>
    <m/>
    <m/>
    <s v="Nathalia Louiz"/>
    <n v="-15"/>
    <s v="Saída"/>
    <x v="0"/>
  </r>
  <r>
    <x v="60"/>
    <s v="Cartão de Crédito Dr Ivanildo"/>
    <s v="CANAÃ FRIOS"/>
    <x v="11"/>
    <x v="1"/>
    <x v="5"/>
    <s v="BANCO ITAU"/>
    <m/>
    <m/>
    <s v="Nathalia Louiz"/>
    <n v="-42.28"/>
    <s v="Saída"/>
    <x v="0"/>
  </r>
  <r>
    <x v="60"/>
    <s v="Cartão de Crédito Dr Ivanildo"/>
    <s v="Computador Dell"/>
    <x v="25"/>
    <x v="0"/>
    <x v="5"/>
    <s v="BANCO ITAU"/>
    <s v=""/>
    <m/>
    <s v="Nathalia Louiz"/>
    <n v="-333.24"/>
    <s v="Saída"/>
    <x v="0"/>
  </r>
  <r>
    <x v="60"/>
    <s v="Cartão de Crédito Dr Ivanildo"/>
    <s v="Google One"/>
    <x v="12"/>
    <x v="1"/>
    <x v="5"/>
    <s v="BANCO ITAU"/>
    <m/>
    <m/>
    <s v="Thaynara Borges"/>
    <n v="-11.99"/>
    <s v="Saída"/>
    <x v="0"/>
  </r>
  <r>
    <x v="60"/>
    <s v="Cartão de Crédito Dra Thaynara"/>
    <s v="GOOGLE GSUITE_PREVLEX."/>
    <x v="12"/>
    <x v="1"/>
    <x v="47"/>
    <s v="C6"/>
    <m/>
    <m/>
    <s v="Thaynara Borges"/>
    <n v="-126"/>
    <s v="Saída"/>
    <x v="0"/>
  </r>
  <r>
    <x v="60"/>
    <s v="Cartão de Crédito Dr Ivanildo"/>
    <s v="Pagamento Cartão de Crédito Dr Ivanildo"/>
    <x v="6"/>
    <x v="1"/>
    <x v="5"/>
    <s v="BANCO ITAU"/>
    <m/>
    <m/>
    <s v="Thaynara Borges"/>
    <n v="2100.63"/>
    <s v="Entrada"/>
    <x v="1"/>
  </r>
  <r>
    <x v="60"/>
    <s v="Cartão de Crédito Dr Ivanildo"/>
    <s v="PANIFICADORA SANTO ANTONIO"/>
    <x v="11"/>
    <x v="1"/>
    <x v="5"/>
    <s v="BANCO ITAU"/>
    <m/>
    <m/>
    <s v="Nathalia Louiz"/>
    <n v="-54.47"/>
    <s v="Saída"/>
    <x v="0"/>
  </r>
  <r>
    <x v="60"/>
    <s v="Cartão de Crédito Dr Ivanildo"/>
    <s v="CANAÃ FRIOS"/>
    <x v="11"/>
    <x v="1"/>
    <x v="5"/>
    <s v="BANCO ITAU"/>
    <m/>
    <m/>
    <s v="Nathalia Louiz"/>
    <n v="-35.67"/>
    <s v="Saída"/>
    <x v="0"/>
  </r>
  <r>
    <x v="60"/>
    <s v="Cartão de Crédito Dr Ivanildo"/>
    <s v="Jusbrasil"/>
    <x v="12"/>
    <x v="1"/>
    <x v="5"/>
    <s v="BANCO ITAU"/>
    <m/>
    <m/>
    <s v="Thaynara Borges"/>
    <n v="-58.9"/>
    <s v="Saída"/>
    <x v="0"/>
  </r>
  <r>
    <x v="61"/>
    <s v="Sarah Alves Lisboa"/>
    <s v="PLANEJAMENTO"/>
    <x v="2"/>
    <x v="2"/>
    <x v="95"/>
    <s v="ISMAEL ALVES MADUREIRA"/>
    <m/>
    <m/>
    <s v="Nathalia Louiz"/>
    <n v="300"/>
    <s v="Entrada"/>
    <x v="1"/>
  </r>
  <r>
    <x v="61"/>
    <s v="Lisboa e Lisboa"/>
    <s v="Consultoria Financeira"/>
    <x v="0"/>
    <x v="0"/>
    <x v="0"/>
    <s v="PROGRESSE CONSULTORIA EMPRESARIAL"/>
    <m/>
    <m/>
    <s v="Thaynara Borges"/>
    <n v="-1750"/>
    <s v="Saída"/>
    <x v="0"/>
  </r>
  <r>
    <x v="61"/>
    <s v="Lisboa e Lisboa"/>
    <s v="Taxa de Condomínio Sala B-73"/>
    <x v="10"/>
    <x v="1"/>
    <x v="16"/>
    <s v="ATON BUSINESS STYLE"/>
    <m/>
    <m/>
    <s v="Thaynara Borges"/>
    <n v="-1247.17"/>
    <s v="Saída"/>
    <x v="0"/>
  </r>
  <r>
    <x v="61"/>
    <s v="Lisboa e Lisboa"/>
    <s v="Assessoria Contábil"/>
    <x v="1"/>
    <x v="1"/>
    <x v="1"/>
    <s v="CARLOS ALBERTO GRACIANO RODRIGUES"/>
    <m/>
    <m/>
    <s v="Thaynara Borges"/>
    <n v="-1518"/>
    <s v="Saída"/>
    <x v="0"/>
  </r>
  <r>
    <x v="61"/>
    <s v="Thaynara Borges Pereira"/>
    <s v="Parcelamento em 7x"/>
    <x v="2"/>
    <x v="2"/>
    <x v="2"/>
    <s v="MARIA DA SILVA NOGUEIRA"/>
    <m/>
    <s v="Maria da Silva Nogueira x Nathalia dos Santos Nogueira"/>
    <s v="Thaynara Borges"/>
    <n v="250"/>
    <s v="Entrada"/>
    <x v="1"/>
  </r>
  <r>
    <x v="61"/>
    <s v="Lisboa e Lisboa"/>
    <s v="Taxa de Condomínio Sala B-74"/>
    <x v="10"/>
    <x v="1"/>
    <x v="16"/>
    <s v="ATON BUSINESS STYLE"/>
    <m/>
    <m/>
    <s v="Thaynara Borges"/>
    <n v="-1247.78"/>
    <s v="Saída"/>
    <x v="0"/>
  </r>
  <r>
    <x v="61"/>
    <s v="Lisboa e Lisboa"/>
    <s v="Taxa de Condomínio Vaga Garagem A-78"/>
    <x v="10"/>
    <x v="1"/>
    <x v="16"/>
    <s v="ATON BUSINESS STYLE"/>
    <m/>
    <m/>
    <s v="Thaynara Borges"/>
    <n v="-49.46"/>
    <s v="Saída"/>
    <x v="0"/>
  </r>
  <r>
    <x v="61"/>
    <s v="Lisboa e Lisboa"/>
    <s v="Taxa de Condomínio Vaga Garagem A-81"/>
    <x v="10"/>
    <x v="1"/>
    <x v="16"/>
    <s v="ATON BUSINESS STYLE"/>
    <m/>
    <m/>
    <s v="Thaynara Borges"/>
    <n v="-49.46"/>
    <s v="Saída"/>
    <x v="0"/>
  </r>
  <r>
    <x v="61"/>
    <s v="Lisboa e Lisboa"/>
    <s v="Taxa de Condomínio Vaga Garagem A-88"/>
    <x v="10"/>
    <x v="1"/>
    <x v="16"/>
    <s v="ATON BUSINESS STYLE"/>
    <m/>
    <m/>
    <s v="Thaynara Borges"/>
    <n v="-49.46"/>
    <s v="Saída"/>
    <x v="0"/>
  </r>
  <r>
    <x v="61"/>
    <s v="Lisboa e Lisboa"/>
    <s v="Taxa de Condomínio Vaga Garagem A-82"/>
    <x v="10"/>
    <x v="1"/>
    <x v="16"/>
    <s v="ATON BUSINESS STYLE"/>
    <m/>
    <m/>
    <s v="Thaynara Borges"/>
    <n v="-49.46"/>
    <s v="Saída"/>
    <x v="0"/>
  </r>
  <r>
    <x v="61"/>
    <s v="Lisboa e Lisboa"/>
    <s v="Taxa de Condomínio Vaga Garagem A-83"/>
    <x v="10"/>
    <x v="1"/>
    <x v="16"/>
    <s v="ATON BUSINESS STYLE"/>
    <m/>
    <m/>
    <s v="Thaynara Borges"/>
    <n v="-49.46"/>
    <s v="Saída"/>
    <x v="0"/>
  </r>
  <r>
    <x v="61"/>
    <s v="Lisboa e Lisboa"/>
    <s v="Cartão de Crédito Dr Ivanilldo"/>
    <x v="6"/>
    <x v="1"/>
    <x v="5"/>
    <s v="BANCO ITAU"/>
    <m/>
    <m/>
    <s v="Thaynara Borges"/>
    <n v="-2100.63"/>
    <s v="Saída"/>
    <x v="0"/>
  </r>
  <r>
    <x v="62"/>
    <s v="Lisboa e Lisboa"/>
    <s v="Plano mensal - conta corrente"/>
    <x v="4"/>
    <x v="3"/>
    <x v="5"/>
    <s v="BANCO ITAU"/>
    <m/>
    <m/>
    <s v="Thaynara Borges"/>
    <n v="-79.5"/>
    <s v="Saída"/>
    <x v="0"/>
  </r>
  <r>
    <x v="62"/>
    <s v="Sarah Alves Lisboa"/>
    <s v="Celular"/>
    <x v="8"/>
    <x v="1"/>
    <x v="14"/>
    <s v="VIVO"/>
    <m/>
    <m/>
    <s v="Thaynara Borges"/>
    <n v="-130.37"/>
    <s v="Saída"/>
    <x v="0"/>
  </r>
  <r>
    <x v="62"/>
    <s v="Lisboa e Lisboa"/>
    <s v="SERVIÇCOS DE TI"/>
    <x v="3"/>
    <x v="1"/>
    <x v="4"/>
    <s v="Rhuan Carlos Batista"/>
    <m/>
    <m/>
    <s v="Nathalia Louiz"/>
    <n v="-160"/>
    <s v="Saída"/>
    <x v="0"/>
  </r>
  <r>
    <x v="63"/>
    <s v="Sarah Alves Lisboa"/>
    <s v="Consulta (valor residual 200,00)"/>
    <x v="2"/>
    <x v="2"/>
    <x v="89"/>
    <s v="GEDILANE ROSA DE SA FERREIRA"/>
    <m/>
    <m/>
    <s v="Nathalia Louiz"/>
    <n v="200"/>
    <s v="Entrada"/>
    <x v="2"/>
  </r>
  <r>
    <x v="63"/>
    <s v="Sarah Alves Lisboa"/>
    <s v="ANUIDADE 12X"/>
    <x v="2"/>
    <x v="2"/>
    <x v="62"/>
    <s v="ANA PEREIRA DA SILVA JESUS"/>
    <m/>
    <s v="AMPARA AO IDOSO"/>
    <s v="Nathalia Louiz"/>
    <n v="303.60000000000002"/>
    <s v="Entrada"/>
    <x v="1"/>
  </r>
  <r>
    <x v="63"/>
    <s v="Sarah Alves Lisboa"/>
    <s v="Presente do dia das mulheres para equipe"/>
    <x v="16"/>
    <x v="4"/>
    <x v="79"/>
    <s v="KOPENHAGEN"/>
    <m/>
    <m/>
    <s v="Thaynara Borges"/>
    <n v="-329.4"/>
    <s v="Saída"/>
    <x v="0"/>
  </r>
  <r>
    <x v="63"/>
    <s v="Lisboa e Lisboa"/>
    <s v="2 Benefícios parcelados em 6x"/>
    <x v="2"/>
    <x v="2"/>
    <x v="10"/>
    <s v="ISABEL PEREIRA SOUSA"/>
    <m/>
    <s v="APOSENTADORIA POR IDADE"/>
    <s v="Thaynara Borges"/>
    <n v="500"/>
    <s v="Entrada"/>
    <x v="1"/>
  </r>
  <r>
    <x v="63"/>
    <s v="Sarah Alves Lisboa"/>
    <s v="DIÁRIAS DE LIMPEZA/MANUTENÇÃO DO ESCRITÓRIO (2 DIÁRIAS)"/>
    <x v="9"/>
    <x v="1"/>
    <x v="15"/>
    <s v="ELIZANGELA FERREIRA DA SILVA"/>
    <m/>
    <m/>
    <s v="Nathalia Louiz"/>
    <n v="-170"/>
    <s v="Saída"/>
    <x v="0"/>
  </r>
  <r>
    <x v="64"/>
    <s v="Sarah Alves Lisboa"/>
    <s v="Tarifa Bancária"/>
    <x v="4"/>
    <x v="3"/>
    <x v="22"/>
    <s v="BANCO DO BRASIL S/A"/>
    <m/>
    <m/>
    <s v="Thaynara Borges"/>
    <n v="-15"/>
    <s v="Saída"/>
    <x v="0"/>
  </r>
  <r>
    <x v="64"/>
    <s v="Sarah Alves Lisboa"/>
    <s v="PAGAMENTO DE HONORÁRIOS"/>
    <x v="2"/>
    <x v="2"/>
    <x v="96"/>
    <s v="VALDIR DE PAIVA BRASIL"/>
    <m/>
    <s v="PENSÃO POR MORTE"/>
    <s v="Nathalia Louiz"/>
    <n v="300"/>
    <s v="Entrada"/>
    <x v="1"/>
  </r>
  <r>
    <x v="64"/>
    <s v="Sarah Alves Lisboa"/>
    <s v="PLANEJAMENTO - Aposentadoria"/>
    <x v="2"/>
    <x v="2"/>
    <x v="97"/>
    <s v="PAULO MENEZES DA SILVA"/>
    <m/>
    <m/>
    <s v="Nathalia Louiz"/>
    <n v="500"/>
    <s v="Entrada"/>
    <x v="1"/>
  </r>
  <r>
    <x v="64"/>
    <s v="Lisboa e Lisboa"/>
    <s v="CONTRATO 9621661899"/>
    <x v="8"/>
    <x v="1"/>
    <x v="98"/>
    <s v="VIVO FIXO"/>
    <m/>
    <m/>
    <s v="Thaynara Borges"/>
    <n v="-251.58"/>
    <s v="Saída"/>
    <x v="0"/>
  </r>
  <r>
    <x v="64"/>
    <s v="Lisboa e Lisboa"/>
    <s v="IEL Estagiárias"/>
    <x v="13"/>
    <x v="6"/>
    <x v="21"/>
    <s v="IEL"/>
    <m/>
    <m/>
    <s v="Thaynara Borges"/>
    <n v="-106.73"/>
    <s v="Saída"/>
    <x v="0"/>
  </r>
  <r>
    <x v="64"/>
    <s v="Lisboa e Lisboa"/>
    <s v="CONTRATO 9309114969"/>
    <x v="8"/>
    <x v="1"/>
    <x v="98"/>
    <s v="VIVO FIXO"/>
    <m/>
    <m/>
    <s v="Thaynara Borges"/>
    <n v="-119.99"/>
    <s v="Saída"/>
    <x v="0"/>
  </r>
  <r>
    <x v="65"/>
    <s v="Sarah Alves Lisboa"/>
    <s v="SCB - 70% Vanessão - 30% Lisboa"/>
    <x v="2"/>
    <x v="2"/>
    <x v="99"/>
    <s v="HELTON GONÇALVES BARSANULFO"/>
    <m/>
    <s v="AUXILIO DOENÇA"/>
    <s v="Nathalia Louiz"/>
    <n v="33893.51"/>
    <s v="Entrada"/>
    <x v="1"/>
  </r>
  <r>
    <x v="65"/>
    <s v="Sarah Alves Lisboa"/>
    <s v="40% SOBRE A IMPLANTAÇÃO"/>
    <x v="2"/>
    <x v="2"/>
    <x v="100"/>
    <s v="CLAUDIA NUNES DOS SANTOS BARCELOS"/>
    <m/>
    <s v="AUXILIO DOENÇA"/>
    <s v="Thaynara Borges"/>
    <n v="2600"/>
    <s v="Entrada"/>
    <x v="1"/>
  </r>
  <r>
    <x v="66"/>
    <s v="Sarah Alves Lisboa"/>
    <s v="50% da Implantação"/>
    <x v="2"/>
    <x v="2"/>
    <x v="101"/>
    <s v="JOSÉ ROBERTO PEREIRA DA SILVA"/>
    <m/>
    <s v="APOSENTADORIA POR IDADE"/>
    <s v="Nathalia Louiz"/>
    <n v="3750"/>
    <s v="Entrada"/>
    <x v="1"/>
  </r>
  <r>
    <x v="66"/>
    <s v="Sarah Alves Lisboa"/>
    <s v="Viagem de uber"/>
    <x v="27"/>
    <x v="4"/>
    <x v="7"/>
    <s v="SARAH ALVES LISBOA"/>
    <m/>
    <m/>
    <s v="Nathalia Louiz"/>
    <n v="-25"/>
    <s v="Saída"/>
    <x v="0"/>
  </r>
  <r>
    <x v="67"/>
    <s v="Sarah Alves Lisboa"/>
    <s v="comissão de 10% por indicação - LARISSA"/>
    <x v="28"/>
    <x v="7"/>
    <x v="101"/>
    <s v="JOSÉ ROBERTO PEREIRA DA SILVA"/>
    <m/>
    <s v="APOSENTADORIA POR IDADE"/>
    <s v="Nathalia Louiz"/>
    <n v="-375"/>
    <s v="Saída"/>
    <x v="0"/>
  </r>
  <r>
    <x v="67"/>
    <s v="Sarah Alves Lisboa"/>
    <s v="70% de participação - Wanessa"/>
    <x v="28"/>
    <x v="7"/>
    <x v="99"/>
    <s v="HELTON GONÇALVES BARSANULFO"/>
    <m/>
    <s v="AUXILIO DOENÇA"/>
    <s v="Nathalia Louiz"/>
    <n v="-23725.45"/>
    <s v="Saída"/>
    <x v="0"/>
  </r>
  <r>
    <x v="67"/>
    <s v="Sarah Alves Lisboa"/>
    <s v="Impressão"/>
    <x v="33"/>
    <x v="4"/>
    <x v="46"/>
    <s v="Laura Barbosa Marques"/>
    <m/>
    <m/>
    <s v="Thaynara Borges"/>
    <n v="-20"/>
    <s v="Saída"/>
    <x v="0"/>
  </r>
  <r>
    <x v="67"/>
    <s v="Sarah Alves Lisboa"/>
    <s v="PAGAMENTO COMISSÃO KARINE 20%"/>
    <x v="28"/>
    <x v="7"/>
    <x v="101"/>
    <s v="JOSÉ ROBERTO PEREIRA DA SILVA"/>
    <m/>
    <s v="APOSENTADORIA POR IDADE"/>
    <s v="Nathalia Louiz"/>
    <n v="-750"/>
    <s v="Saída"/>
    <x v="0"/>
  </r>
  <r>
    <x v="67"/>
    <s v="Sarah Alves Lisboa"/>
    <s v="Reembolso de despesa"/>
    <x v="7"/>
    <x v="5"/>
    <x v="49"/>
    <s v="JOSELINA ROSA DE SANTANA"/>
    <m/>
    <m/>
    <s v="Nathalia Louiz"/>
    <n v="-21.73"/>
    <s v="Entrada"/>
    <x v="1"/>
  </r>
  <r>
    <x v="67"/>
    <s v="Sarah Alves Lisboa"/>
    <s v="RPV SUCUMBENCIA ( R$ 1.290,95 - 70% Vanessa = 371,86)"/>
    <x v="2"/>
    <x v="2"/>
    <x v="102"/>
    <s v="VALNEI PORTO MACHADO"/>
    <m/>
    <s v="APOSENTADORIA POR TEMPO DE CONTRIBUIÇAO / ELETRICISTA"/>
    <s v="Nathalia Louiz"/>
    <n v="1290.95"/>
    <s v="Entrada"/>
    <x v="1"/>
  </r>
  <r>
    <x v="68"/>
    <s v="Sarah Alves Lisboa"/>
    <s v="DIÁRIAS DE LIMPEZA/MANUTENÇÃO DO ESCRITÓRIO (2 DIÁRIAS)"/>
    <x v="9"/>
    <x v="1"/>
    <x v="15"/>
    <s v="ELIZANGELA FERREIRA DA SILVA"/>
    <m/>
    <m/>
    <s v="Nathalia Louiz"/>
    <n v="-340"/>
    <s v="Saída"/>
    <x v="0"/>
  </r>
  <r>
    <x v="69"/>
    <s v="Sarah Alves Lisboa"/>
    <s v="Honorários sobre o êxito (metade) Ação com Dra Flávia"/>
    <x v="2"/>
    <x v="2"/>
    <x v="103"/>
    <s v="ELLEN BORGES PEREIRA"/>
    <m/>
    <s v="ELLEN BORGES PEREIRA x SODEXO"/>
    <s v="Thaynara Borges"/>
    <n v="600"/>
    <s v="Entrada"/>
    <x v="1"/>
  </r>
  <r>
    <x v="69"/>
    <s v="Lisboa e Lisboa"/>
    <s v="PUBLICAÇÕES - ULTIMO BOLETO"/>
    <x v="12"/>
    <x v="1"/>
    <x v="29"/>
    <s v="AVISO URGENTE T I LTDA"/>
    <m/>
    <m/>
    <s v="Thaynara Borges"/>
    <n v="-507.3"/>
    <s v="Saída"/>
    <x v="0"/>
  </r>
  <r>
    <x v="69"/>
    <s v="Sarah Alves Lisboa"/>
    <s v="Cartão de Crédito Dra Thaynara"/>
    <x v="6"/>
    <x v="1"/>
    <x v="47"/>
    <s v="C6"/>
    <m/>
    <m/>
    <s v="Thaynara Borges"/>
    <n v="-1012.15"/>
    <s v="Saída"/>
    <x v="0"/>
  </r>
  <r>
    <x v="70"/>
    <s v="Sarah Alves Lisboa"/>
    <s v="Recebido junto com pagamento do CAIO"/>
    <x v="2"/>
    <x v="2"/>
    <x v="104"/>
    <s v="LEILA DO CARMO GONÇALVES OLIVEIRA"/>
    <m/>
    <s v="APOSENTADORIA POR IDADE RURAL"/>
    <s v="Thaynara Borges"/>
    <n v="1362.3"/>
    <s v="Entrada"/>
    <x v="1"/>
  </r>
  <r>
    <x v="70"/>
    <s v="Sarah Alves Lisboa"/>
    <s v="Manutenção em 3 nobreaks"/>
    <x v="3"/>
    <x v="1"/>
    <x v="105"/>
    <s v="NOBREAK E CIA"/>
    <m/>
    <m/>
    <s v="Thaynara Borges"/>
    <n v="-337"/>
    <s v="Saída"/>
    <x v="0"/>
  </r>
  <r>
    <x v="70"/>
    <s v="Sarah Alves Lisboa"/>
    <s v="30% sobre a implantação do beneficio"/>
    <x v="2"/>
    <x v="2"/>
    <x v="106"/>
    <s v="CARMEM LUCIA MENDES DE OLIVEIRA"/>
    <m/>
    <s v="BENEFÍCIO POR INCAPACIDADE"/>
    <s v="Thaynara Borges"/>
    <n v="462.99"/>
    <s v="Entrada"/>
    <x v="1"/>
  </r>
  <r>
    <x v="70"/>
    <s v="Sarah Alves Lisboa"/>
    <s v="30% sob implantação abatendo 50% do Dr Ajnaldo"/>
    <x v="2"/>
    <x v="2"/>
    <x v="107"/>
    <s v="CAIO FERNANDES BORGES"/>
    <m/>
    <s v="BENEFÍCIO POR INCAPACIDADE"/>
    <s v="Nathalia Louiz"/>
    <n v="1362.3"/>
    <s v="Entrada"/>
    <x v="1"/>
  </r>
  <r>
    <x v="71"/>
    <s v="Sarah Alves Lisboa"/>
    <s v="Domínio lisboaelisboa"/>
    <x v="3"/>
    <x v="1"/>
    <x v="90"/>
    <s v="[$empty$]"/>
    <m/>
    <m/>
    <s v="Thaynara Borges"/>
    <n v="-40"/>
    <s v="Saída"/>
    <x v="0"/>
  </r>
  <r>
    <x v="71"/>
    <s v="Sarah Alves Lisboa"/>
    <s v="30% sobre a implantação do beneficio"/>
    <x v="2"/>
    <x v="2"/>
    <x v="108"/>
    <s v="COSME FREIRE BESSA"/>
    <m/>
    <s v="BENEFÍCIO POR INCAPACIDADE"/>
    <s v="Thaynara Borges"/>
    <n v="934.08"/>
    <s v="Entrada"/>
    <x v="1"/>
  </r>
  <r>
    <x v="71"/>
    <s v="Sarah Alves Lisboa"/>
    <s v="Domínio prevlex"/>
    <x v="3"/>
    <x v="1"/>
    <x v="109"/>
    <s v="NIC BR"/>
    <m/>
    <m/>
    <s v="Thaynara Borges"/>
    <n v="-40"/>
    <s v="Saída"/>
    <x v="0"/>
  </r>
  <r>
    <x v="72"/>
    <s v="Thaynara Borges Pereira"/>
    <s v="Parceria com Dr. Silvio"/>
    <x v="2"/>
    <x v="2"/>
    <x v="59"/>
    <s v="ANTONIO PEREIRA SOBRINHO"/>
    <m/>
    <m/>
    <s v="Thaynara Borges"/>
    <n v="354"/>
    <s v="Entrada"/>
    <x v="2"/>
  </r>
  <r>
    <x v="72"/>
    <s v="Lisboa e Lisboa"/>
    <s v="IPTU - BOX 83"/>
    <x v="29"/>
    <x v="1"/>
    <x v="71"/>
    <s v="PREFEITURA MUNICIPAL DE GOIÂNIA"/>
    <m/>
    <m/>
    <s v="Nathalia Louiz"/>
    <n v="-42.74"/>
    <s v="Saída"/>
    <x v="0"/>
  </r>
  <r>
    <x v="72"/>
    <s v="Lisboa e Lisboa"/>
    <s v="FGTS"/>
    <x v="18"/>
    <x v="6"/>
    <x v="35"/>
    <s v="Ministério do Trabalho e Emprego"/>
    <m/>
    <m/>
    <s v="Thaynara Borges"/>
    <n v="-285.23"/>
    <s v="Saída"/>
    <x v="0"/>
  </r>
  <r>
    <x v="72"/>
    <s v="Lisboa e Lisboa"/>
    <s v="IPTU - BOX 81"/>
    <x v="29"/>
    <x v="1"/>
    <x v="71"/>
    <s v="PREFEITURA MUNICIPAL DE GOIÂNIA"/>
    <m/>
    <m/>
    <s v="Nathalia Louiz"/>
    <n v="-42.74"/>
    <s v="Saída"/>
    <x v="0"/>
  </r>
  <r>
    <x v="72"/>
    <s v="Lisboa e Lisboa"/>
    <s v="IPTU - BOX 82"/>
    <x v="29"/>
    <x v="1"/>
    <x v="71"/>
    <s v="PREFEITURA MUNICIPAL DE GOIÂNIA"/>
    <s v=""/>
    <m/>
    <s v="Nathalia Louiz"/>
    <n v="-42.74"/>
    <s v="Saída"/>
    <x v="0"/>
  </r>
  <r>
    <x v="72"/>
    <s v="Lisboa e Lisboa"/>
    <s v="Água"/>
    <x v="17"/>
    <x v="1"/>
    <x v="34"/>
    <s v="SANEAGO GOIAS S/A"/>
    <m/>
    <m/>
    <s v="Thaynara Borges"/>
    <n v="-106.3"/>
    <s v="Saída"/>
    <x v="0"/>
  </r>
  <r>
    <x v="72"/>
    <s v="Lisboa e Lisboa"/>
    <s v="INSS"/>
    <x v="19"/>
    <x v="6"/>
    <x v="38"/>
    <s v="Receita Federal"/>
    <m/>
    <m/>
    <s v="Thaynara Borges"/>
    <n v="-2041.63"/>
    <s v="Saída"/>
    <x v="0"/>
  </r>
  <r>
    <x v="72"/>
    <s v="Lisboa e Lisboa"/>
    <s v="Simples Nacional"/>
    <x v="20"/>
    <x v="7"/>
    <x v="39"/>
    <s v="Simples Nacional"/>
    <m/>
    <m/>
    <s v="Thaynara Borges"/>
    <n v="-1722.45"/>
    <s v="Saída"/>
    <x v="0"/>
  </r>
  <r>
    <x v="72"/>
    <s v="Lisboa e Lisboa"/>
    <s v="IPTU - SALA B74"/>
    <x v="29"/>
    <x v="1"/>
    <x v="71"/>
    <s v="PREFEITURA MUNICIPAL DE GOIÂNIA"/>
    <m/>
    <m/>
    <s v="Nathalia Louiz"/>
    <n v="-125.52"/>
    <s v="Saída"/>
    <x v="0"/>
  </r>
  <r>
    <x v="72"/>
    <s v="Lisboa e Lisboa"/>
    <s v="IPTU - BOX 78"/>
    <x v="29"/>
    <x v="1"/>
    <x v="71"/>
    <s v="PREFEITURA MUNICIPAL DE GOIÂNIA"/>
    <m/>
    <m/>
    <s v="Nathalia Louiz"/>
    <n v="-42.74"/>
    <s v="Saída"/>
    <x v="0"/>
  </r>
  <r>
    <x v="72"/>
    <s v="Lisboa e Lisboa"/>
    <s v="IPTU - BOX 88"/>
    <x v="29"/>
    <x v="1"/>
    <x v="71"/>
    <s v="PREFEITURA MUNICIPAL DE GOIÂNIA"/>
    <m/>
    <m/>
    <s v="Nathalia Louiz"/>
    <n v="-42.74"/>
    <s v="Saída"/>
    <x v="0"/>
  </r>
  <r>
    <x v="72"/>
    <s v="Lisboa e Lisboa"/>
    <s v="HONORARIOS RPV (50%)"/>
    <x v="2"/>
    <x v="2"/>
    <x v="49"/>
    <s v="JOSELINA ROSA DE SANTANA"/>
    <m/>
    <s v="APOSENTADORIA RURAL"/>
    <s v="Nathalia Louiz"/>
    <n v="4802.2700000000004"/>
    <s v="Entrada"/>
    <x v="1"/>
  </r>
  <r>
    <x v="73"/>
    <s v="Lisboa e Lisboa"/>
    <s v="20% pela parceria com Dra. Nubia"/>
    <x v="2"/>
    <x v="2"/>
    <x v="36"/>
    <s v="GILNETH VIDAL DOS SANTOS"/>
    <m/>
    <s v="ANALISAR PROCESSOS"/>
    <s v="Thaynara Borges"/>
    <n v="119.35"/>
    <s v="Entrada"/>
    <x v="2"/>
  </r>
  <r>
    <x v="73"/>
    <s v="Sarah Alves Lisboa"/>
    <s v="DIÁRIAS DE LIMPEZA/MANUTENÇÃO DO ESCRITÓRIO (2 DIÁRIAS)"/>
    <x v="9"/>
    <x v="1"/>
    <x v="15"/>
    <s v="ELIZANGELA FERREIRA DA SILVA"/>
    <m/>
    <m/>
    <s v="Nathalia Louiz"/>
    <n v="-340"/>
    <s v="Saída"/>
    <x v="0"/>
  </r>
  <r>
    <x v="74"/>
    <s v="Sarah Alves Lisboa"/>
    <s v="Honorários RPV (30% + ANUIDADE)"/>
    <x v="2"/>
    <x v="2"/>
    <x v="110"/>
    <s v="VALERIA ALVES VIEIRA"/>
    <m/>
    <s v="AMPARO AO DEFICIENTE"/>
    <s v="Nathalia Louiz"/>
    <n v="9171.34"/>
    <s v="Entrada"/>
    <x v="1"/>
  </r>
  <r>
    <x v="74"/>
    <s v="Lisboa e Lisboa"/>
    <s v="40% SOBRE OS ATRASADOS + 3 SALARIOS DE BENEFICIOS."/>
    <x v="2"/>
    <x v="2"/>
    <x v="100"/>
    <s v="CLAUDIA NUNES DOS SANTOS BARCELOS"/>
    <m/>
    <s v="AUXILIO DOENÇA"/>
    <s v="Nathalia Louiz"/>
    <n v="9860.56"/>
    <s v="Entrada"/>
    <x v="1"/>
  </r>
  <r>
    <x v="74"/>
    <s v="Lisboa e Lisboa"/>
    <s v="50% dos honorários (Parceria Dr Ajnaldo)"/>
    <x v="2"/>
    <x v="2"/>
    <x v="104"/>
    <s v="LEILA DO CARMO GONÇALVES OLIVEIRA"/>
    <m/>
    <s v="APOSENTADORIA POR IDADE RURAL"/>
    <s v="Thaynara Borges"/>
    <n v="1137.7"/>
    <s v="Entrada"/>
    <x v="2"/>
  </r>
  <r>
    <x v="74"/>
    <s v="Lisboa e Lisboa"/>
    <s v="HONORÁRIO RPV (30%)"/>
    <x v="2"/>
    <x v="2"/>
    <x v="111"/>
    <s v="Eliane Teixeira do Nascimento Souza"/>
    <m/>
    <s v="RESTABELECIMENTO DE AUXILIO DOENÇA"/>
    <s v="Nathalia Louiz"/>
    <n v="1510.48"/>
    <s v="Entrada"/>
    <x v="1"/>
  </r>
  <r>
    <x v="74"/>
    <s v="Sarah Alves Lisboa"/>
    <s v="Elaboração de novo contrato social"/>
    <x v="30"/>
    <x v="9"/>
    <x v="112"/>
    <s v="IVAN GUSTAVO JUNIO SANTOS TRINDADE"/>
    <m/>
    <m/>
    <s v="Thaynara Borges"/>
    <n v="-15000"/>
    <s v="Saída"/>
    <x v="0"/>
  </r>
  <r>
    <x v="75"/>
    <s v="Sarah Alves Lisboa"/>
    <s v="40% sobre os atrasados (R$ 8.033,91)"/>
    <x v="2"/>
    <x v="2"/>
    <x v="113"/>
    <s v="VALDOMIRO ROSA DE OLIVEIRA"/>
    <m/>
    <s v="AUXILIO DOENÇA"/>
    <s v="Thaynara Borges"/>
    <n v="3213.56"/>
    <s v="Entrada"/>
    <x v="1"/>
  </r>
  <r>
    <x v="75"/>
    <s v="Sarah Alves Lisboa"/>
    <s v="Anuidade - parceria com Dr Fernando"/>
    <x v="2"/>
    <x v="2"/>
    <x v="30"/>
    <s v="ELVIO DE OLIVEIRA SOARES"/>
    <m/>
    <s v="APOSENTADORIA POR IDADE"/>
    <s v="Thaynara Borges"/>
    <n v="423.6"/>
    <s v="Entrada"/>
    <x v="1"/>
  </r>
  <r>
    <x v="75"/>
    <s v="Thaynara Borges Pereira"/>
    <s v="Parcelas - parceria Dr Silvio"/>
    <x v="2"/>
    <x v="2"/>
    <x v="40"/>
    <s v="GLEYCIANNE RIBEIRO DE SOUZA CABRAL"/>
    <m/>
    <s v="DIVÓRCIO CONSENSUAL C/C REGULAMENTAÇÃO DE GUARDA E ALIMENTOS"/>
    <s v="Thaynara Borges"/>
    <n v="150"/>
    <s v="Entrada"/>
    <x v="1"/>
  </r>
  <r>
    <x v="75"/>
    <s v="Sarah Alves Lisboa"/>
    <s v="Acerto parte da Vanessa sucumbência cumprimento de sentença"/>
    <x v="28"/>
    <x v="7"/>
    <x v="102"/>
    <s v="VALNEI PORTO MACHADO"/>
    <m/>
    <s v="APOSENTADORIA POR TEMPO DE CONTRIBUIÇAO / ELETRICISTA"/>
    <s v="Thaynara Borges"/>
    <n v="-903.66"/>
    <s v="Saída"/>
    <x v="0"/>
  </r>
  <r>
    <x v="75"/>
    <s v="Sarah Alves Lisboa"/>
    <s v="COMISSÃO 50% DR FERNANDO"/>
    <x v="28"/>
    <x v="7"/>
    <x v="30"/>
    <s v="ELVIO DE OLIVEIRA SOARES"/>
    <m/>
    <s v="APOSENTADORIA POR IDADE"/>
    <s v="Nathalia Louiz"/>
    <n v="-211.8"/>
    <s v="Saída"/>
    <x v="0"/>
  </r>
  <r>
    <x v="75"/>
    <s v="Sarah Alves Lisboa"/>
    <s v="COMISSÃO 50% DR GUSTAVO"/>
    <x v="28"/>
    <x v="7"/>
    <x v="113"/>
    <s v="VALDOMIRO ROSA DE OLIVEIRA"/>
    <m/>
    <s v="AUXILIO DOENÇA"/>
    <s v="Nathalia Louiz"/>
    <n v="-2812.18"/>
    <s v="Saída"/>
    <x v="0"/>
  </r>
  <r>
    <x v="75"/>
    <s v="Sarah Alves Lisboa"/>
    <s v="RPV SUCUMBENCIA"/>
    <x v="2"/>
    <x v="2"/>
    <x v="102"/>
    <s v="VALNEI PORTO MACHADO"/>
    <m/>
    <s v="APOSENTADORIA POR TEMPO DE CONTRIBUIÇAO / ELETRICISTA"/>
    <s v="Nathalia Louiz"/>
    <n v="6604.83"/>
    <s v="Entrada"/>
    <x v="1"/>
  </r>
  <r>
    <x v="75"/>
    <s v="Sarah Alves Lisboa"/>
    <s v="30% SOB A IMPLANTAÇÃO"/>
    <x v="2"/>
    <x v="2"/>
    <x v="114"/>
    <s v="ANDERSON FRADIQUE VINHAL RIBEIRO PEREIRA"/>
    <m/>
    <s v="BENEFÍCIO POR INCAPACIDADE"/>
    <s v="Nathalia Louiz"/>
    <n v="713.7"/>
    <s v="Entrada"/>
    <x v="1"/>
  </r>
  <r>
    <x v="75"/>
    <s v="Sarah Alves Lisboa"/>
    <s v="40% implantação - será descontada nos atrasados (40% de R$6.027 - Implantação)"/>
    <x v="2"/>
    <x v="2"/>
    <x v="113"/>
    <s v="VALDOMIRO ROSA DE OLIVEIRA"/>
    <m/>
    <s v="AUXILIO DOENÇA"/>
    <s v="Nathalia Louiz"/>
    <n v="2410.8000000000002"/>
    <s v="Entrada"/>
    <x v="1"/>
  </r>
  <r>
    <x v="76"/>
    <s v="Lisboa e Lisboa"/>
    <s v="Parcelas - honorários 3 benefícios"/>
    <x v="2"/>
    <x v="2"/>
    <x v="60"/>
    <s v="JOÃO BAREICHA FERREIRA GALVÃO"/>
    <m/>
    <s v="APOSENTADORIA"/>
    <s v="Thaynara Borges"/>
    <n v="1589.72"/>
    <s v="Entrada"/>
    <x v="1"/>
  </r>
  <r>
    <x v="77"/>
    <s v="Sarah Alves Lisboa"/>
    <s v="APARELHO TELEFONE - FIXO (Para o escritório)"/>
    <x v="26"/>
    <x v="1"/>
    <x v="115"/>
    <s v="KABUM"/>
    <m/>
    <m/>
    <s v="Nathalia Louiz"/>
    <n v="-65.14"/>
    <s v="Saída"/>
    <x v="0"/>
  </r>
  <r>
    <x v="77"/>
    <s v="Lisboa e Lisboa"/>
    <s v="Energia contrato 0067122721"/>
    <x v="21"/>
    <x v="1"/>
    <x v="94"/>
    <s v="EQUATORIAL GOIAS 0067122721"/>
    <m/>
    <m/>
    <s v="Thaynara Borges"/>
    <n v="-627.22"/>
    <s v="Saída"/>
    <x v="0"/>
  </r>
  <r>
    <x v="77"/>
    <s v="Sarah Alves Lisboa"/>
    <s v="Exame admissional"/>
    <x v="27"/>
    <x v="4"/>
    <x v="116"/>
    <s v="Katyucia G Santos"/>
    <m/>
    <m/>
    <s v="Nathalia Louiz"/>
    <n v="-30"/>
    <s v="Saída"/>
    <x v="0"/>
  </r>
  <r>
    <x v="77"/>
    <s v="Lisboa e Lisboa"/>
    <s v="Energia contrato 0067122663"/>
    <x v="21"/>
    <x v="1"/>
    <x v="91"/>
    <s v="EQUATORIAL GOIAS 0067122663"/>
    <m/>
    <m/>
    <s v="Thaynara Borges"/>
    <n v="-380.75"/>
    <s v="Saída"/>
    <x v="0"/>
  </r>
  <r>
    <x v="77"/>
    <s v="Sarah Alves Lisboa"/>
    <s v="DIÁRIAS DE LIMPEZA/MANUTENÇÃO DO ESCRITÓRIO (2 DIÁRIAS)"/>
    <x v="9"/>
    <x v="1"/>
    <x v="15"/>
    <s v="ELIZANGELA FERREIRA DA SILVA"/>
    <m/>
    <m/>
    <s v="Nathalia Louiz"/>
    <n v="-340"/>
    <s v="Saída"/>
    <x v="0"/>
  </r>
  <r>
    <x v="77"/>
    <s v="Sarah Alves Lisboa"/>
    <s v="Reunião - Comissão"/>
    <x v="28"/>
    <x v="7"/>
    <x v="117"/>
    <s v="Maura Cardoso Borges"/>
    <m/>
    <m/>
    <s v="Nathalia Louiz"/>
    <n v="-200"/>
    <s v="Saída"/>
    <x v="0"/>
  </r>
  <r>
    <x v="78"/>
    <s v="Sarah Alves Lisboa"/>
    <s v="Retirada"/>
    <x v="22"/>
    <x v="8"/>
    <x v="27"/>
    <s v="Thaynara Borges Pereira"/>
    <m/>
    <m/>
    <s v="Thaynara Borges"/>
    <n v="-3648.98"/>
    <s v="Saída"/>
    <x v="0"/>
  </r>
  <r>
    <x v="78"/>
    <s v="Lisboa e Lisboa"/>
    <s v="Bolsa Estagio"/>
    <x v="13"/>
    <x v="6"/>
    <x v="46"/>
    <s v="Laura Barbosa Marques"/>
    <m/>
    <m/>
    <s v="Thaynara Borges"/>
    <n v="-1300"/>
    <s v="Saída"/>
    <x v="0"/>
  </r>
  <r>
    <x v="78"/>
    <s v="Lisboa e Lisboa"/>
    <s v="Salario"/>
    <x v="15"/>
    <x v="6"/>
    <x v="37"/>
    <s v="Nina Araujo"/>
    <m/>
    <m/>
    <s v="Thaynara Borges"/>
    <n v="-3195.89"/>
    <s v="Saída"/>
    <x v="0"/>
  </r>
  <r>
    <x v="78"/>
    <s v="Lisboa e Lisboa"/>
    <s v="PRÓ-LABORE"/>
    <x v="23"/>
    <x v="8"/>
    <x v="27"/>
    <s v="Thaynara Borges Pereira"/>
    <m/>
    <m/>
    <s v="Thaynara Borges"/>
    <n v="-1351.02"/>
    <s v="Saída"/>
    <x v="0"/>
  </r>
  <r>
    <x v="78"/>
    <s v="Sarah Alves Lisboa"/>
    <s v="Salário"/>
    <x v="15"/>
    <x v="6"/>
    <x v="69"/>
    <s v="Nathalia Louiz Alves Vigilato"/>
    <m/>
    <m/>
    <s v="Nathalia Louiz"/>
    <n v="-1518"/>
    <s v="Saída"/>
    <x v="0"/>
  </r>
  <r>
    <x v="78"/>
    <s v="Sarah Alves Lisboa"/>
    <s v="PAPELARIA - BOAS VINDAS KATIUCIA"/>
    <x v="27"/>
    <x v="4"/>
    <x v="118"/>
    <s v="DIGITAL COPIAS - GRÁFICA"/>
    <m/>
    <m/>
    <s v="Nathalia Louiz"/>
    <n v="-4"/>
    <s v="Saída"/>
    <x v="0"/>
  </r>
  <r>
    <x v="78"/>
    <s v="Lisboa e Lisboa"/>
    <s v="Salário"/>
    <x v="15"/>
    <x v="6"/>
    <x v="32"/>
    <s v="Raffaela Nunes"/>
    <m/>
    <m/>
    <s v="Thaynara Borges"/>
    <n v="-1420.06"/>
    <s v="Saída"/>
    <x v="0"/>
  </r>
  <r>
    <x v="78"/>
    <s v="Lisboa e Lisboa"/>
    <s v="Bolsa Estagio"/>
    <x v="13"/>
    <x v="6"/>
    <x v="18"/>
    <s v="ISABELLA ALVIM BIACHINI"/>
    <m/>
    <m/>
    <s v="Thaynara Borges"/>
    <n v="-1300"/>
    <s v="Saída"/>
    <x v="0"/>
  </r>
  <r>
    <x v="78"/>
    <s v="Sarah Alves Lisboa"/>
    <s v="50% SOBRE A IMPLANTAÇÃO"/>
    <x v="2"/>
    <x v="2"/>
    <x v="119"/>
    <s v="IRANY CARDOSO TEIXEIRA"/>
    <m/>
    <s v="APOSENTADORIA RURAL"/>
    <s v="Thaynara Borges"/>
    <n v="759"/>
    <s v="Entrada"/>
    <x v="1"/>
  </r>
  <r>
    <x v="78"/>
    <s v="Sarah Alves Lisboa"/>
    <s v="Retirada"/>
    <x v="22"/>
    <x v="8"/>
    <x v="7"/>
    <s v="Sarah Alves Lisboa"/>
    <m/>
    <m/>
    <s v="Thaynara Borges"/>
    <n v="-6148.98"/>
    <s v="Saída"/>
    <x v="0"/>
  </r>
  <r>
    <x v="78"/>
    <s v="Sarah Alves Lisboa"/>
    <s v="Salario"/>
    <x v="15"/>
    <x v="6"/>
    <x v="32"/>
    <s v="Raffaela Nunes"/>
    <m/>
    <m/>
    <s v="Thaynara Borges"/>
    <n v="-1079.94"/>
    <s v="Saída"/>
    <x v="0"/>
  </r>
  <r>
    <x v="78"/>
    <s v="Lisboa e Lisboa"/>
    <s v="PRÓ-LABORE"/>
    <x v="23"/>
    <x v="8"/>
    <x v="7"/>
    <s v="Sarah Alves Lisboa"/>
    <m/>
    <m/>
    <s v="Thaynara Borges"/>
    <n v="-1351.02"/>
    <s v="Saída"/>
    <x v="0"/>
  </r>
  <r>
    <x v="79"/>
    <s v="Cartão de Crédito Dr Ivanildo"/>
    <s v="Computador Dell"/>
    <x v="25"/>
    <x v="0"/>
    <x v="5"/>
    <s v="BANCO ITAU"/>
    <s v=""/>
    <m/>
    <s v="Nathalia Louiz"/>
    <n v="-333.24"/>
    <s v="Saída"/>
    <x v="0"/>
  </r>
  <r>
    <x v="79"/>
    <s v="Lisboa e Lisboa"/>
    <s v="Consultoria Financeira"/>
    <x v="0"/>
    <x v="0"/>
    <x v="0"/>
    <s v="PROGRESSE CONSULTORIA EMPRESARIAL"/>
    <m/>
    <m/>
    <s v="Thaynara Borges"/>
    <n v="-1750"/>
    <s v="Saída"/>
    <x v="0"/>
  </r>
  <r>
    <x v="79"/>
    <s v="Cartão de Crédito Dr Ivanildo"/>
    <s v="Google One"/>
    <x v="12"/>
    <x v="1"/>
    <x v="5"/>
    <s v="BANCO ITAU"/>
    <m/>
    <m/>
    <s v="Thaynara Borges"/>
    <n v="-38.99"/>
    <s v="Saída"/>
    <x v="0"/>
  </r>
  <r>
    <x v="79"/>
    <s v="Cartão de Crédito Dr Ivanildo"/>
    <s v="ASA TRINDADE"/>
    <x v="27"/>
    <x v="4"/>
    <x v="5"/>
    <s v="BANCO ITAU"/>
    <m/>
    <m/>
    <s v="Nathalia Louiz"/>
    <n v="-61.1"/>
    <s v="Saída"/>
    <x v="0"/>
  </r>
  <r>
    <x v="79"/>
    <s v="Cartão de Crédito Dr Ivanildo"/>
    <s v="CANAA FRIOS"/>
    <x v="11"/>
    <x v="1"/>
    <x v="5"/>
    <s v="BANCO ITAU"/>
    <m/>
    <m/>
    <s v="Nathalia Louiz"/>
    <n v="-50.7"/>
    <s v="Saída"/>
    <x v="0"/>
  </r>
  <r>
    <x v="79"/>
    <s v="Cartão de Crédito Dr Ivanildo"/>
    <s v="ZapSign programa de assinatura eletronica"/>
    <x v="12"/>
    <x v="1"/>
    <x v="5"/>
    <s v="BANCO ITAU"/>
    <m/>
    <m/>
    <s v="Thaynara Borges"/>
    <n v="-19.899999999999999"/>
    <s v="Saída"/>
    <x v="0"/>
  </r>
  <r>
    <x v="79"/>
    <s v="Lisboa e Lisboa"/>
    <s v="Assessoria Contábil"/>
    <x v="1"/>
    <x v="1"/>
    <x v="1"/>
    <s v="CARLOS ALBERTO GRACIANO RODRIGUES"/>
    <m/>
    <m/>
    <s v="Thaynara Borges"/>
    <n v="-1518"/>
    <s v="Saída"/>
    <x v="0"/>
  </r>
  <r>
    <x v="79"/>
    <s v="Cartão de Crédito Dr Ivanildo"/>
    <s v="ASSAI ATACADISTA"/>
    <x v="26"/>
    <x v="1"/>
    <x v="5"/>
    <s v="BANCO ITAU"/>
    <m/>
    <m/>
    <s v="Nathalia Louiz"/>
    <n v="-111.38"/>
    <s v="Saída"/>
    <x v="0"/>
  </r>
  <r>
    <x v="79"/>
    <s v="Cartão de Crédito Dr Ivanildo"/>
    <s v="MAU NENHUM"/>
    <x v="27"/>
    <x v="4"/>
    <x v="5"/>
    <s v="BANCO ITAU"/>
    <m/>
    <m/>
    <s v="Nathalia Louiz"/>
    <n v="-415"/>
    <s v="Saída"/>
    <x v="0"/>
  </r>
  <r>
    <x v="79"/>
    <s v="Cartão de Crédito Dr Ivanildo"/>
    <s v="CANAÃ FRIOS"/>
    <x v="11"/>
    <x v="1"/>
    <x v="5"/>
    <s v="BANCO ITAU"/>
    <m/>
    <m/>
    <s v="Nathalia Louiz"/>
    <n v="-45"/>
    <s v="Saída"/>
    <x v="0"/>
  </r>
  <r>
    <x v="79"/>
    <s v="Cartão de Crédito Dr Ivanildo"/>
    <s v="Clinica e PI"/>
    <x v="27"/>
    <x v="4"/>
    <x v="5"/>
    <s v="BANCO ITAU"/>
    <m/>
    <m/>
    <s v="Nathalia Louiz"/>
    <n v="-48"/>
    <s v="Saída"/>
    <x v="0"/>
  </r>
  <r>
    <x v="79"/>
    <s v="Sarah Alves Lisboa"/>
    <s v="50% SOBRE A IMPLANTAÇÃO DO BENEFICIO"/>
    <x v="2"/>
    <x v="2"/>
    <x v="120"/>
    <s v="SIMONE BERNARDES DA SILVA SANTANA"/>
    <m/>
    <s v="APOSENTADORIA RURAL"/>
    <s v="Thaynara Borges"/>
    <n v="2288.5"/>
    <s v="Entrada"/>
    <x v="1"/>
  </r>
  <r>
    <x v="79"/>
    <s v="Cartão de Crédito Dr Ivanildo"/>
    <s v="Prévius"/>
    <x v="12"/>
    <x v="1"/>
    <x v="5"/>
    <s v="BANCO ITAU"/>
    <m/>
    <m/>
    <s v="Thaynara Borges"/>
    <n v="-80.91"/>
    <s v="Saída"/>
    <x v="0"/>
  </r>
  <r>
    <x v="79"/>
    <s v="Cartão de Crédito Dr Ivanildo"/>
    <s v="DELLA PANIFICADORA"/>
    <x v="11"/>
    <x v="1"/>
    <x v="5"/>
    <s v="BANCO ITAU"/>
    <m/>
    <m/>
    <s v="Nathalia Louiz"/>
    <n v="-228.34"/>
    <s v="Saída"/>
    <x v="0"/>
  </r>
  <r>
    <x v="79"/>
    <s v="Cartão de Crédito Dr Ivanildo"/>
    <s v="BENEDITA GASTRONIMIA"/>
    <x v="11"/>
    <x v="1"/>
    <x v="5"/>
    <s v="BANCO ITAU"/>
    <m/>
    <m/>
    <s v="Nathalia Louiz"/>
    <n v="-15"/>
    <s v="Saída"/>
    <x v="0"/>
  </r>
  <r>
    <x v="79"/>
    <s v="Cartão de Crédito Dr Ivanildo"/>
    <s v="Pagamento Cartão de Crédito Dr Ivanildo"/>
    <x v="6"/>
    <x v="1"/>
    <x v="5"/>
    <s v="BANCO ITAU"/>
    <m/>
    <m/>
    <s v="Thaynara Borges"/>
    <n v="3059.88"/>
    <s v="Entrada"/>
    <x v="1"/>
  </r>
  <r>
    <x v="79"/>
    <s v="Cartão de Crédito Dr Ivanildo"/>
    <s v="Cestas de fim de ano para equipe"/>
    <x v="11"/>
    <x v="1"/>
    <x v="5"/>
    <s v="BANCO ITAU"/>
    <m/>
    <m/>
    <s v="Thaynara Borges"/>
    <n v="-725"/>
    <s v="Saída"/>
    <x v="0"/>
  </r>
  <r>
    <x v="79"/>
    <s v="Cartão de Crédito Dr Ivanildo"/>
    <s v="BOLOS DO SITIO"/>
    <x v="11"/>
    <x v="1"/>
    <x v="5"/>
    <s v="BANCO ITAU"/>
    <m/>
    <m/>
    <s v="Nathalia Louiz"/>
    <n v="-28"/>
    <s v="Saída"/>
    <x v="0"/>
  </r>
  <r>
    <x v="79"/>
    <s v="Lisboa e Lisboa"/>
    <s v="Honorários 20% sobre os atrasados"/>
    <x v="2"/>
    <x v="2"/>
    <x v="121"/>
    <s v="ELON NOLETO ROCHA"/>
    <m/>
    <s v="ELON NOLETO ROCHA x GOIASPREV"/>
    <s v="Thaynara Borges"/>
    <n v="41260.39"/>
    <s v="Entrada"/>
    <x v="1"/>
  </r>
  <r>
    <x v="79"/>
    <s v="Cartão de Crédito Dr Ivanildo"/>
    <s v="Google One"/>
    <x v="12"/>
    <x v="1"/>
    <x v="5"/>
    <s v="BANCO ITAU"/>
    <m/>
    <m/>
    <s v="Thaynara Borges"/>
    <n v="-11.99"/>
    <s v="Saída"/>
    <x v="0"/>
  </r>
  <r>
    <x v="79"/>
    <s v="Cartão de Crédito Dr Ivanildo"/>
    <s v="Jusbrasil"/>
    <x v="12"/>
    <x v="1"/>
    <x v="5"/>
    <s v="BANCO ITAU"/>
    <m/>
    <m/>
    <s v="Thaynara Borges"/>
    <n v="-58.9"/>
    <s v="Saída"/>
    <x v="0"/>
  </r>
  <r>
    <x v="79"/>
    <s v="Cartão de Crédito Dr Ivanildo"/>
    <s v="Jusbrasil"/>
    <x v="12"/>
    <x v="1"/>
    <x v="5"/>
    <s v="BANCO ITAU"/>
    <m/>
    <m/>
    <s v="Thaynara Borges"/>
    <n v="-58.9"/>
    <s v="Saída"/>
    <x v="0"/>
  </r>
  <r>
    <x v="79"/>
    <s v="Cartão de Crédito Dr Ivanildo"/>
    <s v="Previdenciarista"/>
    <x v="12"/>
    <x v="1"/>
    <x v="5"/>
    <s v="BANCO ITAU"/>
    <m/>
    <m/>
    <s v="Thaynara Borges"/>
    <n v="-119.9"/>
    <s v="Saída"/>
    <x v="0"/>
  </r>
  <r>
    <x v="79"/>
    <s v="Cartão de Crédito Dr Ivanildo"/>
    <s v="CANAÃ FRIOS"/>
    <x v="11"/>
    <x v="1"/>
    <x v="5"/>
    <s v="BANCO ITAU"/>
    <m/>
    <m/>
    <s v="Nathalia Louiz"/>
    <n v="-54.3"/>
    <s v="Saída"/>
    <x v="0"/>
  </r>
  <r>
    <x v="79"/>
    <s v="Cartão de Crédito Dr Ivanildo"/>
    <s v="PAO DE AÇUCAR"/>
    <x v="27"/>
    <x v="4"/>
    <x v="5"/>
    <s v="BANCO ITAU"/>
    <m/>
    <m/>
    <s v="Nathalia Louiz"/>
    <n v="-555.33000000000004"/>
    <s v="Saída"/>
    <x v="0"/>
  </r>
  <r>
    <x v="80"/>
    <s v="Lisboa e Lisboa"/>
    <s v="Honorários Vanessa Lisboa: lançar como retirada Sarah"/>
    <x v="28"/>
    <x v="7"/>
    <x v="121"/>
    <s v="ELON NOLETO ROCHA"/>
    <m/>
    <s v="ELON NOLETO ROCHA x GOIASPREV"/>
    <s v="Thaynara Borges"/>
    <n v="-41260.39"/>
    <s v="Saída"/>
    <x v="0"/>
  </r>
  <r>
    <x v="80"/>
    <s v="Lisboa e Lisboa"/>
    <s v="Plano mensal - conta corrente"/>
    <x v="4"/>
    <x v="3"/>
    <x v="5"/>
    <s v="BANCO ITAU"/>
    <m/>
    <m/>
    <s v="Thaynara Borges"/>
    <n v="-79.5"/>
    <s v="Saída"/>
    <x v="0"/>
  </r>
  <r>
    <x v="80"/>
    <s v="Lisboa e Lisboa"/>
    <s v="Serviços de TI"/>
    <x v="3"/>
    <x v="1"/>
    <x v="4"/>
    <s v="Rhuan Carlos Batista"/>
    <m/>
    <m/>
    <s v="Nathalia Louiz"/>
    <n v="-290"/>
    <s v="Saída"/>
    <x v="0"/>
  </r>
  <r>
    <x v="80"/>
    <s v="Lisboa e Lisboa"/>
    <s v="DEDETIZAÇÃO"/>
    <x v="14"/>
    <x v="1"/>
    <x v="122"/>
    <s v="IDEAL DEDETIZADORA E DESENTUPIDORA"/>
    <m/>
    <m/>
    <s v="Nathalia Louiz"/>
    <n v="-280"/>
    <s v="Saída"/>
    <x v="0"/>
  </r>
  <r>
    <x v="81"/>
    <s v="Sarah Alves Lisboa"/>
    <s v="COMISSÃO"/>
    <x v="28"/>
    <x v="7"/>
    <x v="27"/>
    <s v="Thaynara Borges Pereira"/>
    <m/>
    <m/>
    <s v="Nathalia Louiz"/>
    <n v="-100"/>
    <s v="Saída"/>
    <x v="0"/>
  </r>
  <r>
    <x v="81"/>
    <s v="Sarah Alves Lisboa"/>
    <s v="COMISSÃO"/>
    <x v="28"/>
    <x v="7"/>
    <x v="72"/>
    <s v="EVANILZA ARAUJO MORAES"/>
    <m/>
    <m/>
    <s v="Nathalia Louiz"/>
    <n v="-100"/>
    <s v="Saída"/>
    <x v="0"/>
  </r>
  <r>
    <x v="81"/>
    <s v="Sarah Alves Lisboa"/>
    <s v="COMISSÃO"/>
    <x v="28"/>
    <x v="7"/>
    <x v="7"/>
    <s v="SARAH ALVES LISBOA"/>
    <m/>
    <m/>
    <s v="Nathalia Louiz"/>
    <n v="-100"/>
    <s v="Saída"/>
    <x v="0"/>
  </r>
  <r>
    <x v="81"/>
    <s v="Sarah Alves Lisboa"/>
    <s v="COMISSÃO"/>
    <x v="28"/>
    <x v="7"/>
    <x v="46"/>
    <s v="Laura Barbosa Marques"/>
    <m/>
    <m/>
    <s v="Nathalia Louiz"/>
    <n v="-100"/>
    <s v="Saída"/>
    <x v="0"/>
  </r>
  <r>
    <x v="81"/>
    <s v="Sarah Alves Lisboa"/>
    <s v="Confecção de contrato de trabalho"/>
    <x v="34"/>
    <x v="1"/>
    <x v="123"/>
    <s v="KARINE RODRIGUES DA SILVA / LAUDIMAR MARCIANO"/>
    <m/>
    <m/>
    <s v="Nathalia Louiz"/>
    <n v="-2000"/>
    <s v="Saída"/>
    <x v="0"/>
  </r>
  <r>
    <x v="81"/>
    <s v="Sarah Alves Lisboa"/>
    <s v="COMISSÃO"/>
    <x v="28"/>
    <x v="7"/>
    <x v="18"/>
    <s v="ISABELLA ALVIM BIACHINI"/>
    <m/>
    <m/>
    <s v="Nathalia Louiz"/>
    <n v="-100"/>
    <s v="Saída"/>
    <x v="0"/>
  </r>
  <r>
    <x v="81"/>
    <s v="Sarah Alves Lisboa"/>
    <s v="Cesta de despedida Isabella"/>
    <x v="11"/>
    <x v="1"/>
    <x v="124"/>
    <s v="CARLA SILVA (CESTAS)"/>
    <m/>
    <m/>
    <s v="Nathalia Louiz"/>
    <n v="-248"/>
    <s v="Saída"/>
    <x v="0"/>
  </r>
  <r>
    <x v="81"/>
    <s v="Sarah Alves Lisboa"/>
    <s v="COMISSÃO"/>
    <x v="28"/>
    <x v="7"/>
    <x v="32"/>
    <s v="Raffaela Nunes"/>
    <m/>
    <m/>
    <s v="Nathalia Louiz"/>
    <n v="-100"/>
    <s v="Saída"/>
    <x v="0"/>
  </r>
  <r>
    <x v="82"/>
    <s v="Sarah Alves Lisboa"/>
    <s v="DIÁRIAS - MANUTENÇÃO DO ESCRITÓRIO"/>
    <x v="9"/>
    <x v="1"/>
    <x v="15"/>
    <s v="ELIZANGELA FERREIRA DA SILVA"/>
    <m/>
    <m/>
    <s v="Nathalia Louiz"/>
    <n v="-340"/>
    <s v="Saída"/>
    <x v="0"/>
  </r>
  <r>
    <x v="82"/>
    <s v="Sarah Alves Lisboa"/>
    <s v="ANUIDADE 12X"/>
    <x v="2"/>
    <x v="2"/>
    <x v="62"/>
    <s v="ANA PEREIRA DA SILVA JESUS"/>
    <m/>
    <s v="AMPARA AO IDOSO"/>
    <s v="Nathalia Louiz"/>
    <n v="303.60000000000002"/>
    <s v="Entrada"/>
    <x v="1"/>
  </r>
  <r>
    <x v="82"/>
    <s v="Sarah Alves Lisboa"/>
    <s v="30% SOBRE A IMPLANTAÇÃO"/>
    <x v="2"/>
    <x v="2"/>
    <x v="125"/>
    <s v="DARLENE CAIXETA DOS SANTOS"/>
    <m/>
    <s v="BENEFÍCIO POR INCAPACIDADE"/>
    <s v="Thaynara Borges"/>
    <n v="1367.7"/>
    <s v="Entrada"/>
    <x v="1"/>
  </r>
  <r>
    <x v="82"/>
    <s v="Sarah Alves Lisboa"/>
    <s v="Abastecimento Combustível -  Sarah"/>
    <x v="27"/>
    <x v="4"/>
    <x v="126"/>
    <s v="POSTO 2824"/>
    <m/>
    <m/>
    <s v="Nathalia Louiz"/>
    <n v="-110"/>
    <s v="Saída"/>
    <x v="0"/>
  </r>
  <r>
    <x v="83"/>
    <s v="Sarah Alves Lisboa"/>
    <s v="PLANEJAMENTO"/>
    <x v="2"/>
    <x v="2"/>
    <x v="95"/>
    <s v="ISMAEL ALVES MADUREIRA"/>
    <m/>
    <m/>
    <s v="Nathalia Louiz"/>
    <n v="300"/>
    <s v="Entrada"/>
    <x v="2"/>
  </r>
  <r>
    <x v="84"/>
    <s v="Lisboa e Lisboa"/>
    <s v="Taxa de Condomínio Sala B-74"/>
    <x v="10"/>
    <x v="1"/>
    <x v="16"/>
    <s v="ATON BUSINESS STYLE"/>
    <m/>
    <m/>
    <s v="Thaynara Borges"/>
    <n v="-1271.82"/>
    <s v="Saída"/>
    <x v="0"/>
  </r>
  <r>
    <x v="84"/>
    <s v="Lisboa e Lisboa"/>
    <s v="Taxa de Condomínio Sala B-73"/>
    <x v="10"/>
    <x v="1"/>
    <x v="16"/>
    <s v="ATON BUSINESS STYLE"/>
    <m/>
    <m/>
    <s v="Thaynara Borges"/>
    <n v="-1271.26"/>
    <s v="Saída"/>
    <x v="0"/>
  </r>
  <r>
    <x v="84"/>
    <s v="Lisboa e Lisboa"/>
    <s v="Taxa de Condomínio Vaga Garagem A-82"/>
    <x v="10"/>
    <x v="1"/>
    <x v="16"/>
    <s v="ATON BUSINESS STYLE"/>
    <m/>
    <m/>
    <s v="Thaynara Borges"/>
    <n v="-52.41"/>
    <s v="Saída"/>
    <x v="0"/>
  </r>
  <r>
    <x v="84"/>
    <s v="Lisboa e Lisboa"/>
    <s v="Acerto estágio"/>
    <x v="15"/>
    <x v="6"/>
    <x v="18"/>
    <s v="ISABELLA ALVIM BIACHINI"/>
    <m/>
    <m/>
    <s v="Thaynara Borges"/>
    <n v="-519.96"/>
    <s v="Saída"/>
    <x v="0"/>
  </r>
  <r>
    <x v="84"/>
    <s v="Lisboa e Lisboa"/>
    <s v="Cartão de Crédito Dr Ivanilldo"/>
    <x v="6"/>
    <x v="1"/>
    <x v="5"/>
    <s v="BANCO ITAU"/>
    <m/>
    <m/>
    <s v="Thaynara Borges"/>
    <n v="-3059.88"/>
    <s v="Saída"/>
    <x v="0"/>
  </r>
  <r>
    <x v="84"/>
    <s v="Lisboa e Lisboa"/>
    <s v="Taxa de Condomínio Vaga Garagem A-81"/>
    <x v="10"/>
    <x v="1"/>
    <x v="16"/>
    <s v="ATON BUSINESS STYLE"/>
    <m/>
    <m/>
    <s v="Thaynara Borges"/>
    <n v="-52.41"/>
    <s v="Saída"/>
    <x v="0"/>
  </r>
  <r>
    <x v="84"/>
    <s v="Sarah Alves Lisboa"/>
    <s v="Comissão Karine sobre implantação"/>
    <x v="28"/>
    <x v="7"/>
    <x v="125"/>
    <s v="DARLENE CAIXETA DOS SANTOS"/>
    <m/>
    <s v="BENEFÍCIO POR INCAPACIDADE"/>
    <s v="Thaynara Borges"/>
    <n v="-410.31"/>
    <s v="Saída"/>
    <x v="0"/>
  </r>
  <r>
    <x v="84"/>
    <s v="Lisboa e Lisboa"/>
    <s v="Celular"/>
    <x v="8"/>
    <x v="1"/>
    <x v="14"/>
    <s v="VIVO"/>
    <m/>
    <m/>
    <s v="Thaynara Borges"/>
    <n v="-137.37"/>
    <s v="Saída"/>
    <x v="0"/>
  </r>
  <r>
    <x v="84"/>
    <s v="Lisboa e Lisboa"/>
    <s v="Taxa de Condomínio Vaga Garagem A-78"/>
    <x v="10"/>
    <x v="1"/>
    <x v="16"/>
    <s v="ATON BUSINESS STYLE"/>
    <m/>
    <m/>
    <s v="Thaynara Borges"/>
    <n v="-52.41"/>
    <s v="Saída"/>
    <x v="0"/>
  </r>
  <r>
    <x v="84"/>
    <s v="Lisboa e Lisboa"/>
    <s v="Taxa de Condomínio Vaga Garagem A-88"/>
    <x v="10"/>
    <x v="1"/>
    <x v="16"/>
    <s v="ATON BUSINESS STYLE"/>
    <m/>
    <m/>
    <s v="Thaynara Borges"/>
    <n v="-52.41"/>
    <s v="Saída"/>
    <x v="0"/>
  </r>
  <r>
    <x v="84"/>
    <s v="Lisboa e Lisboa"/>
    <s v="Taxa de Condomínio Vaga Garagem A-83"/>
    <x v="10"/>
    <x v="1"/>
    <x v="16"/>
    <s v="ATON BUSINESS STYLE"/>
    <m/>
    <m/>
    <s v="Thaynara Borges"/>
    <n v="-52.41"/>
    <s v="Saída"/>
    <x v="0"/>
  </r>
  <r>
    <x v="85"/>
    <s v="Sarah Alves Lisboa"/>
    <s v="Sucumbência"/>
    <x v="2"/>
    <x v="2"/>
    <x v="54"/>
    <s v="LEILA DIAS MARTINS"/>
    <m/>
    <s v="SUSPENÇAO DE ALTA MEDICA CONCEDIDA EM APOSENTADORIA POR INVALIDEZ"/>
    <s v="Thaynara Borges"/>
    <n v="1286.8699999999999"/>
    <s v="Entrada"/>
    <x v="1"/>
  </r>
  <r>
    <x v="85"/>
    <s v="Lisboa e Lisboa"/>
    <s v="CONTRATO 9621661899"/>
    <x v="8"/>
    <x v="1"/>
    <x v="98"/>
    <s v="VIVO FIXO"/>
    <m/>
    <m/>
    <s v="Thaynara Borges"/>
    <n v="-251.58"/>
    <s v="Saída"/>
    <x v="0"/>
  </r>
  <r>
    <x v="85"/>
    <s v="Cartão de Crédito Dra Thaynara"/>
    <s v="HTM*ALINEDECKER (Curso Liderança)"/>
    <x v="12"/>
    <x v="1"/>
    <x v="47"/>
    <s v="C6"/>
    <m/>
    <m/>
    <s v="Thaynara Borges"/>
    <n v="-249.21"/>
    <s v="Saída"/>
    <x v="0"/>
  </r>
  <r>
    <x v="85"/>
    <s v="Cartão de Crédito Dra Thaynara"/>
    <s v="GOOGLE GSUITE_PREVLEX."/>
    <x v="12"/>
    <x v="1"/>
    <x v="47"/>
    <s v="C6"/>
    <m/>
    <m/>
    <s v="Thaynara Borges"/>
    <n v="-126"/>
    <s v="Saída"/>
    <x v="0"/>
  </r>
  <r>
    <x v="85"/>
    <s v="Cartão de Crédito Dra Thaynara"/>
    <s v="Cálculo Jurídico"/>
    <x v="12"/>
    <x v="1"/>
    <x v="47"/>
    <s v="C6"/>
    <m/>
    <m/>
    <s v="Thaynara Borges"/>
    <n v="-120.29"/>
    <s v="Saída"/>
    <x v="0"/>
  </r>
  <r>
    <x v="85"/>
    <s v="Lisboa e Lisboa"/>
    <s v="2 Benefícios parcelados em 6x"/>
    <x v="2"/>
    <x v="2"/>
    <x v="10"/>
    <s v="ISABEL PEREIRA SOUSA"/>
    <m/>
    <s v="APOSENTADORIA POR IDADE"/>
    <s v="Thaynara Borges"/>
    <n v="500"/>
    <s v="Entrada"/>
    <x v="1"/>
  </r>
  <r>
    <x v="85"/>
    <s v="Cartão de Crédito Dra Thaynara"/>
    <s v="ASTREA"/>
    <x v="12"/>
    <x v="1"/>
    <x v="47"/>
    <s v="C6"/>
    <m/>
    <m/>
    <s v="Thaynara Borges"/>
    <n v="-456.75"/>
    <s v="Saída"/>
    <x v="0"/>
  </r>
  <r>
    <x v="85"/>
    <s v="Cartão de Crédito Dra Thaynara"/>
    <s v="Cartão de crédito Dra Thaynara"/>
    <x v="6"/>
    <x v="1"/>
    <x v="47"/>
    <s v="C6"/>
    <m/>
    <m/>
    <s v="Thaynara Borges"/>
    <n v="952.25"/>
    <s v="Entrada"/>
    <x v="1"/>
  </r>
  <r>
    <x v="85"/>
    <s v="Lisboa e Lisboa"/>
    <s v="CONTRATO 9309114969"/>
    <x v="8"/>
    <x v="1"/>
    <x v="98"/>
    <s v="VIVO FIXO"/>
    <m/>
    <m/>
    <s v="Thaynara Borges"/>
    <n v="-119.99"/>
    <s v="Saída"/>
    <x v="0"/>
  </r>
  <r>
    <x v="86"/>
    <s v="Sarah Alves Lisboa"/>
    <s v="40% SOB IMPLANTAÇÃO DE BELEFICIO"/>
    <x v="2"/>
    <x v="2"/>
    <x v="127"/>
    <s v="PATRICIA DE GODOI MACHADO"/>
    <m/>
    <s v="BENEFÍCIO POR INCAPACIDADE"/>
    <s v="Nathalia Louiz"/>
    <n v="1868"/>
    <s v="Entrada"/>
    <x v="1"/>
  </r>
  <r>
    <x v="86"/>
    <s v="Lisboa e Lisboa"/>
    <s v="30% sobre os atrasados"/>
    <x v="2"/>
    <x v="2"/>
    <x v="54"/>
    <s v="LEILA DIAS MARTINS"/>
    <m/>
    <s v="SUSPENÇAO DE ALTA MEDICA CONCEDIDA EM APOSENTADORIA POR INVALIDEZ"/>
    <s v="Thaynara Borges"/>
    <n v="3980.07"/>
    <s v="Entrada"/>
    <x v="1"/>
  </r>
  <r>
    <x v="87"/>
    <s v="Lisboa e Lisboa"/>
    <s v="IEL Estagiárias"/>
    <x v="13"/>
    <x v="6"/>
    <x v="21"/>
    <s v="IEL"/>
    <m/>
    <m/>
    <s v="Thaynara Borges"/>
    <n v="-106.73"/>
    <s v="Saída"/>
    <x v="0"/>
  </r>
  <r>
    <x v="87"/>
    <s v="Sarah Alves Lisboa"/>
    <s v="PAGAMENTO DE HONORÁRIOS"/>
    <x v="2"/>
    <x v="2"/>
    <x v="96"/>
    <s v="VALDIR DE PAIVA BRASIL"/>
    <m/>
    <s v="PENSÃO POR MORTE"/>
    <s v="Nathalia Louiz"/>
    <n v="300"/>
    <s v="Entrada"/>
    <x v="1"/>
  </r>
  <r>
    <x v="87"/>
    <s v="Sarah Alves Lisboa"/>
    <s v="Tarifa Bancária"/>
    <x v="4"/>
    <x v="3"/>
    <x v="22"/>
    <s v="BANCO DO BRASIL S/A"/>
    <m/>
    <m/>
    <s v="Thaynara Borges"/>
    <n v="-15"/>
    <s v="Saída"/>
    <x v="0"/>
  </r>
  <r>
    <x v="87"/>
    <s v="Sarah Alves Lisboa"/>
    <s v="Retirada"/>
    <x v="22"/>
    <x v="8"/>
    <x v="27"/>
    <s v="Thaynara Borges Pereira"/>
    <m/>
    <m/>
    <s v="Thaynara Borges"/>
    <n v="-8000"/>
    <s v="Saída"/>
    <x v="0"/>
  </r>
  <r>
    <x v="88"/>
    <s v="Sarah Alves Lisboa"/>
    <s v="DIÁRIAS - MANUTENÇÃO DO ESCRITÓRIO"/>
    <x v="9"/>
    <x v="1"/>
    <x v="15"/>
    <s v="ELIZANGELA FERREIRA DA SILVA"/>
    <m/>
    <m/>
    <s v="Nathalia Louiz"/>
    <n v="-340"/>
    <s v="Saída"/>
    <x v="0"/>
  </r>
  <r>
    <x v="89"/>
    <s v="Sarah Alves Lisboa"/>
    <s v="Comissão 70% Vanessa: principal e sucumbência (valor nao saiu, Vanessa descontou ao transferir)"/>
    <x v="28"/>
    <x v="7"/>
    <x v="54"/>
    <s v="LEILA DIAS MARTINS"/>
    <m/>
    <s v="SUSPENÇAO DE ALTA MEDICA CONCEDIDA EM APOSENTADORIA POR INVALIDEZ"/>
    <s v="Thaynara Borges"/>
    <n v="-3328.56"/>
    <s v="Saída"/>
    <x v="0"/>
  </r>
  <r>
    <x v="89"/>
    <s v="Sarah Alves Lisboa"/>
    <s v="HONORÁRIOS DE SUCUMBÊNCIA"/>
    <x v="2"/>
    <x v="2"/>
    <x v="128"/>
    <s v="Clóvis Ribeiro de Morais Neto"/>
    <m/>
    <s v="AUXILIO DOENÇA"/>
    <s v="Nathalia Louiz"/>
    <n v="24950.35"/>
    <s v="Entrada"/>
    <x v="1"/>
  </r>
  <r>
    <x v="89"/>
    <s v="Sarah Alves Lisboa"/>
    <s v="IMPOSTO SOBRE A NF GERADA (HONORARIOS SOMENTE DA VANESSA)"/>
    <x v="2"/>
    <x v="2"/>
    <x v="121"/>
    <s v="ELON NOLETO ROCHA"/>
    <m/>
    <s v="ELON NOLETO ROCHA x GOIASPREV"/>
    <s v="Thaynara Borges"/>
    <n v="5306.09"/>
    <s v="Entrada"/>
    <x v="1"/>
  </r>
  <r>
    <x v="89"/>
    <s v="Sarah Alves Lisboa"/>
    <s v="Comissão 70% Vanessa (valor nao entrou, Vanessa descontou ao nos passar)"/>
    <x v="28"/>
    <x v="7"/>
    <x v="129"/>
    <s v="HERMINIO ALVES DO NASCIMENTO"/>
    <m/>
    <s v="APOSENTADORIA ESPECIAL"/>
    <s v="Thaynara Borges"/>
    <n v="-7084.58"/>
    <s v="Saída"/>
    <x v="0"/>
  </r>
  <r>
    <x v="90"/>
    <s v="Sarah Alves Lisboa"/>
    <s v="INDICAÇÃO PARA DR SILVIO CARNEIRO ROSA"/>
    <x v="28"/>
    <x v="7"/>
    <x v="130"/>
    <s v="LUENE DE OLIVEIRA GOMES"/>
    <m/>
    <m/>
    <s v="Thaynara Borges"/>
    <n v="-280"/>
    <s v="Saída"/>
    <x v="0"/>
  </r>
  <r>
    <x v="90"/>
    <s v="Sarah Alves Lisboa"/>
    <s v="Cartão de Crédito Dra Thaynara"/>
    <x v="6"/>
    <x v="1"/>
    <x v="47"/>
    <s v="C6"/>
    <m/>
    <m/>
    <s v="Thaynara Borges"/>
    <n v="-952.25"/>
    <s v="Saída"/>
    <x v="0"/>
  </r>
  <r>
    <x v="90"/>
    <s v="Sarah Alves Lisboa"/>
    <s v="Comissão 20% da RPV para Dra Laiser"/>
    <x v="28"/>
    <x v="7"/>
    <x v="131"/>
    <s v="MARIA DO ROSARIO ALVES 169.892.791-68"/>
    <m/>
    <s v="PENSÃO POR MORTE"/>
    <s v="Thaynara Borges"/>
    <n v="-2520.44"/>
    <s v="Saída"/>
    <x v="0"/>
  </r>
  <r>
    <x v="90"/>
    <s v="Lisboa e Lisboa"/>
    <s v="25% sobre a RPV (parceria laiser)"/>
    <x v="2"/>
    <x v="2"/>
    <x v="131"/>
    <s v="MARIA DO ROSARIO ALVES 169.892.791-68"/>
    <m/>
    <s v="PENSÃO POR MORTE"/>
    <s v="Thaynara Borges"/>
    <n v="14462.05"/>
    <s v="Entrada"/>
    <x v="1"/>
  </r>
  <r>
    <x v="90"/>
    <s v="Sarah Alves Lisboa"/>
    <s v="Consulta"/>
    <x v="2"/>
    <x v="2"/>
    <x v="130"/>
    <s v="LUENE DE OLIVEIRA GOMES"/>
    <m/>
    <m/>
    <s v="Thaynara Borges"/>
    <n v="400"/>
    <s v="Entrada"/>
    <x v="1"/>
  </r>
  <r>
    <x v="90"/>
    <s v="Lisboa e Lisboa"/>
    <s v="50% SOB ATRASADOS - RPV"/>
    <x v="2"/>
    <x v="2"/>
    <x v="120"/>
    <s v="SIMONE BERNARDES DA SILVA SANTANA"/>
    <m/>
    <s v="APOSENTADORIA RURAL"/>
    <s v="Nathalia Louiz"/>
    <n v="6886.99"/>
    <s v="Entrada"/>
    <x v="1"/>
  </r>
  <r>
    <x v="90"/>
    <s v="Lisboa e Lisboa"/>
    <s v="50% sobre a RPV (-70% Wanessa = 3.484,335)"/>
    <x v="2"/>
    <x v="2"/>
    <x v="129"/>
    <s v="HERMINIO ALVES DO NASCIMENTO"/>
    <m/>
    <s v="APOSENTADORIA ESPECIAL"/>
    <s v="Nathalia Louiz"/>
    <n v="11614.45"/>
    <s v="Entrada"/>
    <x v="1"/>
  </r>
  <r>
    <x v="91"/>
    <s v="Sarah Alves Lisboa"/>
    <s v="Limpeza e manutenção "/>
    <x v="9"/>
    <x v="1"/>
    <x v="15"/>
    <s v="ELIZANGELA FERREIRA DA SILVA"/>
    <m/>
    <m/>
    <s v="Nathalia Louiz"/>
    <n v="-170"/>
    <s v="Saída"/>
    <x v="0"/>
  </r>
  <r>
    <x v="92"/>
    <s v="Thaynara Borges Pereira"/>
    <s v="Parceria com Dr. Silvio"/>
    <x v="2"/>
    <x v="2"/>
    <x v="59"/>
    <s v="ANTONIO PEREIRA SOBRINHO"/>
    <m/>
    <m/>
    <s v="Thaynara Borges"/>
    <n v="354"/>
    <s v="Entrada"/>
    <x v="2"/>
  </r>
  <r>
    <x v="93"/>
    <s v="Lisboa e Lisboa"/>
    <s v="20% pela parceria com Dra. Nubia"/>
    <x v="2"/>
    <x v="2"/>
    <x v="36"/>
    <s v="GILNETH VIDAL DOS SANTOS"/>
    <m/>
    <s v="ANALISAR PROCESSOS"/>
    <s v="Thaynara Borges"/>
    <n v="119.35"/>
    <s v="Entrada"/>
    <x v="2"/>
  </r>
  <r>
    <x v="94"/>
    <s v="Lisboa e Lisboa"/>
    <s v="IPTU - BOX 83"/>
    <x v="29"/>
    <x v="1"/>
    <x v="71"/>
    <s v="PREFEITURA MUNICIPAL DE GOIÂNIA"/>
    <m/>
    <m/>
    <s v="Nathalia Louiz"/>
    <n v="-42.74"/>
    <s v="Saída"/>
    <x v="0"/>
  </r>
  <r>
    <x v="94"/>
    <s v="Lisboa e Lisboa"/>
    <s v="INSS"/>
    <x v="19"/>
    <x v="6"/>
    <x v="38"/>
    <s v="RECEITA FEDERAL"/>
    <m/>
    <m/>
    <s v="Thaynara Borges"/>
    <n v="-2479.9499999999998"/>
    <s v="Saída"/>
    <x v="0"/>
  </r>
  <r>
    <x v="94"/>
    <s v="Lisboa e Lisboa"/>
    <s v="3 Benefícios em Parcela Única"/>
    <x v="2"/>
    <x v="2"/>
    <x v="132"/>
    <s v="CAIRO OSMUNDO DA SILVA"/>
    <m/>
    <s v="APOSENTADORIA RURAL"/>
    <s v="Nathalia Louiz"/>
    <n v="6879"/>
    <s v="Entrada"/>
    <x v="1"/>
  </r>
  <r>
    <x v="94"/>
    <s v="Lisboa e Lisboa"/>
    <s v="IPTU - SALA B74"/>
    <x v="29"/>
    <x v="1"/>
    <x v="71"/>
    <s v="PREFEITURA MUNICIPAL DE GOIÂNIA"/>
    <m/>
    <m/>
    <s v="Nathalia Louiz"/>
    <n v="-125.52"/>
    <s v="Saída"/>
    <x v="0"/>
  </r>
  <r>
    <x v="94"/>
    <s v="Lisboa e Lisboa"/>
    <s v="IPTU - BOX 82"/>
    <x v="29"/>
    <x v="1"/>
    <x v="71"/>
    <s v="PREFEITURA MUNICIPAL DE GOIÂNIA"/>
    <s v=""/>
    <m/>
    <s v="Nathalia Louiz"/>
    <n v="-42.74"/>
    <s v="Saída"/>
    <x v="0"/>
  </r>
  <r>
    <x v="94"/>
    <s v="Lisboa e Lisboa"/>
    <s v="Água"/>
    <x v="17"/>
    <x v="1"/>
    <x v="34"/>
    <s v="SANEAGO GOIAS S/A"/>
    <m/>
    <m/>
    <s v="Thaynara Borges"/>
    <n v="-134.25"/>
    <s v="Saída"/>
    <x v="0"/>
  </r>
  <r>
    <x v="94"/>
    <s v="Lisboa e Lisboa"/>
    <s v="IPTU - BOX 81"/>
    <x v="29"/>
    <x v="1"/>
    <x v="71"/>
    <s v="PREFEITURA MUNICIPAL DE GOIÂNIA"/>
    <m/>
    <m/>
    <s v="Nathalia Louiz"/>
    <n v="-42.74"/>
    <s v="Saída"/>
    <x v="0"/>
  </r>
  <r>
    <x v="94"/>
    <s v="Lisboa e Lisboa"/>
    <s v="FGTS"/>
    <x v="18"/>
    <x v="6"/>
    <x v="133"/>
    <s v="FGTS"/>
    <m/>
    <m/>
    <s v="Thaynara Borges"/>
    <n v="-430.52"/>
    <s v="Saída"/>
    <x v="0"/>
  </r>
  <r>
    <x v="94"/>
    <s v="Lisboa e Lisboa"/>
    <s v="IPTU - BOX 78"/>
    <x v="29"/>
    <x v="1"/>
    <x v="71"/>
    <s v="PREFEITURA MUNICIPAL DE GOIÂNIA"/>
    <m/>
    <m/>
    <s v="Nathalia Louiz"/>
    <n v="-42.74"/>
    <s v="Saída"/>
    <x v="0"/>
  </r>
  <r>
    <x v="94"/>
    <s v="Lisboa e Lisboa"/>
    <s v="IPTU - BOX 88"/>
    <x v="29"/>
    <x v="1"/>
    <x v="71"/>
    <s v="PREFEITURA MUNICIPAL DE GOIÂNIA"/>
    <m/>
    <m/>
    <s v="Nathalia Louiz"/>
    <n v="-42.74"/>
    <s v="Saída"/>
    <x v="0"/>
  </r>
  <r>
    <x v="94"/>
    <s v="Lisboa e Lisboa"/>
    <s v="Simples Nacional"/>
    <x v="20"/>
    <x v="7"/>
    <x v="39"/>
    <s v="Simples Nacional"/>
    <m/>
    <m/>
    <s v="Thaynara Borges"/>
    <n v="-4804.53"/>
    <s v="Saída"/>
    <x v="0"/>
  </r>
  <r>
    <x v="95"/>
    <s v="Sarah Alves Lisboa"/>
    <s v="Suprimentos"/>
    <x v="11"/>
    <x v="1"/>
    <x v="134"/>
    <s v="SUPERMERCADO MOREIRA"/>
    <m/>
    <m/>
    <s v="Nathalia Louiz"/>
    <n v="-49.85"/>
    <s v="Saída"/>
    <x v="0"/>
  </r>
  <r>
    <x v="95"/>
    <s v="Sarah Alves Lisboa"/>
    <s v="Hospedagem"/>
    <x v="5"/>
    <x v="4"/>
    <x v="135"/>
    <s v="IMPERIO VIAGEM E TURISMO"/>
    <m/>
    <m/>
    <s v="Nathalia Louiz"/>
    <n v="-664.35"/>
    <s v="Saída"/>
    <x v="0"/>
  </r>
  <r>
    <x v="96"/>
    <s v="Lisboa e Lisboa"/>
    <s v="Identidade Visual"/>
    <x v="27"/>
    <x v="4"/>
    <x v="136"/>
    <s v="SOMMA DESIGN STUDIO LTDA"/>
    <m/>
    <m/>
    <s v="Nathalia Louiz"/>
    <n v="-4371.84"/>
    <s v="Saída"/>
    <x v="0"/>
  </r>
  <r>
    <x v="96"/>
    <s v="Thaynara Borges Pereira"/>
    <s v="DIÁRIAS - MANUTENÇÃO DO ESCRITÓRIO"/>
    <x v="9"/>
    <x v="1"/>
    <x v="15"/>
    <s v="ELIZANGELA FERREIRA DA SILVA"/>
    <m/>
    <m/>
    <s v="Nathalia Louiz"/>
    <n v="-340"/>
    <s v="Saída"/>
    <x v="0"/>
  </r>
  <r>
    <x v="97"/>
    <s v="Sarah Alves Lisboa"/>
    <s v="Certidão de Militância"/>
    <x v="7"/>
    <x v="5"/>
    <x v="70"/>
    <s v="SANDRA MARIA SOARES"/>
    <m/>
    <s v="RESTABELECIMENTO AUXILIO DOENÇA"/>
    <s v="Nathalia Louiz"/>
    <n v="-21.73"/>
    <s v="Saída"/>
    <x v="0"/>
  </r>
  <r>
    <x v="97"/>
    <s v="Sarah Alves Lisboa"/>
    <s v="Certidão de Militância"/>
    <x v="7"/>
    <x v="5"/>
    <x v="64"/>
    <s v="AMARILDO DE MOURA"/>
    <m/>
    <s v="APOSENTADORIA"/>
    <s v="Nathalia Louiz"/>
    <n v="-21.73"/>
    <s v="Saída"/>
    <x v="0"/>
  </r>
  <r>
    <x v="97"/>
    <s v="Lisboa e Lisboa"/>
    <s v="Suprimentos"/>
    <x v="26"/>
    <x v="1"/>
    <x v="137"/>
    <s v="R3 SUPRIMENTOS CORPORATIVOS LTDA"/>
    <m/>
    <m/>
    <s v="Nathalia Louiz"/>
    <n v="-501.99"/>
    <s v="Saída"/>
    <x v="0"/>
  </r>
  <r>
    <x v="97"/>
    <s v="Sarah Alves Lisboa"/>
    <s v="Certidão de Militância"/>
    <x v="7"/>
    <x v="5"/>
    <x v="2"/>
    <s v="MARIA DA SILVA NOGUEIRA"/>
    <m/>
    <s v="ATRASADOS"/>
    <s v="Nathalia Louiz"/>
    <n v="-21.73"/>
    <s v="Saída"/>
    <x v="0"/>
  </r>
  <r>
    <x v="97"/>
    <s v="Sarah Alves Lisboa"/>
    <s v="ALIMENTAÇÃO VIAGEM"/>
    <x v="11"/>
    <x v="1"/>
    <x v="138"/>
    <s v="JERIVA"/>
    <m/>
    <m/>
    <s v="Nathalia Louiz"/>
    <n v="-39.6"/>
    <s v="Saída"/>
    <x v="0"/>
  </r>
  <r>
    <x v="97"/>
    <s v="Sarah Alves Lisboa"/>
    <s v="COMBUSTIVEL VIAGEM"/>
    <x v="31"/>
    <x v="4"/>
    <x v="139"/>
    <s v="POSTO SHUKRAN"/>
    <m/>
    <m/>
    <s v="Nathalia Louiz"/>
    <n v="-143.57"/>
    <s v="Saída"/>
    <x v="0"/>
  </r>
  <r>
    <x v="97"/>
    <s v="Sarah Alves Lisboa"/>
    <s v="ALIMENTAÇÃO - VIAGEM"/>
    <x v="11"/>
    <x v="1"/>
    <x v="134"/>
    <s v="SUPERMERCADO MOREIRA"/>
    <m/>
    <m/>
    <s v="Nathalia Louiz"/>
    <n v="-12.96"/>
    <s v="Saída"/>
    <x v="0"/>
  </r>
  <r>
    <x v="98"/>
    <s v="Sarah Alves Lisboa"/>
    <s v="COMBUSTIVEL VIAGEM"/>
    <x v="31"/>
    <x v="4"/>
    <x v="140"/>
    <s v="POSTO GM"/>
    <m/>
    <m/>
    <s v="Nathalia Louiz"/>
    <n v="-122.3"/>
    <s v="Saída"/>
    <x v="0"/>
  </r>
  <r>
    <x v="98"/>
    <s v="Sarah Alves Lisboa"/>
    <s v="30% sobre a RPV"/>
    <x v="2"/>
    <x v="2"/>
    <x v="141"/>
    <s v="WANADY JARBAS GRACIO SOARES"/>
    <m/>
    <s v="AUXILIO DOENÇA"/>
    <s v="Thaynara Borges"/>
    <n v="435.79"/>
    <s v="Entrada"/>
    <x v="1"/>
  </r>
  <r>
    <x v="98"/>
    <s v="Lisboa e Lisboa"/>
    <s v="Energia contrato 0067122721"/>
    <x v="21"/>
    <x v="1"/>
    <x v="94"/>
    <s v="EQUATORIAL GOIAS 0067122721"/>
    <m/>
    <m/>
    <s v="Thaynara Borges"/>
    <n v="-643.27"/>
    <s v="Saída"/>
    <x v="0"/>
  </r>
  <r>
    <x v="98"/>
    <s v="Sarah Alves Lisboa"/>
    <s v="COMBUSTIVEL VIAGEM"/>
    <x v="31"/>
    <x v="4"/>
    <x v="140"/>
    <s v="POSTO GM"/>
    <m/>
    <m/>
    <s v="Nathalia Louiz"/>
    <n v="-6"/>
    <s v="Saída"/>
    <x v="0"/>
  </r>
  <r>
    <x v="98"/>
    <s v="Lisboa e Lisboa"/>
    <s v="Energia contrato 0067122663"/>
    <x v="21"/>
    <x v="1"/>
    <x v="91"/>
    <s v="EQUATORIAL GOIAS 0067122663"/>
    <m/>
    <m/>
    <s v="Thaynara Borges"/>
    <n v="-538.15"/>
    <s v="Saída"/>
    <x v="0"/>
  </r>
  <r>
    <x v="98"/>
    <s v="Sarah Alves Lisboa"/>
    <s v="20% sob implantação"/>
    <x v="2"/>
    <x v="2"/>
    <x v="142"/>
    <s v="PAULA EMILYE ROSA"/>
    <m/>
    <s v="SALÁRIO MATERNIDADE"/>
    <s v="Nathalia Louiz"/>
    <n v="1396.65"/>
    <s v="Entrada"/>
    <x v="1"/>
  </r>
  <r>
    <x v="99"/>
    <s v="Sarah Alves Lisboa"/>
    <s v="Salário"/>
    <x v="15"/>
    <x v="6"/>
    <x v="69"/>
    <s v="Nathalia Louiz Alves Vigilato"/>
    <m/>
    <m/>
    <s v="Nathalia Louiz"/>
    <n v="-1518"/>
    <s v="Saída"/>
    <x v="0"/>
  </r>
  <r>
    <x v="99"/>
    <s v="Lisboa e Lisboa"/>
    <s v="Rescisão Contratual"/>
    <x v="15"/>
    <x v="6"/>
    <x v="143"/>
    <s v="Katyucia Gomes"/>
    <m/>
    <m/>
    <s v="Thaynara Borges"/>
    <n v="-3748.74"/>
    <s v="Saída"/>
    <x v="0"/>
  </r>
  <r>
    <x v="99"/>
    <s v="Thaynara Borges Pereira"/>
    <s v="30% Dr Silvio"/>
    <x v="28"/>
    <x v="7"/>
    <x v="142"/>
    <s v="PAULA EMILYE ROSA"/>
    <m/>
    <s v="SALÁRIO MATERNIDADE"/>
    <s v="Nathalia Louiz"/>
    <n v="-418.99"/>
    <s v="Saída"/>
    <x v="0"/>
  </r>
  <r>
    <x v="99"/>
    <s v="Lisboa e Lisboa"/>
    <s v="FGTS DE RESCISÃO"/>
    <x v="19"/>
    <x v="6"/>
    <x v="144"/>
    <s v="INSS - INSTITUTO NACIONAL DO SEGURO SOCIAL"/>
    <m/>
    <m/>
    <s v="Nathalia Louiz"/>
    <n v="-303.33"/>
    <s v="Saída"/>
    <x v="0"/>
  </r>
  <r>
    <x v="99"/>
    <s v="Sarah Alves Lisboa"/>
    <s v="Retirada"/>
    <x v="22"/>
    <x v="8"/>
    <x v="27"/>
    <s v="Thaynara Borges Pereira"/>
    <m/>
    <m/>
    <s v="Thaynara Borges"/>
    <n v="-3648.98"/>
    <s v="Saída"/>
    <x v="0"/>
  </r>
  <r>
    <x v="99"/>
    <s v="Lisboa e Lisboa"/>
    <s v="Bolsa Estagio"/>
    <x v="13"/>
    <x v="6"/>
    <x v="46"/>
    <s v="Laura Barbosa Marques"/>
    <m/>
    <m/>
    <s v="Thaynara Borges"/>
    <n v="-1300"/>
    <s v="Saída"/>
    <x v="0"/>
  </r>
  <r>
    <x v="99"/>
    <s v="Thaynara Borges Pereira"/>
    <s v="Parcelas - parceria Dr Silvio"/>
    <x v="2"/>
    <x v="2"/>
    <x v="40"/>
    <s v="GLEYCIANNE RIBEIRO DE SOUZA CABRAL"/>
    <m/>
    <s v="DIVÓRCIO CONSENSUAL C/C REGULAMENTAÇÃO DE GUARDA E ALIMENTOS"/>
    <s v="Thaynara Borges"/>
    <n v="150"/>
    <s v="Entrada"/>
    <x v="1"/>
  </r>
  <r>
    <x v="99"/>
    <s v="Lisboa e Lisboa"/>
    <s v="DÍVIDA DO SIMPLES NACIONAL"/>
    <x v="20"/>
    <x v="7"/>
    <x v="39"/>
    <s v="Simples Nacional"/>
    <m/>
    <m/>
    <s v="Nathalia Louiz"/>
    <n v="-3074.22"/>
    <s v="Saída"/>
    <x v="0"/>
  </r>
  <r>
    <x v="99"/>
    <s v="Lisboa e Lisboa"/>
    <s v="Salário"/>
    <x v="15"/>
    <x v="6"/>
    <x v="37"/>
    <s v="Nina Araujo"/>
    <m/>
    <m/>
    <s v="Thaynara Borges"/>
    <n v="-3195.89"/>
    <s v="Saída"/>
    <x v="0"/>
  </r>
  <r>
    <x v="99"/>
    <s v="Sarah Alves Lisboa"/>
    <s v="Comissão evento de Brasilia"/>
    <x v="28"/>
    <x v="7"/>
    <x v="46"/>
    <s v="Laura Barbosa Marques"/>
    <m/>
    <m/>
    <s v="Thaynara Borges"/>
    <n v="-200"/>
    <s v="Saída"/>
    <x v="0"/>
  </r>
  <r>
    <x v="99"/>
    <s v="Sarah Alves Lisboa"/>
    <s v="TAXA DE TED (4 operações de R$12,70)"/>
    <x v="30"/>
    <x v="9"/>
    <x v="5"/>
    <s v="BANCO ITAU"/>
    <m/>
    <m/>
    <s v="Nathalia Louiz"/>
    <n v="-50.8"/>
    <s v="Saída"/>
    <x v="0"/>
  </r>
  <r>
    <x v="99"/>
    <s v="Lisboa e Lisboa"/>
    <s v="Salário"/>
    <x v="15"/>
    <x v="6"/>
    <x v="32"/>
    <s v="Raffaela Nunes"/>
    <m/>
    <m/>
    <s v="Thaynara Borges"/>
    <n v="-2570.6"/>
    <s v="Saída"/>
    <x v="0"/>
  </r>
  <r>
    <x v="99"/>
    <s v="Sarah Alves Lisboa"/>
    <s v="Retirada"/>
    <x v="22"/>
    <x v="8"/>
    <x v="7"/>
    <s v="Sarah Alves Lisboa"/>
    <m/>
    <m/>
    <s v="Thaynara Borges"/>
    <n v="-6148.98"/>
    <s v="Saída"/>
    <x v="0"/>
  </r>
  <r>
    <x v="99"/>
    <s v="Lisboa e Lisboa"/>
    <s v="PRÓ-LABORE"/>
    <x v="23"/>
    <x v="8"/>
    <x v="7"/>
    <s v="Sarah Alves Lisboa"/>
    <m/>
    <m/>
    <s v="Thaynara Borges"/>
    <n v="-1351.02"/>
    <s v="Saída"/>
    <x v="0"/>
  </r>
  <r>
    <x v="99"/>
    <s v="Lisboa e Lisboa"/>
    <s v="PRÓ-LABORE"/>
    <x v="23"/>
    <x v="8"/>
    <x v="27"/>
    <s v="Thaynara Borges Pereira"/>
    <m/>
    <m/>
    <s v="Thaynara Borges"/>
    <n v="-1351.02"/>
    <s v="Saída"/>
    <x v="0"/>
  </r>
  <r>
    <x v="100"/>
    <s v="Cartão de Crédito Dr Ivanildo"/>
    <s v="CANAÃ FRIOS"/>
    <x v="11"/>
    <x v="1"/>
    <x v="5"/>
    <s v="BANCO ITAU"/>
    <m/>
    <m/>
    <s v="Nathalia Louiz"/>
    <n v="-56.54"/>
    <s v="Saída"/>
    <x v="0"/>
  </r>
  <r>
    <x v="100"/>
    <s v="Cartão de Crédito Dr Ivanildo"/>
    <s v="Pagamento Cartão de Crédito Dr Ivanildo"/>
    <x v="6"/>
    <x v="1"/>
    <x v="5"/>
    <s v="BANCO ITAU"/>
    <m/>
    <m/>
    <s v="Thaynara Borges"/>
    <n v="1859.47"/>
    <s v="Entrada"/>
    <x v="1"/>
  </r>
  <r>
    <x v="100"/>
    <s v="Itaú - Lisboa e Lisboa"/>
    <s v="Assessoria Contábil"/>
    <x v="1"/>
    <x v="1"/>
    <x v="1"/>
    <s v="CARLOS ALBERTO GRACIANO RODRIGUES"/>
    <m/>
    <m/>
    <s v="Thaynara Borges"/>
    <n v="-1518"/>
    <s v="Saída"/>
    <x v="0"/>
  </r>
  <r>
    <x v="100"/>
    <s v="Itaú - Lisboa e Lisboa"/>
    <s v="Consultoria Financeira"/>
    <x v="0"/>
    <x v="0"/>
    <x v="0"/>
    <s v="PROGRESSE CONSULTORIA EMPRESARIAL"/>
    <m/>
    <m/>
    <s v="Thaynara Borges"/>
    <n v="-1750"/>
    <s v="Saída"/>
    <x v="0"/>
  </r>
  <r>
    <x v="100"/>
    <s v="Cartão de Crédito Dr Ivanildo"/>
    <s v="Computador Dell"/>
    <x v="25"/>
    <x v="0"/>
    <x v="5"/>
    <s v="BANCO ITAU"/>
    <s v=""/>
    <m/>
    <s v="Nathalia Louiz"/>
    <n v="-333.24"/>
    <s v="Saída"/>
    <x v="0"/>
  </r>
  <r>
    <x v="100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00"/>
    <s v="Cartão de Crédito Dr Ivanildo"/>
    <s v="Google One"/>
    <x v="12"/>
    <x v="1"/>
    <x v="5"/>
    <s v="BANCO ITAU"/>
    <m/>
    <m/>
    <s v="Thaynara Borges"/>
    <n v="-49.99"/>
    <s v="Saída"/>
    <x v="0"/>
  </r>
  <r>
    <x v="100"/>
    <s v="Itaú - Lisboa e Lisboa"/>
    <s v="SERVIÇOS DE TI"/>
    <x v="3"/>
    <x v="1"/>
    <x v="4"/>
    <s v="Rhuan Carlos Batista"/>
    <m/>
    <m/>
    <s v="Nathalia Louiz"/>
    <n v="-200"/>
    <s v="Saída"/>
    <x v="0"/>
  </r>
  <r>
    <x v="100"/>
    <s v="Cartão de Crédito Dr Ivanildo"/>
    <s v="Jusbrasil"/>
    <x v="12"/>
    <x v="1"/>
    <x v="5"/>
    <s v="BANCO ITAU"/>
    <m/>
    <m/>
    <s v="Thaynara Borges"/>
    <n v="-58.9"/>
    <s v="Saída"/>
    <x v="0"/>
  </r>
  <r>
    <x v="100"/>
    <s v="Cartão de Crédito Dr Ivanildo"/>
    <s v="CANAÃ FRIOS"/>
    <x v="11"/>
    <x v="1"/>
    <x v="5"/>
    <s v="BANCO ITAU"/>
    <m/>
    <m/>
    <s v="Nathalia Louiz"/>
    <n v="-44.76"/>
    <s v="Saída"/>
    <x v="0"/>
  </r>
  <r>
    <x v="100"/>
    <s v="Cartão de Crédito Dr Ivanildo"/>
    <s v="Prévius"/>
    <x v="12"/>
    <x v="1"/>
    <x v="5"/>
    <s v="BANCO ITAU"/>
    <m/>
    <m/>
    <s v="Thaynara Borges"/>
    <n v="-80.91"/>
    <s v="Saída"/>
    <x v="0"/>
  </r>
  <r>
    <x v="100"/>
    <s v="Cartão de Crédito Dr Ivanildo"/>
    <s v="Jusbrasil"/>
    <x v="12"/>
    <x v="1"/>
    <x v="5"/>
    <s v="BANCO ITAU"/>
    <m/>
    <m/>
    <s v="Thaynara Borges"/>
    <n v="-58.9"/>
    <s v="Saída"/>
    <x v="0"/>
  </r>
  <r>
    <x v="100"/>
    <s v="Cartão de Crédito Dr Ivanildo"/>
    <s v="DROGASIL"/>
    <x v="27"/>
    <x v="4"/>
    <x v="5"/>
    <s v="BANCO ITAU"/>
    <m/>
    <m/>
    <s v="Nathalia Louiz"/>
    <n v="-120.87"/>
    <s v="Saída"/>
    <x v="0"/>
  </r>
  <r>
    <x v="100"/>
    <s v="Cartão de Crédito Dr Ivanildo"/>
    <s v="NORD 23"/>
    <x v="11"/>
    <x v="1"/>
    <x v="5"/>
    <s v="BANCO ITAU"/>
    <m/>
    <m/>
    <s v="Nathalia Louiz"/>
    <n v="-577.54"/>
    <s v="Saída"/>
    <x v="0"/>
  </r>
  <r>
    <x v="100"/>
    <s v="Cartão de Crédito Dr Ivanildo"/>
    <s v="Google One"/>
    <x v="12"/>
    <x v="1"/>
    <x v="5"/>
    <s v="BANCO ITAU"/>
    <m/>
    <m/>
    <s v="Thaynara Borges"/>
    <n v="-14.99"/>
    <s v="Saída"/>
    <x v="0"/>
  </r>
  <r>
    <x v="100"/>
    <s v="Cartão de Crédito Dr Ivanildo"/>
    <s v="CANAÃ FRIOS"/>
    <x v="11"/>
    <x v="1"/>
    <x v="5"/>
    <s v="BANCO ITAU"/>
    <m/>
    <m/>
    <s v="Nathalia Louiz"/>
    <n v="-56.63"/>
    <s v="Saída"/>
    <x v="0"/>
  </r>
  <r>
    <x v="100"/>
    <s v="Cartão de Crédito Dr Ivanildo"/>
    <s v="Previdenciarista"/>
    <x v="12"/>
    <x v="1"/>
    <x v="5"/>
    <s v="BANCO ITAU"/>
    <m/>
    <m/>
    <s v="Thaynara Borges"/>
    <n v="-119.9"/>
    <s v="Saída"/>
    <x v="0"/>
  </r>
  <r>
    <x v="100"/>
    <s v="Cartão de Crédito Dr Ivanildo"/>
    <s v="ASA CURSOS"/>
    <x v="32"/>
    <x v="6"/>
    <x v="5"/>
    <s v="BANCO ITAU"/>
    <m/>
    <m/>
    <s v="Nathalia Louiz"/>
    <n v="-59.9"/>
    <s v="Saída"/>
    <x v="0"/>
  </r>
  <r>
    <x v="100"/>
    <s v="Banco do Brasil - Sarah Alves Lisboa"/>
    <s v="Confraternização de 21/05"/>
    <x v="11"/>
    <x v="1"/>
    <x v="37"/>
    <s v="Nina Araujo"/>
    <m/>
    <m/>
    <s v="Thaynara Borges"/>
    <n v="-164.6"/>
    <s v="Saída"/>
    <x v="0"/>
  </r>
  <r>
    <x v="100"/>
    <s v="Cartão de Crédito Dr Ivanildo"/>
    <s v="ZapSign programa de assinatura eletronica"/>
    <x v="12"/>
    <x v="1"/>
    <x v="5"/>
    <s v="BANCO ITAU"/>
    <m/>
    <m/>
    <s v="Thaynara Borges"/>
    <n v="-19.899999999999999"/>
    <s v="Saída"/>
    <x v="0"/>
  </r>
  <r>
    <x v="100"/>
    <s v="Cartão de Crédito Dr Ivanildo"/>
    <s v="ASSAI ATACADISTA"/>
    <x v="26"/>
    <x v="1"/>
    <x v="5"/>
    <s v="BANCO ITAU"/>
    <m/>
    <m/>
    <s v="Nathalia Louiz"/>
    <n v="-206.5"/>
    <s v="Saída"/>
    <x v="0"/>
  </r>
  <r>
    <x v="101"/>
    <s v="Itaú - Lisboa e Lisboa"/>
    <s v="Taxa de Condomínio Vaga Garagem A-88"/>
    <x v="10"/>
    <x v="1"/>
    <x v="16"/>
    <s v="ATON BUSINESS STYLE"/>
    <m/>
    <m/>
    <s v="Thaynara Borges"/>
    <n v="-67.58"/>
    <s v="Saída"/>
    <x v="0"/>
  </r>
  <r>
    <x v="101"/>
    <s v="Cartão de Crédito Dra Thaynara"/>
    <s v="Cálculo Jurídico"/>
    <x v="12"/>
    <x v="1"/>
    <x v="47"/>
    <s v="C6"/>
    <m/>
    <m/>
    <s v="Thaynara Borges"/>
    <n v="-120.29"/>
    <s v="Saída"/>
    <x v="0"/>
  </r>
  <r>
    <x v="101"/>
    <s v="Itaú - Lisboa e Lisboa"/>
    <s v="Cartão de Crédito Dr Ivanilldo"/>
    <x v="6"/>
    <x v="1"/>
    <x v="5"/>
    <s v="BANCO ITAU"/>
    <m/>
    <m/>
    <s v="Thaynara Borges"/>
    <n v="-1859.47"/>
    <s v="Saída"/>
    <x v="0"/>
  </r>
  <r>
    <x v="101"/>
    <s v="Cartão de Crédito Dra Thaynara"/>
    <s v="HTM*ALINEDECKER (Curso Liderança)"/>
    <x v="12"/>
    <x v="1"/>
    <x v="47"/>
    <s v="C6"/>
    <m/>
    <m/>
    <s v="Thaynara Borges"/>
    <n v="-249.21"/>
    <s v="Saída"/>
    <x v="0"/>
  </r>
  <r>
    <x v="101"/>
    <s v="Cartão de Crédito Dra Thaynara"/>
    <s v="Pagamento Cartão de Crédito Dra Thaynara"/>
    <x v="6"/>
    <x v="1"/>
    <x v="47"/>
    <s v="C6"/>
    <m/>
    <m/>
    <s v="Nathalia Louiz"/>
    <n v="952.25"/>
    <s v="Entrada"/>
    <x v="1"/>
  </r>
  <r>
    <x v="101"/>
    <s v="Banco do Brasil - Sarah Alves Lisboa"/>
    <s v="ANUIDADE 12X"/>
    <x v="2"/>
    <x v="2"/>
    <x v="62"/>
    <s v="ANA PEREIRA DA SILVA JESUS"/>
    <m/>
    <s v="AMPARA AO IDOSO"/>
    <s v="Nathalia Louiz"/>
    <n v="303.60000000000002"/>
    <s v="Entrada"/>
    <x v="1"/>
  </r>
  <r>
    <x v="101"/>
    <s v="Cartão de Crédito Dra Thaynara"/>
    <s v="ASTREA"/>
    <x v="12"/>
    <x v="1"/>
    <x v="47"/>
    <s v="C6"/>
    <m/>
    <m/>
    <s v="Thaynara Borges"/>
    <n v="-456.75"/>
    <s v="Saída"/>
    <x v="0"/>
  </r>
  <r>
    <x v="101"/>
    <s v="Itaú - Lisboa e Lisboa"/>
    <s v="Taxa de Condomínio Vaga Garagem A-82"/>
    <x v="10"/>
    <x v="1"/>
    <x v="16"/>
    <s v="ATON BUSINESS STYLE"/>
    <m/>
    <m/>
    <s v="Thaynara Borges"/>
    <n v="-67.58"/>
    <s v="Saída"/>
    <x v="0"/>
  </r>
  <r>
    <x v="101"/>
    <s v="Itaú - Lisboa e Lisboa"/>
    <s v="Taxa de Condomínio Vaga Garagem A-81"/>
    <x v="10"/>
    <x v="1"/>
    <x v="16"/>
    <s v="ATON BUSINESS STYLE"/>
    <m/>
    <m/>
    <s v="Thaynara Borges"/>
    <n v="-67.58"/>
    <s v="Saída"/>
    <x v="0"/>
  </r>
  <r>
    <x v="101"/>
    <s v="Itaú - Lisboa e Lisboa"/>
    <s v="Taxa de Condomínio Sala B-73"/>
    <x v="10"/>
    <x v="1"/>
    <x v="16"/>
    <s v="ATON BUSINESS STYLE"/>
    <m/>
    <m/>
    <s v="Thaynara Borges"/>
    <n v="-1378.53"/>
    <s v="Saída"/>
    <x v="0"/>
  </r>
  <r>
    <x v="101"/>
    <s v="Itaú - Lisboa e Lisboa"/>
    <s v="Taxa de Condomínio Vaga Garagem A-78"/>
    <x v="10"/>
    <x v="1"/>
    <x v="16"/>
    <s v="ATON BUSINESS STYLE"/>
    <m/>
    <m/>
    <s v="Thaynara Borges"/>
    <n v="-67.58"/>
    <s v="Saída"/>
    <x v="0"/>
  </r>
  <r>
    <x v="101"/>
    <s v="Cartão de Crédito Dra Thaynara"/>
    <s v="GOOGLE GSUITE_PREVLEX."/>
    <x v="12"/>
    <x v="1"/>
    <x v="47"/>
    <s v="C6"/>
    <m/>
    <m/>
    <s v="Thaynara Borges"/>
    <n v="-126"/>
    <s v="Saída"/>
    <x v="0"/>
  </r>
  <r>
    <x v="101"/>
    <s v="Itaú - Lisboa e Lisboa"/>
    <s v="Plano mensal - conta corrente"/>
    <x v="4"/>
    <x v="3"/>
    <x v="5"/>
    <s v="BANCO ITAU"/>
    <m/>
    <m/>
    <s v="Thaynara Borges"/>
    <n v="-79.5"/>
    <s v="Saída"/>
    <x v="0"/>
  </r>
  <r>
    <x v="101"/>
    <s v="Itaú - Lisboa e Lisboa"/>
    <s v="Taxa de Condomínio Vaga Garagem A-83"/>
    <x v="10"/>
    <x v="1"/>
    <x v="16"/>
    <s v="ATON BUSINESS STYLE"/>
    <m/>
    <m/>
    <s v="Thaynara Borges"/>
    <n v="-67.58"/>
    <s v="Saída"/>
    <x v="0"/>
  </r>
  <r>
    <x v="101"/>
    <s v="Itaú - Lisboa e Lisboa"/>
    <s v="Taxa de Condomínio Sala B-74"/>
    <x v="10"/>
    <x v="1"/>
    <x v="16"/>
    <s v="ATON BUSINESS STYLE"/>
    <m/>
    <m/>
    <s v="Thaynara Borges"/>
    <n v="-1379.08"/>
    <s v="Saída"/>
    <x v="0"/>
  </r>
  <r>
    <x v="102"/>
    <s v="Banco do Brasil - Sarah Alves Lisboa"/>
    <s v="PLANEJAMENTO"/>
    <x v="2"/>
    <x v="2"/>
    <x v="95"/>
    <s v="ISMAEL ALVES MADUREIRA"/>
    <m/>
    <m/>
    <s v="Nathalia Louiz"/>
    <n v="300"/>
    <s v="Entrada"/>
    <x v="1"/>
  </r>
  <r>
    <x v="102"/>
    <s v="Banco do Brasil - Sarah Alves Lisboa"/>
    <s v="Implantação 30%"/>
    <x v="2"/>
    <x v="2"/>
    <x v="145"/>
    <s v="VALDECI ALVES MOREIRA"/>
    <m/>
    <s v="AUXILIO DOENÇA"/>
    <s v="Thaynara Borges"/>
    <n v="1961.23"/>
    <s v="Entrada"/>
    <x v="1"/>
  </r>
  <r>
    <x v="102"/>
    <s v="Itaú - Lisboa e Lisboa"/>
    <s v="Celular"/>
    <x v="8"/>
    <x v="1"/>
    <x v="14"/>
    <s v="VIVO"/>
    <m/>
    <m/>
    <s v="Thaynara Borges"/>
    <n v="-137.37"/>
    <s v="Saída"/>
    <x v="0"/>
  </r>
  <r>
    <x v="102"/>
    <s v="Banco do Brasil - Sarah Alves Lisboa"/>
    <s v="30% SOB IMPLANTAÇÃO"/>
    <x v="2"/>
    <x v="2"/>
    <x v="146"/>
    <s v="MARIA EVA PEREIRA DE QUEIROZ"/>
    <m/>
    <s v="BENEFÍCIO POR INCAPACIDADE"/>
    <s v="Nathalia Louiz"/>
    <n v="1005.55"/>
    <s v="Entrada"/>
    <x v="1"/>
  </r>
  <r>
    <x v="103"/>
    <s v="Banco do Brasil - Sarah Alves Lisboa"/>
    <s v="Implantação 30%"/>
    <x v="2"/>
    <x v="2"/>
    <x v="147"/>
    <s v="VERA LUCIA PEREIRA DE OLIVEIRA"/>
    <m/>
    <s v="BENEFÍCIO POR INCAPACIDADE"/>
    <s v="Thaynara Borges"/>
    <n v="910.8"/>
    <s v="Entrada"/>
    <x v="1"/>
  </r>
  <r>
    <x v="104"/>
    <s v="Banco do Brasil - Sarah Alves Lisboa"/>
    <s v="Cha de Bebe Surpresa"/>
    <x v="11"/>
    <x v="1"/>
    <x v="7"/>
    <s v="Sarah Alves Lisboa"/>
    <m/>
    <m/>
    <s v="Thaynara Borges"/>
    <n v="-189.68"/>
    <s v="Saída"/>
    <x v="0"/>
  </r>
  <r>
    <x v="104"/>
    <s v="Itaú - Lisboa e Lisboa"/>
    <s v="Renovação de Certificado Digital PJ"/>
    <x v="27"/>
    <x v="4"/>
    <x v="148"/>
    <s v="ZOOP tecnologia"/>
    <m/>
    <m/>
    <s v="Nathalia Louiz"/>
    <n v="-250"/>
    <s v="Saída"/>
    <x v="0"/>
  </r>
  <r>
    <x v="104"/>
    <s v="Itaú - Lisboa e Lisboa"/>
    <s v="CONTRATO 9621661899"/>
    <x v="8"/>
    <x v="1"/>
    <x v="98"/>
    <s v="VIVO FIXO"/>
    <m/>
    <m/>
    <s v="Thaynara Borges"/>
    <n v="-259.27"/>
    <s v="Saída"/>
    <x v="0"/>
  </r>
  <r>
    <x v="104"/>
    <s v="Itaú - Lisboa e Lisboa"/>
    <s v="CONTRATO 9309114969"/>
    <x v="8"/>
    <x v="1"/>
    <x v="98"/>
    <s v="VIVO FIXO"/>
    <m/>
    <m/>
    <s v="Thaynara Borges"/>
    <n v="-127.08"/>
    <s v="Saída"/>
    <x v="0"/>
  </r>
  <r>
    <x v="105"/>
    <s v="Banco do Brasil - Sarah Alves Lisboa"/>
    <s v="PAGAMENTO DE HONORÁRIOS"/>
    <x v="2"/>
    <x v="2"/>
    <x v="96"/>
    <s v="VALDIR DE PAIVA BRASIL"/>
    <m/>
    <s v="PENSÃO POR MORTE"/>
    <s v="Nathalia Louiz"/>
    <n v="300"/>
    <s v="Entrada"/>
    <x v="1"/>
  </r>
  <r>
    <x v="105"/>
    <s v="Itaú - Lisboa e Lisboa"/>
    <s v="2 Benefícios parcelados em 6x"/>
    <x v="2"/>
    <x v="2"/>
    <x v="10"/>
    <s v="ISABEL PEREIRA SOUSA"/>
    <m/>
    <s v="APOSENTADORIA POR IDADE"/>
    <s v="Thaynara Borges"/>
    <n v="370"/>
    <s v="Entrada"/>
    <x v="1"/>
  </r>
  <r>
    <x v="105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05"/>
    <s v="Itaú - Lisboa e Lisboa"/>
    <s v="30% do periodo 07/02/2022 - 31/07/2023"/>
    <x v="2"/>
    <x v="2"/>
    <x v="149"/>
    <s v="LUCIA ALMEIDA VIEIRA"/>
    <m/>
    <s v="AUXILIO DOENÇA/APOSENTADORIA POR INVALIDEZ"/>
    <s v="Thaynara Borges"/>
    <n v="8343.1"/>
    <s v="Entrada"/>
    <x v="2"/>
  </r>
  <r>
    <x v="106"/>
    <s v="Itaú - Lisboa e Lisboa"/>
    <s v="30% Sob RPV"/>
    <x v="2"/>
    <x v="2"/>
    <x v="44"/>
    <s v="FRANCISCA DA COSTA GOMES OLIVEIRA"/>
    <m/>
    <s v="AUXILIO DOENÇA"/>
    <s v="Nathalia Louiz"/>
    <n v="8250.41"/>
    <s v="Entrada"/>
    <x v="1"/>
  </r>
  <r>
    <x v="106"/>
    <s v="Itaú - Lisboa e Lisboa"/>
    <s v="30% Sob RPV"/>
    <x v="2"/>
    <x v="2"/>
    <x v="62"/>
    <s v="ANA PEREIRA DA SILVA JESUS"/>
    <m/>
    <s v="AMPARA AO IDOSO"/>
    <s v="Nathalia Louiz"/>
    <n v="8133.11"/>
    <s v="Entrada"/>
    <x v="1"/>
  </r>
  <r>
    <x v="106"/>
    <s v="Banco do Brasil - Sarah Alves Lisboa"/>
    <s v="Tarifa Bancária"/>
    <x v="4"/>
    <x v="3"/>
    <x v="22"/>
    <s v="BANCO DO BRASIL S/A"/>
    <m/>
    <m/>
    <s v="Thaynara Borges"/>
    <n v="-15"/>
    <s v="Saída"/>
    <x v="0"/>
  </r>
  <r>
    <x v="106"/>
    <s v="Banco do Brasil - Sarah Alves Lisboa"/>
    <s v="Honorários contratuais 50%"/>
    <x v="2"/>
    <x v="2"/>
    <x v="150"/>
    <s v="BENEDITO ADELAR DA SILVA"/>
    <m/>
    <s v="RESTABELECIEMNTO DE AUXILIO DOENÇA, CONCESSAO DE AUXILIO ACIDENTE/ APOSENTADORIA POR INVALIDEZ"/>
    <s v="Thaynara Borges"/>
    <n v="28467.7"/>
    <s v="Entrada"/>
    <x v="1"/>
  </r>
  <r>
    <x v="106"/>
    <s v="Banco do Brasil - Sarah Alves Lisboa"/>
    <s v="Indicação Dra Karine. 30%"/>
    <x v="28"/>
    <x v="7"/>
    <x v="125"/>
    <s v="DARLENE CAIXETA DOS SANTOS"/>
    <m/>
    <s v="BENEFÍCIO POR INCAPACIDADE"/>
    <s v="Nathalia Louiz"/>
    <n v="-136.62"/>
    <s v="Saída"/>
    <x v="0"/>
  </r>
  <r>
    <x v="106"/>
    <s v="Itaú - Lisboa e Lisboa"/>
    <s v="30% sob implantação + 3 Beneficios"/>
    <x v="2"/>
    <x v="2"/>
    <x v="151"/>
    <s v="IURY RENNER PEREIRA DE SOUZA"/>
    <m/>
    <s v="BENEFÍCIO POR INCAPACIDADE"/>
    <s v="Nathalia Louiz"/>
    <n v="4210.33"/>
    <s v="Entrada"/>
    <x v="1"/>
  </r>
  <r>
    <x v="106"/>
    <s v="Itaú - Lisboa e Lisboa"/>
    <s v="IEL Estagiárias"/>
    <x v="13"/>
    <x v="6"/>
    <x v="21"/>
    <s v="IEL"/>
    <m/>
    <m/>
    <s v="Thaynara Borges"/>
    <n v="-106.73"/>
    <s v="Saída"/>
    <x v="0"/>
  </r>
  <r>
    <x v="106"/>
    <s v="Itaú - Lisboa e Lisboa"/>
    <s v="30% Sob a implantação"/>
    <x v="2"/>
    <x v="2"/>
    <x v="152"/>
    <s v="FRYDA MYRNA GONÇALVES PRATES DE OLIVEIRA REIS"/>
    <m/>
    <s v="FRYDA MYRNA GONÇALVES PRATES DE OLIVEIRA REIS x INSS"/>
    <s v="Nathalia Louiz"/>
    <n v="429.92"/>
    <s v="Entrada"/>
    <x v="1"/>
  </r>
  <r>
    <x v="106"/>
    <s v="Banco do Brasil - Sarah Alves Lisboa"/>
    <s v="ANUIDADE (3 BENEFICIOS)"/>
    <x v="2"/>
    <x v="2"/>
    <x v="125"/>
    <s v="DARLENE CAIXETA DOS SANTOS"/>
    <m/>
    <s v="BENEFÍCIO POR INCAPACIDADE"/>
    <s v="Nathalia Louiz"/>
    <n v="455.4"/>
    <s v="Entrada"/>
    <x v="1"/>
  </r>
  <r>
    <x v="106"/>
    <s v="Itaú - Lisboa e Lisboa"/>
    <s v="30% Sob RPV"/>
    <x v="2"/>
    <x v="2"/>
    <x v="153"/>
    <s v="HERBERTH ALVES PEREIRA"/>
    <m/>
    <s v="AUXILIO ACIDENTE"/>
    <s v="Nathalia Louiz"/>
    <n v="16159.9"/>
    <s v="Entrada"/>
    <x v="1"/>
  </r>
  <r>
    <x v="106"/>
    <s v="Itaú - Lisboa e Lisboa"/>
    <s v="Restante da anuidade - Descontado na RPV"/>
    <x v="2"/>
    <x v="2"/>
    <x v="62"/>
    <s v="ANA PEREIRA DA SILVA JESUS"/>
    <m/>
    <s v="AMPARA AO IDOSO"/>
    <s v="Nathalia Louiz"/>
    <n v="2428.8000000000002"/>
    <s v="Entrada"/>
    <x v="1"/>
  </r>
  <r>
    <x v="106"/>
    <s v="Caixa Físico"/>
    <s v="Desconto R$12,00 (cliente não pagou)"/>
    <x v="2"/>
    <x v="2"/>
    <x v="10"/>
    <s v="ISABEL PEREIRA SOUSA"/>
    <m/>
    <s v="APOSENTADORIA POR IDADE"/>
    <s v="Nathalia Louiz"/>
    <n v="12"/>
    <s v="Entrada"/>
    <x v="1"/>
  </r>
  <r>
    <x v="107"/>
    <s v="Banco do Brasil - Sarah Alves Lisboa"/>
    <s v="Implantação 30%"/>
    <x v="2"/>
    <x v="2"/>
    <x v="154"/>
    <s v="ANTONIO FERNANDES DA SILVA"/>
    <m/>
    <s v="AUXILIO DOENÇA/ APOSENTADORIA POR INVALIDEZ"/>
    <s v="Thaynara Borges"/>
    <n v="684.3"/>
    <s v="Entrada"/>
    <x v="1"/>
  </r>
  <r>
    <x v="107"/>
    <s v="Itaú - Lisboa e Lisboa"/>
    <s v="30% + 3 BENEFICIOS"/>
    <x v="2"/>
    <x v="2"/>
    <x v="155"/>
    <s v="GILBERTO ORTIZ DA CRUZ"/>
    <m/>
    <s v="APOSENTADORIA POR TEMPO DE CONTRIBUIÇÃO"/>
    <s v="Nathalia Louiz"/>
    <n v="6518"/>
    <s v="Entrada"/>
    <x v="2"/>
  </r>
  <r>
    <x v="108"/>
    <s v="Banco do Brasil - Sarah Alves Lisboa"/>
    <s v="Implantação 30%"/>
    <x v="2"/>
    <x v="2"/>
    <x v="156"/>
    <s v="MARTA FREITAS DA COSTA"/>
    <m/>
    <s v="BENEFICIO POR INCAPACIDADE"/>
    <s v="Thaynara Borges"/>
    <n v="1125"/>
    <s v="Entrada"/>
    <x v="1"/>
  </r>
  <r>
    <x v="108"/>
    <s v="Banco do Brasil - Sarah Alves Lisboa"/>
    <s v="40% implantação"/>
    <x v="2"/>
    <x v="2"/>
    <x v="157"/>
    <s v="SERGIO HENRIQUE  MOREIRA LOPES"/>
    <m/>
    <s v="BENEFÍCIO POR INCAPACIDADE"/>
    <s v="Nathalia Louiz"/>
    <n v="1343.46"/>
    <s v="Entrada"/>
    <x v="1"/>
  </r>
  <r>
    <x v="108"/>
    <s v="Banco do Brasil - Sarah Alves Lisboa"/>
    <s v="30% SOB IMPLANTAÇÃO"/>
    <x v="2"/>
    <x v="2"/>
    <x v="3"/>
    <s v="ADOLFA MARIA DE JESUS ALMEIDA"/>
    <m/>
    <s v="BENEFÍCIO POR INCAPACIDADE"/>
    <s v="Nathalia Louiz"/>
    <n v="683.1"/>
    <s v="Entrada"/>
    <x v="1"/>
  </r>
  <r>
    <x v="109"/>
    <s v="Banco do Brasil - Sarah Alves Lisboa"/>
    <s v="Cartão de Crédito Dra Thaynara"/>
    <x v="6"/>
    <x v="1"/>
    <x v="47"/>
    <s v="C6"/>
    <m/>
    <m/>
    <s v="Thaynara Borges"/>
    <n v="-952.25"/>
    <s v="Saída"/>
    <x v="0"/>
  </r>
  <r>
    <x v="110"/>
    <s v="Banco do Brasil - Sarah Alves Lisboa"/>
    <s v="COMBUSTIVEL"/>
    <x v="35"/>
    <x v="4"/>
    <x v="158"/>
    <s v="POSTO ANTONELLI"/>
    <m/>
    <m/>
    <s v="Nathalia Louiz"/>
    <n v="-147.49"/>
    <s v="Saída"/>
    <x v="0"/>
  </r>
  <r>
    <x v="110"/>
    <s v="Itaú - Lisboa e Lisboa"/>
    <s v="PARCERIA VANESSA"/>
    <x v="28"/>
    <x v="7"/>
    <x v="150"/>
    <s v="BENEDITO ADELAR DA SILVA"/>
    <m/>
    <s v="RESTABELECIEMNTO DE AUXILIO DOENÇA, CONCESSAO DE AUXILIO ACIDENTE/ APOSENTADORIA POR INVALIDEZ"/>
    <s v="Nathalia Louiz"/>
    <n v="-13370.84"/>
    <s v="Saída"/>
    <x v="0"/>
  </r>
  <r>
    <x v="110"/>
    <s v="Itaú - Lisboa e Lisboa"/>
    <s v="HONORÁRIOS - PARCERIA DR GIULIANO"/>
    <x v="28"/>
    <x v="7"/>
    <x v="150"/>
    <s v="BENEDITO ADELAR DA SILVA"/>
    <m/>
    <s v="RESTABELECIEMNTO DE AUXILIO DOENÇA, CONCESSAO DE AUXILIO ACIDENTE/ APOSENTADORIA POR INVALIDEZ"/>
    <s v="Nathalia Louiz"/>
    <n v="-5705.55"/>
    <s v="Saída"/>
    <x v="0"/>
  </r>
  <r>
    <x v="110"/>
    <s v="Banco do Brasil - Sarah Alves Lisboa"/>
    <s v="REUNIÃO"/>
    <x v="27"/>
    <x v="4"/>
    <x v="46"/>
    <s v="Laura Barbosa Marques"/>
    <m/>
    <m/>
    <s v="Nathalia Louiz"/>
    <n v="-100"/>
    <s v="Saída"/>
    <x v="0"/>
  </r>
  <r>
    <x v="110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10"/>
    <s v="Banco do Brasil - Sarah Alves Lisboa"/>
    <s v="LANCHES DA REUNIÃO"/>
    <x v="36"/>
    <x v="4"/>
    <x v="134"/>
    <s v="SUPERMERCADO MOREIRA"/>
    <m/>
    <m/>
    <s v="Nathalia Louiz"/>
    <n v="-97.08"/>
    <s v="Saída"/>
    <x v="0"/>
  </r>
  <r>
    <x v="110"/>
    <s v="Banco do Brasil - Sarah Alves Lisboa"/>
    <s v="REUNIÃO"/>
    <x v="27"/>
    <x v="4"/>
    <x v="159"/>
    <s v="Maria Lourdes Feitosa do Nascimento"/>
    <m/>
    <m/>
    <s v="Nathalia Louiz"/>
    <n v="-200"/>
    <s v="Saída"/>
    <x v="0"/>
  </r>
  <r>
    <x v="110"/>
    <s v="Banco do Brasil - Sarah Alves Lisboa"/>
    <s v="Exame admissional"/>
    <x v="27"/>
    <x v="4"/>
    <x v="160"/>
    <s v="MARIA EDUARDA SOUZA"/>
    <m/>
    <m/>
    <s v="Nathalia Louiz"/>
    <n v="-48"/>
    <s v="Saída"/>
    <x v="0"/>
  </r>
  <r>
    <x v="111"/>
    <s v="Itaú - Lisboa e Lisboa"/>
    <s v="30% Honorários"/>
    <x v="2"/>
    <x v="2"/>
    <x v="161"/>
    <s v="APARECIDA DOS SANTOS/ ADRIANA PAULA DOS SANTOS VIVEIROS/ DANIELA PAULA"/>
    <m/>
    <s v="APARECIDA DOS SANTOS/ ADRIANA PAULA DOS SANTOS VIVEIROS/ DANIELA PAULA DOS SANTOS VIVEIROS CAMPOS x"/>
    <s v="Nathalia Louiz"/>
    <n v="18995.61"/>
    <s v="Entrada"/>
    <x v="1"/>
  </r>
  <r>
    <x v="111"/>
    <s v="Banco do Brasil - Sarah Alves Lisboa"/>
    <s v="COMBUSTIVÉL"/>
    <x v="35"/>
    <x v="4"/>
    <x v="126"/>
    <s v="POSTO 2824"/>
    <m/>
    <m/>
    <s v="Nathalia Louiz"/>
    <n v="-77.89"/>
    <s v="Saída"/>
    <x v="0"/>
  </r>
  <r>
    <x v="112"/>
    <s v="Banco do Brasil - Sarah Alves Lisboa"/>
    <s v="HONORÁRIOS"/>
    <x v="2"/>
    <x v="2"/>
    <x v="130"/>
    <s v="LUENE DE OLIVEIRA GOMES"/>
    <m/>
    <s v="PROCESSO CRIMINAL"/>
    <s v="Nathalia Louiz"/>
    <n v="390"/>
    <s v="Entrada"/>
    <x v="1"/>
  </r>
  <r>
    <x v="112"/>
    <s v="Banco do Brasil - Sarah Alves Lisboa"/>
    <s v="Reembolso guia certidão de militância"/>
    <x v="37"/>
    <x v="10"/>
    <x v="64"/>
    <s v="AMARILDO DE MOURA"/>
    <m/>
    <m/>
    <s v="Thaynara Borges"/>
    <n v="21.73"/>
    <s v="Entrada"/>
    <x v="1"/>
  </r>
  <r>
    <x v="112"/>
    <s v="Itaú - Lisboa e Lisboa"/>
    <s v="IPTU - BOX 88"/>
    <x v="29"/>
    <x v="1"/>
    <x v="71"/>
    <s v="PREFEITURA MUNICIPAL DE GOIÂNIA"/>
    <m/>
    <m/>
    <s v="Nathalia Louiz"/>
    <n v="-42.74"/>
    <s v="Saída"/>
    <x v="0"/>
  </r>
  <r>
    <x v="112"/>
    <s v="Banco do Brasil - Sarah Alves Lisboa"/>
    <s v="30% Sob atrasados"/>
    <x v="2"/>
    <x v="2"/>
    <x v="64"/>
    <s v="AMARILDO DE MOURA"/>
    <m/>
    <s v="APOSENTADORIA"/>
    <s v="Nathalia Louiz"/>
    <n v="8555.36"/>
    <s v="Entrada"/>
    <x v="1"/>
  </r>
  <r>
    <x v="112"/>
    <s v="Itaú - Lisboa e Lisboa"/>
    <s v="IPTU - BOX 81"/>
    <x v="29"/>
    <x v="1"/>
    <x v="71"/>
    <s v="PREFEITURA MUNICIPAL DE GOIÂNIA"/>
    <m/>
    <m/>
    <s v="Nathalia Louiz"/>
    <n v="-42.74"/>
    <s v="Saída"/>
    <x v="0"/>
  </r>
  <r>
    <x v="112"/>
    <s v="Banco do Brasil - Sarah Alves Lisboa"/>
    <s v="40% sobre os atrasados"/>
    <x v="2"/>
    <x v="2"/>
    <x v="2"/>
    <s v="MARIA DA SILVA NOGUEIRA"/>
    <m/>
    <s v="ATRASADOS"/>
    <s v="Thaynara Borges"/>
    <n v="19089.810000000001"/>
    <s v="Entrada"/>
    <x v="1"/>
  </r>
  <r>
    <x v="112"/>
    <s v="Itaú - Lisboa e Lisboa"/>
    <s v="IPTU - BOX 82"/>
    <x v="29"/>
    <x v="1"/>
    <x v="71"/>
    <s v="PREFEITURA MUNICIPAL DE GOIÂNIA"/>
    <s v=""/>
    <m/>
    <s v="Nathalia Louiz"/>
    <n v="-42.74"/>
    <s v="Saída"/>
    <x v="0"/>
  </r>
  <r>
    <x v="112"/>
    <s v="Itaú - Lisboa e Lisboa"/>
    <s v="Água"/>
    <x v="17"/>
    <x v="1"/>
    <x v="34"/>
    <s v="SANEAGO GOIAS S/A"/>
    <m/>
    <m/>
    <s v="Thaynara Borges"/>
    <n v="-110.73"/>
    <s v="Saída"/>
    <x v="0"/>
  </r>
  <r>
    <x v="112"/>
    <s v="Itaú - Lisboa e Lisboa"/>
    <s v="IPTU - BOX 83"/>
    <x v="29"/>
    <x v="1"/>
    <x v="71"/>
    <s v="PREFEITURA MUNICIPAL DE GOIÂNIA"/>
    <m/>
    <m/>
    <s v="Nathalia Louiz"/>
    <n v="-42.74"/>
    <s v="Saída"/>
    <x v="0"/>
  </r>
  <r>
    <x v="112"/>
    <s v="Itaú - Lisboa e Lisboa"/>
    <s v="FGTS"/>
    <x v="18"/>
    <x v="6"/>
    <x v="133"/>
    <s v="FGTS"/>
    <m/>
    <m/>
    <s v="Thaynara Borges"/>
    <n v="-509.23"/>
    <s v="Saída"/>
    <x v="0"/>
  </r>
  <r>
    <x v="112"/>
    <s v="Banco do Brasil - Sarah Alves Lisboa"/>
    <s v="Reembolso guia certidão de militância"/>
    <x v="37"/>
    <x v="10"/>
    <x v="2"/>
    <s v="MARIA DA SILVA NOGUEIRA"/>
    <m/>
    <m/>
    <s v="Thaynara Borges"/>
    <n v="21.73"/>
    <s v="Entrada"/>
    <x v="1"/>
  </r>
  <r>
    <x v="112"/>
    <s v="Itaú - Lisboa e Lisboa"/>
    <s v="Alteração de CNPJ"/>
    <x v="27"/>
    <x v="4"/>
    <x v="74"/>
    <s v="OAB"/>
    <m/>
    <m/>
    <s v="Nathalia Louiz"/>
    <n v="-350"/>
    <s v="Saída"/>
    <x v="0"/>
  </r>
  <r>
    <x v="112"/>
    <s v="Itaú - Lisboa e Lisboa"/>
    <s v="IPTU - BOX 78"/>
    <x v="29"/>
    <x v="1"/>
    <x v="71"/>
    <s v="PREFEITURA MUNICIPAL DE GOIÂNIA"/>
    <m/>
    <m/>
    <s v="Nathalia Louiz"/>
    <n v="-42.74"/>
    <s v="Saída"/>
    <x v="0"/>
  </r>
  <r>
    <x v="112"/>
    <s v="Itaú - Lisboa e Lisboa"/>
    <s v="IPTU - SALA B74"/>
    <x v="29"/>
    <x v="1"/>
    <x v="71"/>
    <s v="PREFEITURA MUNICIPAL DE GOIÂNIA"/>
    <m/>
    <m/>
    <s v="Nathalia Louiz"/>
    <n v="-125.57"/>
    <s v="Saída"/>
    <x v="0"/>
  </r>
  <r>
    <x v="112"/>
    <s v="Itaú - Lisboa e Lisboa"/>
    <s v="Simples Nacional"/>
    <x v="20"/>
    <x v="7"/>
    <x v="39"/>
    <s v="Simples Nacional"/>
    <m/>
    <m/>
    <s v="Thaynara Borges"/>
    <n v="-8811.99"/>
    <s v="Saída"/>
    <x v="0"/>
  </r>
  <r>
    <x v="112"/>
    <s v="Itaú - Lisboa e Lisboa"/>
    <s v="INSS"/>
    <x v="19"/>
    <x v="6"/>
    <x v="38"/>
    <s v="RECEITA FEDERAL"/>
    <m/>
    <m/>
    <s v="Thaynara Borges"/>
    <n v="-3957.59"/>
    <s v="Saída"/>
    <x v="0"/>
  </r>
  <r>
    <x v="113"/>
    <s v="Banco do Brasil - Sarah Alves Lisboa"/>
    <s v="30% sob Implantação"/>
    <x v="2"/>
    <x v="2"/>
    <x v="162"/>
    <s v="VALDELICE DA SILVA MENDES"/>
    <m/>
    <s v="BENEFÍCIO POR INCAPACIDADE"/>
    <s v="Nathalia Louiz"/>
    <n v="759"/>
    <s v="Entrada"/>
    <x v="1"/>
  </r>
  <r>
    <x v="113"/>
    <s v="Itaú - Lisboa e Lisboa"/>
    <s v="20% pela parceria com Dra. Nubia"/>
    <x v="2"/>
    <x v="2"/>
    <x v="36"/>
    <s v="GILNETH VIDAL DOS SANTOS"/>
    <m/>
    <s v="ANALISAR PROCESSOS"/>
    <s v="Thaynara Borges"/>
    <n v="119.35"/>
    <s v="Entrada"/>
    <x v="2"/>
  </r>
  <r>
    <x v="113"/>
    <s v="Banco do Brasil - Sarah Alves Lisboa"/>
    <s v="30+20 SOB ATRASADOS"/>
    <x v="2"/>
    <x v="2"/>
    <x v="70"/>
    <s v="SANDRA MARIA SOARES"/>
    <m/>
    <s v="RESTABELECIMENTO AUXILIO DOENÇA"/>
    <s v="Nathalia Louiz"/>
    <n v="13034.11"/>
    <s v="Entrada"/>
    <x v="1"/>
  </r>
  <r>
    <x v="113"/>
    <s v="Banco do Brasil - Sarah Alves Lisboa"/>
    <s v="Reembolso guia certidão de militância"/>
    <x v="37"/>
    <x v="10"/>
    <x v="70"/>
    <s v="SANDRA MARIA SOARES"/>
    <m/>
    <m/>
    <s v="Nathalia Louiz"/>
    <n v="21.73"/>
    <s v="Entrada"/>
    <x v="1"/>
  </r>
  <r>
    <x v="114"/>
    <s v="Banco do Brasil - Sarah Alves Lisboa"/>
    <s v="Comissão sobre indicação 10% a João Batista pai da Thaynara"/>
    <x v="28"/>
    <x v="7"/>
    <x v="2"/>
    <s v="MARIA DA SILVA NOGUEIRA"/>
    <m/>
    <s v="ATRASADOS"/>
    <s v="Thaynara Borges"/>
    <n v="-1663.48"/>
    <s v="Saída"/>
    <x v="0"/>
  </r>
  <r>
    <x v="115"/>
    <s v="Banco do Brasil - Sarah Alves Lisboa"/>
    <s v="Cobrança da TED"/>
    <x v="4"/>
    <x v="3"/>
    <x v="22"/>
    <s v="BANCO DO BRASIL S/A"/>
    <m/>
    <m/>
    <s v="Thaynara Borges"/>
    <n v="-12.7"/>
    <s v="Saída"/>
    <x v="0"/>
  </r>
  <r>
    <x v="115"/>
    <s v="Banco do Brasil - Sarah Alves Lisboa"/>
    <s v="30% sobre a implantação"/>
    <x v="2"/>
    <x v="2"/>
    <x v="163"/>
    <s v="AVENIR RODRIGUES GOMES SOBRINHO"/>
    <m/>
    <s v="BENEFÍCIO POR INCAPACIDADE"/>
    <s v="Thaynara Borges"/>
    <n v="1170.25"/>
    <s v="Entrada"/>
    <x v="1"/>
  </r>
  <r>
    <x v="115"/>
    <s v="Banco do Brasil - Sarah Alves Lisboa"/>
    <s v="Cobrança da TED"/>
    <x v="4"/>
    <x v="3"/>
    <x v="22"/>
    <s v="BANCO DO BRASIL S/A"/>
    <m/>
    <m/>
    <s v="Thaynara Borges"/>
    <n v="-12.7"/>
    <s v="Saída"/>
    <x v="0"/>
  </r>
  <r>
    <x v="115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15"/>
    <s v="Banco do Brasil - Sarah Alves Lisboa"/>
    <s v="Cobrança da TED"/>
    <x v="4"/>
    <x v="3"/>
    <x v="22"/>
    <s v="BANCO DO BRASIL S/A"/>
    <m/>
    <m/>
    <s v="Thaynara Borges"/>
    <n v="-12.7"/>
    <s v="Saída"/>
    <x v="0"/>
  </r>
  <r>
    <x v="116"/>
    <s v="Itaú - Lisboa e Lisboa"/>
    <s v="Energia contrato 0067122663"/>
    <x v="21"/>
    <x v="1"/>
    <x v="91"/>
    <s v="EQUATORIAL GOIAS 0067122663"/>
    <m/>
    <m/>
    <s v="Thaynara Borges"/>
    <n v="-489.86"/>
    <s v="Saída"/>
    <x v="0"/>
  </r>
  <r>
    <x v="116"/>
    <s v="Itaú - Lisboa e Lisboa"/>
    <s v="Energia contrato 0067122721"/>
    <x v="21"/>
    <x v="1"/>
    <x v="94"/>
    <s v="EQUATORIAL GOIAS 0067122721"/>
    <m/>
    <m/>
    <s v="Thaynara Borges"/>
    <n v="-432.99"/>
    <s v="Saída"/>
    <x v="0"/>
  </r>
  <r>
    <x v="117"/>
    <s v="Banco do Brasil - Sarah Alves Lisboa"/>
    <s v="20% do Precatório total recebido"/>
    <x v="2"/>
    <x v="2"/>
    <x v="164"/>
    <s v="ROSALIA SOARES LEITE"/>
    <m/>
    <s v="PRECATÓRIO - PROAD"/>
    <s v="Thaynara Borges"/>
    <n v="18190.25"/>
    <s v="Entrada"/>
    <x v="1"/>
  </r>
  <r>
    <x v="117"/>
    <s v="Banco do Brasil - Sarah Alves Lisboa"/>
    <s v="ASSESSORIA DE CONTABILIDADE"/>
    <x v="1"/>
    <x v="1"/>
    <x v="103"/>
    <s v="ELLEN BORGES PEREIRA"/>
    <m/>
    <m/>
    <s v="Nathalia Louiz"/>
    <n v="-150"/>
    <s v="Saída"/>
    <x v="0"/>
  </r>
  <r>
    <x v="118"/>
    <s v="Banco do Brasil - Sarah Alves Lisboa"/>
    <s v="30% sob implantação"/>
    <x v="2"/>
    <x v="2"/>
    <x v="8"/>
    <s v="EDSON RAEL DE OLIVEIRA"/>
    <m/>
    <s v="BENEFÍCIO POR INCAPACIDADE"/>
    <s v="Nathalia Louiz"/>
    <n v="266.5"/>
    <s v="Entrada"/>
    <x v="1"/>
  </r>
  <r>
    <x v="118"/>
    <s v="Banco do Brasil - Sarah Alves Lisboa"/>
    <s v="Cobrança da TED"/>
    <x v="4"/>
    <x v="3"/>
    <x v="22"/>
    <s v="BANCO DO BRASIL S/A"/>
    <m/>
    <m/>
    <s v="Thaynara Borges"/>
    <n v="-12.7"/>
    <s v="Saída"/>
    <x v="0"/>
  </r>
  <r>
    <x v="118"/>
    <s v="Banco do Brasil - Sarah Alves Lisboa"/>
    <s v="RESTITUIÇÃO DE IMPOSTO DE RENDA"/>
    <x v="30"/>
    <x v="9"/>
    <x v="7"/>
    <s v="SARAH ALVES LISBOA"/>
    <m/>
    <m/>
    <s v="Nathalia Louiz"/>
    <n v="-5159.51"/>
    <s v="Saída"/>
    <x v="0"/>
  </r>
  <r>
    <x v="119"/>
    <s v="Banco do Brasil - Sarah Alves Lisboa"/>
    <s v="Parcelas - parceria Dr Silvio"/>
    <x v="2"/>
    <x v="2"/>
    <x v="40"/>
    <s v="GLEYCIANNE RIBEIRO DE SOUZA CABRAL"/>
    <m/>
    <s v="DIVÓRCIO CONSENSUAL C/C REGULAMENTAÇÃO DE GUARDA E ALIMENTOS"/>
    <s v="Thaynara Borges"/>
    <n v="150"/>
    <s v="Entrada"/>
    <x v="1"/>
  </r>
  <r>
    <x v="119"/>
    <s v="Itaú - Lisboa e Lisboa"/>
    <s v="PRÓ-LABORE"/>
    <x v="23"/>
    <x v="8"/>
    <x v="27"/>
    <s v="Thaynara Borges Pereira"/>
    <m/>
    <m/>
    <s v="Thaynara Borges"/>
    <n v="-1351.02"/>
    <s v="Saída"/>
    <x v="0"/>
  </r>
  <r>
    <x v="119"/>
    <s v="Itaú - Lisboa e Lisboa"/>
    <s v="Bolsa Estagio"/>
    <x v="13"/>
    <x v="6"/>
    <x v="46"/>
    <s v="Laura Barbosa Marques"/>
    <m/>
    <m/>
    <s v="Thaynara Borges"/>
    <n v="-1300"/>
    <s v="Saída"/>
    <x v="0"/>
  </r>
  <r>
    <x v="119"/>
    <s v="Itaú - Lisboa e Lisboa"/>
    <s v="Salário"/>
    <x v="15"/>
    <x v="6"/>
    <x v="32"/>
    <s v="Raffaela Nunes"/>
    <m/>
    <m/>
    <s v="Thaynara Borges"/>
    <n v="-2559.96"/>
    <s v="Saída"/>
    <x v="0"/>
  </r>
  <r>
    <x v="119"/>
    <s v="Itaú - Lisboa e Lisboa"/>
    <s v="Retirada"/>
    <x v="22"/>
    <x v="8"/>
    <x v="7"/>
    <s v="Sarah Alves Lisboa"/>
    <m/>
    <m/>
    <s v="Thaynara Borges"/>
    <n v="-6148.98"/>
    <s v="Saída"/>
    <x v="0"/>
  </r>
  <r>
    <x v="119"/>
    <s v="Banco do Brasil - Sarah Alves Lisboa"/>
    <s v="Cobrança da TED"/>
    <x v="4"/>
    <x v="3"/>
    <x v="22"/>
    <s v="BANCO DO BRASIL S/A"/>
    <m/>
    <m/>
    <s v="Thaynara Borges"/>
    <n v="-12.7"/>
    <s v="Saída"/>
    <x v="0"/>
  </r>
  <r>
    <x v="119"/>
    <s v="Itaú - Lisboa e Lisboa"/>
    <s v="PRÓ-LABORE"/>
    <x v="23"/>
    <x v="8"/>
    <x v="7"/>
    <s v="Sarah Alves Lisboa"/>
    <m/>
    <m/>
    <s v="Thaynara Borges"/>
    <n v="-1351.02"/>
    <s v="Saída"/>
    <x v="0"/>
  </r>
  <r>
    <x v="119"/>
    <s v="Banco do Brasil - Sarah Alves Lisboa"/>
    <s v="Cobrança da TED"/>
    <x v="4"/>
    <x v="3"/>
    <x v="22"/>
    <s v="BANCO DO BRASIL S/A"/>
    <m/>
    <m/>
    <s v="Thaynara Borges"/>
    <n v="-12.7"/>
    <s v="Saída"/>
    <x v="0"/>
  </r>
  <r>
    <x v="119"/>
    <s v="Itaú - Lisboa e Lisboa"/>
    <s v="Salário"/>
    <x v="15"/>
    <x v="6"/>
    <x v="37"/>
    <s v="Nina Araujo"/>
    <m/>
    <m/>
    <s v="Thaynara Borges"/>
    <n v="-3208.61"/>
    <s v="Saída"/>
    <x v="0"/>
  </r>
  <r>
    <x v="119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19"/>
    <s v="Banco do Brasil - Sarah Alves Lisboa"/>
    <s v="3 Beneficios"/>
    <x v="2"/>
    <x v="2"/>
    <x v="165"/>
    <s v="IRISOLANDA AMARAL DA SILVA"/>
    <m/>
    <s v="APOSENTADORIA POR IDADE"/>
    <s v="Thaynara Borges"/>
    <n v="2900"/>
    <s v="Entrada"/>
    <x v="1"/>
  </r>
  <r>
    <x v="119"/>
    <s v="Itaú - Lisboa e Lisboa"/>
    <s v="Retirada"/>
    <x v="22"/>
    <x v="8"/>
    <x v="27"/>
    <s v="Thaynara Borges Pereira"/>
    <m/>
    <m/>
    <s v="Thaynara Borges"/>
    <n v="-3648.98"/>
    <s v="Saída"/>
    <x v="0"/>
  </r>
  <r>
    <x v="119"/>
    <s v="Itaú - Lisboa e Lisboa"/>
    <s v="Reembolso de despesas comerciais"/>
    <x v="30"/>
    <x v="9"/>
    <x v="1"/>
    <s v="CARLOS ALBERTO GRACIANO RODRIGUES"/>
    <m/>
    <m/>
    <s v="Nathalia Louiz"/>
    <n v="-1246.81"/>
    <s v="Saída"/>
    <x v="0"/>
  </r>
  <r>
    <x v="119"/>
    <s v="Banco do Brasil - Sarah Alves Lisboa"/>
    <s v="Cobrança da TED"/>
    <x v="4"/>
    <x v="3"/>
    <x v="22"/>
    <s v="BANCO DO BRASIL S/A"/>
    <m/>
    <m/>
    <s v="Thaynara Borges"/>
    <n v="-12.7"/>
    <s v="Saída"/>
    <x v="0"/>
  </r>
  <r>
    <x v="119"/>
    <s v="Itaú - Lisboa e Lisboa"/>
    <s v="Salário"/>
    <x v="15"/>
    <x v="6"/>
    <x v="166"/>
    <s v="MARIA EDUARDA DE SOUZA"/>
    <m/>
    <m/>
    <s v="Nathalia Louiz"/>
    <n v="-925"/>
    <s v="Saída"/>
    <x v="0"/>
  </r>
  <r>
    <x v="119"/>
    <s v="Banco do Brasil - Sarah Alves Lisboa"/>
    <s v="Salário"/>
    <x v="15"/>
    <x v="6"/>
    <x v="69"/>
    <s v="Nathalia Louiz Alves Vigilato"/>
    <m/>
    <m/>
    <s v="Nathalia Louiz"/>
    <n v="-1518"/>
    <s v="Saída"/>
    <x v="0"/>
  </r>
  <r>
    <x v="120"/>
    <s v="Itaú - Lisboa e Lisboa"/>
    <s v="Rendimentos para acerto de saldo"/>
    <x v="4"/>
    <x v="3"/>
    <x v="5"/>
    <s v="BANCO ITAU"/>
    <m/>
    <m/>
    <s v="Thaynara Borges"/>
    <n v="1.31"/>
    <s v="Entrada"/>
    <x v="1"/>
  </r>
  <r>
    <x v="121"/>
    <s v="Cartão de Crédito Dr Ivanildo"/>
    <s v="Computador Dell"/>
    <x v="25"/>
    <x v="0"/>
    <x v="5"/>
    <s v="BANCO ITAU"/>
    <s v=""/>
    <m/>
    <s v="Nathalia Louiz"/>
    <n v="-333.24"/>
    <s v="Saída"/>
    <x v="0"/>
  </r>
  <r>
    <x v="121"/>
    <s v="Cartão de Crédito Dr Ivanildo"/>
    <s v="SHOPPING FILT"/>
    <x v="26"/>
    <x v="1"/>
    <x v="5"/>
    <s v="BANCO ITAU"/>
    <m/>
    <m/>
    <s v="Nathalia Louiz"/>
    <n v="-129"/>
    <s v="Saída"/>
    <x v="0"/>
  </r>
  <r>
    <x v="121"/>
    <s v="Cartão de Crédito Dr Ivanildo"/>
    <s v="CANNAÃ FRIOS"/>
    <x v="11"/>
    <x v="1"/>
    <x v="5"/>
    <s v="BANCO ITAU"/>
    <m/>
    <m/>
    <s v="Nathalia Louiz"/>
    <n v="-38.9"/>
    <s v="Saída"/>
    <x v="0"/>
  </r>
  <r>
    <x v="121"/>
    <s v="Cartão de Crédito Dr Ivanildo"/>
    <s v="CANAÃ FRIOS"/>
    <x v="11"/>
    <x v="1"/>
    <x v="5"/>
    <s v="BANCO ITAU"/>
    <m/>
    <m/>
    <s v="Nathalia Louiz"/>
    <n v="-48.94"/>
    <s v="Saída"/>
    <x v="0"/>
  </r>
  <r>
    <x v="121"/>
    <s v="Cartão de Crédito Dr Ivanildo"/>
    <s v="MAU NENHUM RESTAURANTE"/>
    <x v="11"/>
    <x v="1"/>
    <x v="5"/>
    <s v="BANCO ITAU"/>
    <m/>
    <m/>
    <s v="Nathalia Louiz"/>
    <n v="-391.09"/>
    <s v="Saída"/>
    <x v="0"/>
  </r>
  <r>
    <x v="121"/>
    <s v="Itaú - Lisboa e Lisboa"/>
    <s v="Consultoria Financeira"/>
    <x v="0"/>
    <x v="0"/>
    <x v="0"/>
    <s v="PROGRESSE CONSULTORIA EMPRESARIAL"/>
    <m/>
    <m/>
    <s v="Thaynara Borges"/>
    <n v="-1750"/>
    <s v="Saída"/>
    <x v="0"/>
  </r>
  <r>
    <x v="121"/>
    <s v="Banco do Brasil - Sarah Alves Lisboa"/>
    <s v="Diferença ref.: 3 Beneficios"/>
    <x v="2"/>
    <x v="2"/>
    <x v="165"/>
    <s v="IRISOLANDA AMARAL DA SILVA"/>
    <m/>
    <s v="APOSENTADORIA POR IDADE"/>
    <s v="Thaynara Borges"/>
    <n v="1654"/>
    <s v="Entrada"/>
    <x v="1"/>
  </r>
  <r>
    <x v="121"/>
    <s v="Banco do Brasil - Sarah Alves Lisboa"/>
    <s v="COMISSÃO POR INDICAÇÃO - NINA"/>
    <x v="28"/>
    <x v="7"/>
    <x v="153"/>
    <s v="HERBERTH ALVES PEREIRA"/>
    <m/>
    <s v="AUXILIO ACIDENTE"/>
    <s v="Nathalia Louiz"/>
    <n v="-1408.17"/>
    <s v="Saída"/>
    <x v="0"/>
  </r>
  <r>
    <x v="121"/>
    <s v="Cartão de Crédito Dr Ivanildo"/>
    <s v="NOBREAK E CIA"/>
    <x v="14"/>
    <x v="1"/>
    <x v="5"/>
    <s v="BANCO ITAU"/>
    <m/>
    <m/>
    <s v="Nathalia Louiz"/>
    <n v="-292"/>
    <s v="Saída"/>
    <x v="0"/>
  </r>
  <r>
    <x v="121"/>
    <s v="Cartão de Crédito Dr Ivanildo"/>
    <s v="Pagamento Cartão de Crédito Dr Ivanildo"/>
    <x v="6"/>
    <x v="1"/>
    <x v="5"/>
    <s v="BANCO ITAU"/>
    <m/>
    <m/>
    <s v="Thaynara Borges"/>
    <n v="2202.8200000000002"/>
    <s v="Entrada"/>
    <x v="1"/>
  </r>
  <r>
    <x v="121"/>
    <s v="Itaú - Lisboa e Lisboa"/>
    <s v="HONORÁRIOS INTEGRALMENTE REPASSADOS A VANESSA (LANÇAR COMO RETIRADA SARAH)"/>
    <x v="28"/>
    <x v="7"/>
    <x v="164"/>
    <s v="ROSALIA SOARES LEITE"/>
    <m/>
    <s v="PRECATÓRIO - PROAD"/>
    <s v="Nathalia Louiz"/>
    <n v="-15850.98"/>
    <s v="Saída"/>
    <x v="0"/>
  </r>
  <r>
    <x v="121"/>
    <s v="Cartão de Crédito Dr Ivanildo"/>
    <s v="CANAÃ FRIOS - ALIMENTAÇÃO"/>
    <x v="11"/>
    <x v="1"/>
    <x v="5"/>
    <s v="BANCO ITAU"/>
    <m/>
    <m/>
    <s v="Nathalia Louiz"/>
    <n v="-54"/>
    <s v="Saída"/>
    <x v="0"/>
  </r>
  <r>
    <x v="121"/>
    <s v="Cartão de Crédito Dr Ivanildo"/>
    <s v="ASA CURSOS"/>
    <x v="34"/>
    <x v="1"/>
    <x v="5"/>
    <s v="BANCO ITAU"/>
    <m/>
    <m/>
    <s v="Nathalia Louiz"/>
    <n v="-59.9"/>
    <s v="Saída"/>
    <x v="0"/>
  </r>
  <r>
    <x v="121"/>
    <s v="Cartão de Crédito Dr Ivanildo"/>
    <s v="Prévius"/>
    <x v="12"/>
    <x v="1"/>
    <x v="5"/>
    <s v="BANCO ITAU"/>
    <m/>
    <m/>
    <s v="Thaynara Borges"/>
    <n v="-80.91"/>
    <s v="Saída"/>
    <x v="0"/>
  </r>
  <r>
    <x v="121"/>
    <s v="Cartão de Crédito Dr Ivanildo"/>
    <s v="CANAÃ FRIOS"/>
    <x v="11"/>
    <x v="1"/>
    <x v="5"/>
    <s v="BANCO ITAU"/>
    <m/>
    <m/>
    <s v="Nathalia Louiz"/>
    <n v="-55.4"/>
    <s v="Saída"/>
    <x v="0"/>
  </r>
  <r>
    <x v="121"/>
    <s v="Cartão de Crédito Dr Ivanildo"/>
    <s v="SOLUTE CERTIFICADOS"/>
    <x v="30"/>
    <x v="9"/>
    <x v="5"/>
    <s v="BANCO ITAU"/>
    <m/>
    <m/>
    <s v="Nathalia Louiz"/>
    <n v="-132"/>
    <s v="Saída"/>
    <x v="0"/>
  </r>
  <r>
    <x v="121"/>
    <s v="Cartão de Crédito Dr Ivanildo"/>
    <s v="SUPERMERCADO UNIÃO"/>
    <x v="26"/>
    <x v="1"/>
    <x v="5"/>
    <s v="BANCO ITAU"/>
    <m/>
    <m/>
    <s v="Nathalia Louiz"/>
    <n v="-193.65"/>
    <s v="Saída"/>
    <x v="0"/>
  </r>
  <r>
    <x v="121"/>
    <s v="Itaú - Lisboa e Lisboa"/>
    <s v="Assessoria Contábil"/>
    <x v="1"/>
    <x v="1"/>
    <x v="1"/>
    <s v="CARLOS ALBERTO GRACIANO RODRIGUES"/>
    <m/>
    <m/>
    <s v="Thaynara Borges"/>
    <n v="-1518"/>
    <s v="Saída"/>
    <x v="0"/>
  </r>
  <r>
    <x v="121"/>
    <s v="Itaú - Lisboa e Lisboa"/>
    <s v="RENDIMENTOS"/>
    <x v="38"/>
    <x v="0"/>
    <x v="5"/>
    <s v="BANCO ITAU"/>
    <m/>
    <m/>
    <s v="Nathalia Louiz"/>
    <n v="3.92"/>
    <s v="Entrada"/>
    <x v="1"/>
  </r>
  <r>
    <x v="121"/>
    <s v="Cartão de Crédito Dr Ivanildo"/>
    <s v="JL PARK ESTACIONAMENTO"/>
    <x v="39"/>
    <x v="1"/>
    <x v="5"/>
    <s v="BANCO ITAU"/>
    <m/>
    <m/>
    <s v="Nathalia Louiz"/>
    <n v="-26"/>
    <s v="Saída"/>
    <x v="0"/>
  </r>
  <r>
    <x v="121"/>
    <s v="Cartão de Crédito Dr Ivanildo"/>
    <s v="Google One"/>
    <x v="12"/>
    <x v="1"/>
    <x v="5"/>
    <s v="BANCO ITAU"/>
    <m/>
    <m/>
    <s v="Thaynara Borges"/>
    <n v="-49.99"/>
    <s v="Saída"/>
    <x v="0"/>
  </r>
  <r>
    <x v="121"/>
    <s v="Cartão de Crédito Dr Ivanildo"/>
    <s v="Google One"/>
    <x v="12"/>
    <x v="1"/>
    <x v="5"/>
    <s v="BANCO ITAU"/>
    <m/>
    <m/>
    <s v="Thaynara Borges"/>
    <n v="-14.99"/>
    <s v="Saída"/>
    <x v="0"/>
  </r>
  <r>
    <x v="121"/>
    <s v="Cartão de Crédito Dr Ivanildo"/>
    <s v="AMAZON"/>
    <x v="26"/>
    <x v="1"/>
    <x v="5"/>
    <s v="BANCO ITAU"/>
    <m/>
    <m/>
    <s v="Nathalia Louiz"/>
    <n v="-18.23"/>
    <s v="Saída"/>
    <x v="0"/>
  </r>
  <r>
    <x v="121"/>
    <s v="Cartão de Crédito Dr Ivanildo"/>
    <s v="ZapSign programa de assinatura eletronica"/>
    <x v="12"/>
    <x v="1"/>
    <x v="5"/>
    <s v="BANCO ITAU"/>
    <m/>
    <m/>
    <s v="Thaynara Borges"/>
    <n v="-19.899999999999999"/>
    <s v="Saída"/>
    <x v="0"/>
  </r>
  <r>
    <x v="121"/>
    <s v="Cartão de Crédito Dr Ivanildo"/>
    <s v="Previdenciarista"/>
    <x v="12"/>
    <x v="1"/>
    <x v="5"/>
    <s v="BANCO ITAU"/>
    <m/>
    <m/>
    <s v="Thaynara Borges"/>
    <n v="-119.9"/>
    <s v="Saída"/>
    <x v="0"/>
  </r>
  <r>
    <x v="121"/>
    <s v="Cartão de Crédito Dr Ivanildo"/>
    <s v="AMAZON"/>
    <x v="26"/>
    <x v="1"/>
    <x v="5"/>
    <s v="BANCO ITAU"/>
    <m/>
    <m/>
    <s v="Nathalia Louiz"/>
    <n v="-26.98"/>
    <s v="Saída"/>
    <x v="0"/>
  </r>
  <r>
    <x v="121"/>
    <s v="Cartão de Crédito Dr Ivanildo"/>
    <s v="Jusbrasil"/>
    <x v="12"/>
    <x v="1"/>
    <x v="5"/>
    <s v="BANCO ITAU"/>
    <m/>
    <m/>
    <s v="Thaynara Borges"/>
    <n v="-58.9"/>
    <s v="Saída"/>
    <x v="0"/>
  </r>
  <r>
    <x v="121"/>
    <s v="Cartão de Crédito Dr Ivanildo"/>
    <s v="Jusbrasil"/>
    <x v="12"/>
    <x v="1"/>
    <x v="5"/>
    <s v="BANCO ITAU"/>
    <m/>
    <m/>
    <s v="Thaynara Borges"/>
    <n v="-58.9"/>
    <s v="Saída"/>
    <x v="0"/>
  </r>
  <r>
    <x v="122"/>
    <s v="Banco do Brasil - Sarah Alves Lisboa"/>
    <s v="COMISSÃO POR CUMPRIMENTO DE META"/>
    <x v="28"/>
    <x v="7"/>
    <x v="46"/>
    <s v="Laura Barbosa Marques"/>
    <m/>
    <m/>
    <s v="Nathalia Louiz"/>
    <n v="-100"/>
    <s v="Saída"/>
    <x v="0"/>
  </r>
  <r>
    <x v="122"/>
    <s v="Banco do Brasil - Sarah Alves Lisboa"/>
    <s v="Comissão a Ednaldo 10%"/>
    <x v="28"/>
    <x v="7"/>
    <x v="165"/>
    <s v="IRISOLANDA AMARAL DA SILVA"/>
    <m/>
    <s v="APOSENTADORIA POR IDADE"/>
    <s v="Thaynara Borges"/>
    <n v="-396.83"/>
    <s v="Saída"/>
    <x v="0"/>
  </r>
  <r>
    <x v="122"/>
    <s v="Banco do Brasil - Sarah Alves Lisboa"/>
    <s v="COMISSÃO POR CUMPRIMENTO DE META"/>
    <x v="28"/>
    <x v="7"/>
    <x v="166"/>
    <s v="MARIA EDUARDA DE SOUZA"/>
    <m/>
    <m/>
    <s v="Nathalia Louiz"/>
    <n v="-100"/>
    <s v="Saída"/>
    <x v="0"/>
  </r>
  <r>
    <x v="122"/>
    <s v="Banco do Brasil - Sarah Alves Lisboa"/>
    <s v="COMISSÃO POR CUMPRIMENTO DE META"/>
    <x v="28"/>
    <x v="7"/>
    <x v="27"/>
    <s v="Thaynara Borges Pereira"/>
    <m/>
    <m/>
    <s v="Nathalia Louiz"/>
    <n v="-100"/>
    <s v="Saída"/>
    <x v="0"/>
  </r>
  <r>
    <x v="122"/>
    <s v="Itaú - Lisboa e Lisboa"/>
    <s v="serviços de TI"/>
    <x v="3"/>
    <x v="1"/>
    <x v="4"/>
    <s v="Rhuan Carlos Batista"/>
    <m/>
    <m/>
    <s v="Nathalia Louiz"/>
    <n v="-310"/>
    <s v="Saída"/>
    <x v="0"/>
  </r>
  <r>
    <x v="122"/>
    <s v="Banco do Brasil - Sarah Alves Lisboa"/>
    <s v="COMISSÃO POR CUMPRIMENTO DE META"/>
    <x v="28"/>
    <x v="7"/>
    <x v="72"/>
    <s v="EVANILZA ARAUJO MORAES"/>
    <m/>
    <m/>
    <s v="Nathalia Louiz"/>
    <n v="-100"/>
    <s v="Saída"/>
    <x v="0"/>
  </r>
  <r>
    <x v="122"/>
    <s v="Banco do Brasil - Sarah Alves Lisboa"/>
    <s v="COMISSÃO POR CUMPRIMENTO DE META"/>
    <x v="28"/>
    <x v="7"/>
    <x v="7"/>
    <s v="SARAH ALVES LISBOA"/>
    <m/>
    <m/>
    <s v="Nathalia Louiz"/>
    <n v="-100"/>
    <s v="Saída"/>
    <x v="0"/>
  </r>
  <r>
    <x v="122"/>
    <s v="Banco do Brasil - Sarah Alves Lisboa"/>
    <s v="COMISSÃO POR CUMPRIMENTO DE META"/>
    <x v="28"/>
    <x v="7"/>
    <x v="32"/>
    <s v="Raffaela Nunes"/>
    <m/>
    <m/>
    <s v="Nathalia Louiz"/>
    <n v="-100"/>
    <s v="Saída"/>
    <x v="0"/>
  </r>
  <r>
    <x v="123"/>
    <s v="Itaú - Lisboa e Lisboa"/>
    <s v="Cartão de Crédito Dr Ivanilldo"/>
    <x v="6"/>
    <x v="1"/>
    <x v="5"/>
    <s v="BANCO ITAU"/>
    <m/>
    <m/>
    <s v="Thaynara Borges"/>
    <n v="-2202.8200000000002"/>
    <s v="Saída"/>
    <x v="0"/>
  </r>
  <r>
    <x v="123"/>
    <s v="Cartão de Crédito Dra Thaynara"/>
    <s v="HTM*ALINEDECKER (Curso Liderança)"/>
    <x v="12"/>
    <x v="1"/>
    <x v="47"/>
    <s v="C6"/>
    <m/>
    <m/>
    <s v="Thaynara Borges"/>
    <n v="-249.21"/>
    <s v="Saída"/>
    <x v="0"/>
  </r>
  <r>
    <x v="123"/>
    <s v="Cartão de Crédito Dra Thaynara"/>
    <s v="PACOTE OFFICE"/>
    <x v="25"/>
    <x v="0"/>
    <x v="47"/>
    <s v="C6"/>
    <m/>
    <m/>
    <s v="Nathalia Louiz"/>
    <n v="-51"/>
    <s v="Saída"/>
    <x v="0"/>
  </r>
  <r>
    <x v="123"/>
    <s v="Cartão de Crédito Dra Thaynara"/>
    <s v="Cálculo Jurídico"/>
    <x v="12"/>
    <x v="1"/>
    <x v="47"/>
    <s v="C6"/>
    <m/>
    <m/>
    <s v="Thaynara Borges"/>
    <n v="-40.340000000000003"/>
    <s v="Saída"/>
    <x v="0"/>
  </r>
  <r>
    <x v="123"/>
    <s v="Itaú - Lisboa e Lisboa"/>
    <s v="Taxa de Condomínio Vaga Garagem A-81"/>
    <x v="10"/>
    <x v="1"/>
    <x v="16"/>
    <s v="ATON BUSINESS STYLE"/>
    <m/>
    <m/>
    <s v="Thaynara Borges"/>
    <n v="-64.56"/>
    <s v="Saída"/>
    <x v="0"/>
  </r>
  <r>
    <x v="123"/>
    <s v="Itaú - Lisboa e Lisboa"/>
    <s v="Taxa de Condomínio Vaga Garagem A-78"/>
    <x v="10"/>
    <x v="1"/>
    <x v="16"/>
    <s v="ATON BUSINESS STYLE"/>
    <m/>
    <m/>
    <s v="Thaynara Borges"/>
    <n v="-64.56"/>
    <s v="Saída"/>
    <x v="0"/>
  </r>
  <r>
    <x v="123"/>
    <s v="Cartão de Crédito Dra Thaynara"/>
    <s v="Pagamento Cartão de Crédito Dra Thaynara"/>
    <x v="6"/>
    <x v="1"/>
    <x v="47"/>
    <s v="C6"/>
    <m/>
    <m/>
    <s v="Nathalia Louiz"/>
    <n v="877.25"/>
    <s v="Entrada"/>
    <x v="1"/>
  </r>
  <r>
    <x v="123"/>
    <s v="Itaú - Lisboa e Lisboa"/>
    <s v="Taxa de Condomínio Vaga Garagem A-82"/>
    <x v="10"/>
    <x v="1"/>
    <x v="16"/>
    <s v="ATON BUSINESS STYLE"/>
    <m/>
    <m/>
    <s v="Thaynara Borges"/>
    <n v="-64.56"/>
    <s v="Saída"/>
    <x v="0"/>
  </r>
  <r>
    <x v="123"/>
    <s v="Banco do Brasil - Sarah Alves Lisboa"/>
    <s v="MATERIAL DE LIMPEZA"/>
    <x v="26"/>
    <x v="1"/>
    <x v="72"/>
    <s v="EVANILZA ARAUJO MORAES"/>
    <m/>
    <m/>
    <s v="Nathalia Louiz"/>
    <n v="-54.44"/>
    <s v="Saída"/>
    <x v="0"/>
  </r>
  <r>
    <x v="123"/>
    <s v="Itaú - Lisboa e Lisboa"/>
    <s v="Taxa de Condomínio Vaga Garagem A-88"/>
    <x v="10"/>
    <x v="1"/>
    <x v="16"/>
    <s v="ATON BUSINESS STYLE"/>
    <m/>
    <m/>
    <s v="Thaynara Borges"/>
    <n v="-64.56"/>
    <s v="Saída"/>
    <x v="0"/>
  </r>
  <r>
    <x v="123"/>
    <s v="Banco do Brasil - Sarah Alves Lisboa"/>
    <s v="3 BENEFICIOS"/>
    <x v="2"/>
    <x v="2"/>
    <x v="157"/>
    <s v="SERGIO HENRIQUE  MOREIRA LOPES"/>
    <m/>
    <s v="BENEFÍCIO POR INCAPACIDADE"/>
    <s v="Nathalia Louiz"/>
    <n v="1007.59"/>
    <s v="Entrada"/>
    <x v="1"/>
  </r>
  <r>
    <x v="123"/>
    <s v="Itaú - Lisboa e Lisboa"/>
    <s v="Taxa de Condomínio Sala B-73"/>
    <x v="10"/>
    <x v="1"/>
    <x v="16"/>
    <s v="ATON BUSINESS STYLE"/>
    <m/>
    <m/>
    <s v="Thaynara Borges"/>
    <n v="-1296.1099999999999"/>
    <s v="Saída"/>
    <x v="0"/>
  </r>
  <r>
    <x v="123"/>
    <s v="Cartão de Crédito Dra Thaynara"/>
    <s v="Cálculo Jurídico"/>
    <x v="27"/>
    <x v="4"/>
    <x v="47"/>
    <s v="C6"/>
    <m/>
    <m/>
    <s v="Nathalia Louiz"/>
    <n v="-79.95"/>
    <s v="Saída"/>
    <x v="0"/>
  </r>
  <r>
    <x v="123"/>
    <s v="Itaú - Lisboa e Lisboa"/>
    <s v="Taxa de Condomínio Sala B-74"/>
    <x v="10"/>
    <x v="1"/>
    <x v="16"/>
    <s v="ATON BUSINESS STYLE"/>
    <m/>
    <m/>
    <s v="Thaynara Borges"/>
    <n v="-1295.55"/>
    <s v="Saída"/>
    <x v="0"/>
  </r>
  <r>
    <x v="123"/>
    <s v="Cartão de Crédito Dra Thaynara"/>
    <s v="ASTREA"/>
    <x v="12"/>
    <x v="1"/>
    <x v="47"/>
    <s v="C6"/>
    <m/>
    <m/>
    <s v="Thaynara Borges"/>
    <n v="-456.75"/>
    <s v="Saída"/>
    <x v="0"/>
  </r>
  <r>
    <x v="123"/>
    <s v="Itaú - Lisboa e Lisboa"/>
    <s v="Taxa de Condomínio Vaga Garagem A-83"/>
    <x v="10"/>
    <x v="1"/>
    <x v="16"/>
    <s v="ATON BUSINESS STYLE"/>
    <m/>
    <m/>
    <s v="Thaynara Borges"/>
    <n v="-64.56"/>
    <s v="Saída"/>
    <x v="0"/>
  </r>
  <r>
    <x v="124"/>
    <s v="Itaú - Lisboa e Lisboa"/>
    <s v="50% Sob RPV"/>
    <x v="2"/>
    <x v="2"/>
    <x v="119"/>
    <s v="IRANY CARDOSO TEIXEIRA"/>
    <m/>
    <s v="APOSENTADORIA RURAL"/>
    <s v="Nathalia Louiz"/>
    <n v="5852.82"/>
    <s v="Entrada"/>
    <x v="1"/>
  </r>
  <r>
    <x v="124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24"/>
    <s v="Itaú - Lisboa e Lisboa"/>
    <s v="Celular"/>
    <x v="8"/>
    <x v="1"/>
    <x v="14"/>
    <s v="VIVO"/>
    <m/>
    <m/>
    <s v="Thaynara Borges"/>
    <n v="-137.37"/>
    <s v="Saída"/>
    <x v="0"/>
  </r>
  <r>
    <x v="124"/>
    <s v="Itaú - Lisboa e Lisboa"/>
    <s v="30% Sob RPV"/>
    <x v="2"/>
    <x v="2"/>
    <x v="147"/>
    <s v="VERA LUCIA PEREIRA DE OLIVEIRA"/>
    <m/>
    <s v="AUXÍLIO DOENÇA"/>
    <s v="Nathalia Louiz"/>
    <n v="3117.13"/>
    <s v="Entrada"/>
    <x v="1"/>
  </r>
  <r>
    <x v="125"/>
    <s v="Cartão de Crédito Dra Sarah"/>
    <s v="ESTORNO DE COMPRA JANEIRO/2025"/>
    <x v="37"/>
    <x v="10"/>
    <x v="5"/>
    <s v="BANCO ITAU"/>
    <m/>
    <m/>
    <s v="Nathalia Louiz"/>
    <n v="308.25"/>
    <s v="Entrada"/>
    <x v="1"/>
  </r>
  <r>
    <x v="125"/>
    <s v="Cartão de Crédito Dra Sarah"/>
    <s v="Cartão de crédito Dra Sarah"/>
    <x v="6"/>
    <x v="1"/>
    <x v="5"/>
    <s v="BANCO ITAU"/>
    <m/>
    <m/>
    <s v="Nathalia Louiz"/>
    <n v="336.42"/>
    <s v="Entrada"/>
    <x v="1"/>
  </r>
  <r>
    <x v="125"/>
    <s v="Itaú - Lisboa e Lisboa"/>
    <s v="CONTRATO 9309114969"/>
    <x v="8"/>
    <x v="1"/>
    <x v="98"/>
    <s v="VIVO FIXO"/>
    <m/>
    <m/>
    <s v="Thaynara Borges"/>
    <n v="-130.53"/>
    <s v="Saída"/>
    <x v="0"/>
  </r>
  <r>
    <x v="125"/>
    <s v="Banco do Brasil - Sarah Alves Lisboa"/>
    <s v="EVENTO: A COMUNIDADE: VIRANDO A CHAVE DO NETWORKING"/>
    <x v="27"/>
    <x v="4"/>
    <x v="167"/>
    <s v="SYMPLA"/>
    <m/>
    <m/>
    <s v="Nathalia Louiz"/>
    <n v="-81.5"/>
    <s v="Saída"/>
    <x v="0"/>
  </r>
  <r>
    <x v="125"/>
    <s v="Itaú - Lisboa e Lisboa"/>
    <s v="Pagamento cartão Dra Sarah"/>
    <x v="6"/>
    <x v="1"/>
    <x v="5"/>
    <s v="BANCO ITAU"/>
    <m/>
    <m/>
    <s v="Nathalia Louiz"/>
    <n v="-336.42"/>
    <s v="Saída"/>
    <x v="0"/>
  </r>
  <r>
    <x v="125"/>
    <s v="Itaú - Lisboa e Lisboa"/>
    <s v="CONTRATO 9621661899"/>
    <x v="8"/>
    <x v="1"/>
    <x v="98"/>
    <s v="VIVO FIXO"/>
    <m/>
    <m/>
    <s v="Thaynara Borges"/>
    <n v="-131.37"/>
    <s v="Saída"/>
    <x v="0"/>
  </r>
  <r>
    <x v="125"/>
    <s v="Itaú - Lisboa e Lisboa"/>
    <s v="Diferença ref.: 2 Benefícios parcelados em 6x"/>
    <x v="2"/>
    <x v="2"/>
    <x v="10"/>
    <s v="ISABEL PEREIRA SOUSA"/>
    <m/>
    <s v="APOSENTADORIA POR IDADE"/>
    <s v="Thaynara Borges"/>
    <n v="0.01"/>
    <s v="Entrada"/>
    <x v="1"/>
  </r>
  <r>
    <x v="125"/>
    <s v="Cartão de Crédito Dra Sarah"/>
    <s v="TERMO SUL ENGENHARIA"/>
    <x v="14"/>
    <x v="1"/>
    <x v="5"/>
    <s v="BANCO ITAU"/>
    <m/>
    <m/>
    <s v="Nathalia Louiz"/>
    <n v="-419.68"/>
    <s v="Saída"/>
    <x v="0"/>
  </r>
  <r>
    <x v="125"/>
    <s v="Cartão de Crédito Dra Sarah"/>
    <s v="COMPRA MERCADO LIVRE"/>
    <x v="6"/>
    <x v="1"/>
    <x v="5"/>
    <s v="BANCO ITAU"/>
    <m/>
    <m/>
    <s v="Nathalia Louiz"/>
    <n v="-224.99"/>
    <s v="Saída"/>
    <x v="0"/>
  </r>
  <r>
    <x v="125"/>
    <s v="Banco do Brasil - Sarah Alves Lisboa"/>
    <s v="ANUIDADE (3 BENEFICIOS)"/>
    <x v="2"/>
    <x v="2"/>
    <x v="125"/>
    <s v="DARLENE CAIXETA DOS SANTOS"/>
    <m/>
    <s v="BENEFÍCIO POR INCAPACIDADE"/>
    <s v="Nathalia Louiz"/>
    <n v="455.4"/>
    <s v="Entrada"/>
    <x v="1"/>
  </r>
  <r>
    <x v="126"/>
    <s v="Banco do Brasil - Sarah Alves Lisboa"/>
    <s v="Tarifa de pacote de serviços"/>
    <x v="30"/>
    <x v="9"/>
    <x v="22"/>
    <s v="BANCO DO BRASIL S/A"/>
    <m/>
    <m/>
    <s v="Nathalia Louiz"/>
    <n v="-15"/>
    <s v="Saída"/>
    <x v="0"/>
  </r>
  <r>
    <x v="126"/>
    <s v="Banco do Brasil - Sarah Alves Lisboa"/>
    <s v="PAGAMENTO DE HONORÁRIOS"/>
    <x v="2"/>
    <x v="2"/>
    <x v="96"/>
    <s v="VALDIR DE PAIVA BRASIL"/>
    <m/>
    <s v="PENSÃO POR MORTE"/>
    <s v="Nathalia Louiz"/>
    <n v="300"/>
    <s v="Entrada"/>
    <x v="1"/>
  </r>
  <r>
    <x v="126"/>
    <s v="Banco do Brasil - Sarah Alves Lisboa"/>
    <s v="50% dos honorários (Parceria Dr Ajnaldo)"/>
    <x v="2"/>
    <x v="2"/>
    <x v="104"/>
    <s v="LEILA DO CARMO GONÇALVES OLIVEIRA"/>
    <m/>
    <s v="APOSENTADORIA POR IDADE RURAL"/>
    <s v="Thaynara Borges"/>
    <n v="445.5"/>
    <s v="Entrada"/>
    <x v="1"/>
  </r>
  <r>
    <x v="126"/>
    <s v="Banco do Brasil - Sarah Alves Lisboa"/>
    <s v="30% Sob Implantação - VALOR TOTAL (R$891 - 50% ajnaldo) - Abatido no Débito da Leila"/>
    <x v="2"/>
    <x v="2"/>
    <x v="107"/>
    <s v="CAIO FERNANDES BORGES"/>
    <m/>
    <s v="BENEFÍCIO POR INCAPACIDADE"/>
    <s v="Nathalia Louiz"/>
    <n v="445.5"/>
    <s v="Entrada"/>
    <x v="1"/>
  </r>
  <r>
    <x v="126"/>
    <s v="Itaú - Lisboa e Lisboa"/>
    <s v="IEL Estagiárias"/>
    <x v="13"/>
    <x v="6"/>
    <x v="21"/>
    <s v="IEL"/>
    <m/>
    <m/>
    <s v="Thaynara Borges"/>
    <n v="-426.92"/>
    <s v="Saída"/>
    <x v="0"/>
  </r>
  <r>
    <x v="127"/>
    <s v="Itaú - Lisboa e Lisboa"/>
    <s v="Honorários referente a estudo/planejamento previdenciário"/>
    <x v="2"/>
    <x v="2"/>
    <x v="168"/>
    <s v="JOSE VITORIO DE CARVALHO JUNIOR"/>
    <m/>
    <s v="PLANEJAMENTO PREVIDENCIÁRIO"/>
    <s v="Thaynara Borges"/>
    <n v="97.15"/>
    <s v="Entrada"/>
    <x v="1"/>
  </r>
  <r>
    <x v="128"/>
    <s v="Banco do Brasil - Sarah Alves Lisboa"/>
    <s v="30% Sob implantação"/>
    <x v="2"/>
    <x v="2"/>
    <x v="169"/>
    <s v="DALILA DE JESUS MORAES ROCHA"/>
    <m/>
    <s v="AUXILIO DOENÇA"/>
    <s v="Nathalia Louiz"/>
    <n v="152"/>
    <s v="Entrada"/>
    <x v="1"/>
  </r>
  <r>
    <x v="129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30"/>
    <s v="Banco do Brasil - Sarah Alves Lisboa"/>
    <s v="Cartão de Crédito Dra Thaynara"/>
    <x v="6"/>
    <x v="1"/>
    <x v="47"/>
    <s v="C6"/>
    <m/>
    <m/>
    <s v="Thaynara Borges"/>
    <n v="-877.25"/>
    <s v="Saída"/>
    <x v="0"/>
  </r>
  <r>
    <x v="131"/>
    <s v="Banco do Brasil - Sarah Alves Lisboa"/>
    <s v="30% Sob implantação"/>
    <x v="2"/>
    <x v="2"/>
    <x v="170"/>
    <s v="MARCOS HENRIQUE SILVA SANTOS"/>
    <m/>
    <s v="BENEFÍCIO POR INCAPACIDADE"/>
    <s v="Nathalia Louiz"/>
    <n v="477"/>
    <s v="Entrada"/>
    <x v="1"/>
  </r>
  <r>
    <x v="131"/>
    <s v="Itaú - Lisboa e Lisboa"/>
    <s v="Rescisão de Contrato Trabalhista"/>
    <x v="15"/>
    <x v="6"/>
    <x v="32"/>
    <s v="Raffaela Nunes"/>
    <m/>
    <m/>
    <s v="Nathalia Louiz"/>
    <n v="-2616.83"/>
    <s v="Saída"/>
    <x v="0"/>
  </r>
  <r>
    <x v="132"/>
    <s v="Itaú - Lisboa e Lisboa"/>
    <s v="INSS"/>
    <x v="19"/>
    <x v="6"/>
    <x v="38"/>
    <s v="RECEITA FEDERAL"/>
    <m/>
    <m/>
    <s v="Thaynara Borges"/>
    <n v="-3219.5"/>
    <s v="Saída"/>
    <x v="0"/>
  </r>
  <r>
    <x v="132"/>
    <s v="Itaú - Lisboa e Lisboa"/>
    <s v="FGTS"/>
    <x v="18"/>
    <x v="6"/>
    <x v="133"/>
    <s v="FGTS"/>
    <m/>
    <m/>
    <s v="Thaynara Borges"/>
    <n v="-589.23"/>
    <s v="Saída"/>
    <x v="0"/>
  </r>
  <r>
    <x v="132"/>
    <s v="Itaú - Lisboa e Lisboa"/>
    <s v="GUIA GFD - Rescisão de Contrato - Raffaela"/>
    <x v="18"/>
    <x v="6"/>
    <x v="133"/>
    <s v="FGTS"/>
    <m/>
    <m/>
    <s v="Nathalia Louiz"/>
    <n v="-145.6"/>
    <s v="Saída"/>
    <x v="0"/>
  </r>
  <r>
    <x v="132"/>
    <s v="Itaú - Lisboa e Lisboa"/>
    <s v="Simples Nacional"/>
    <x v="20"/>
    <x v="7"/>
    <x v="39"/>
    <s v="Simples Nacional"/>
    <m/>
    <m/>
    <s v="Thaynara Borges"/>
    <n v="-16067.33"/>
    <s v="Saída"/>
    <x v="0"/>
  </r>
  <r>
    <x v="132"/>
    <s v="Banco do Brasil - Sarah Alves Lisboa"/>
    <s v="LIMPEZA"/>
    <x v="9"/>
    <x v="1"/>
    <x v="15"/>
    <s v="ELIZANGELA FERREIRA DA SILVA"/>
    <m/>
    <m/>
    <s v="Nathalia Louiz"/>
    <n v="-170"/>
    <s v="Saída"/>
    <x v="0"/>
  </r>
  <r>
    <x v="133"/>
    <s v="Banco do Brasil - Sarah Alves Lisboa"/>
    <s v="30% sob ação de indenização"/>
    <x v="2"/>
    <x v="2"/>
    <x v="171"/>
    <s v="CAROLINE MATOS DE SOUZA"/>
    <m/>
    <s v="INDENIZAÇÃO DE DANOS MORAIS"/>
    <s v="Nathalia Louiz"/>
    <n v="1350"/>
    <s v="Entrada"/>
    <x v="1"/>
  </r>
  <r>
    <x v="133"/>
    <s v="Itaú - Lisboa e Lisboa"/>
    <s v="Água"/>
    <x v="17"/>
    <x v="1"/>
    <x v="34"/>
    <s v="SANEAGO GOIAS S/A"/>
    <m/>
    <m/>
    <s v="Thaynara Borges"/>
    <n v="-134.25"/>
    <s v="Saída"/>
    <x v="0"/>
  </r>
  <r>
    <x v="134"/>
    <s v="Banco do Brasil - Sarah Alves Lisboa"/>
    <s v="Compras para Escritório"/>
    <x v="26"/>
    <x v="1"/>
    <x v="172"/>
    <s v="COSTA ATACADISTA"/>
    <m/>
    <m/>
    <s v="Nathalia Louiz"/>
    <n v="-451.16"/>
    <s v="Saída"/>
    <x v="0"/>
  </r>
  <r>
    <x v="134"/>
    <s v="Itaú - Lisboa e Lisboa"/>
    <s v="IPTU - BOX 82"/>
    <x v="29"/>
    <x v="1"/>
    <x v="71"/>
    <s v="PREFEITURA MUNICIPAL DE GOIÂNIA"/>
    <s v=""/>
    <m/>
    <s v="Nathalia Louiz"/>
    <n v="-42.74"/>
    <s v="Saída"/>
    <x v="0"/>
  </r>
  <r>
    <x v="134"/>
    <s v="Itaú - Lisboa e Lisboa"/>
    <s v="IPTU - BOX 83"/>
    <x v="29"/>
    <x v="1"/>
    <x v="71"/>
    <s v="PREFEITURA MUNICIPAL DE GOIÂNIA"/>
    <m/>
    <m/>
    <s v="Nathalia Louiz"/>
    <n v="-42.74"/>
    <s v="Saída"/>
    <x v="0"/>
  </r>
  <r>
    <x v="134"/>
    <s v="Itaú - Lisboa e Lisboa"/>
    <s v="IPTU - BOX 78"/>
    <x v="29"/>
    <x v="1"/>
    <x v="71"/>
    <s v="PREFEITURA MUNICIPAL DE GOIÂNIA"/>
    <m/>
    <m/>
    <s v="Nathalia Louiz"/>
    <n v="-42.74"/>
    <s v="Saída"/>
    <x v="0"/>
  </r>
  <r>
    <x v="134"/>
    <s v="Itaú - Lisboa e Lisboa"/>
    <s v="IPTU - BOX 88"/>
    <x v="29"/>
    <x v="1"/>
    <x v="71"/>
    <s v="PREFEITURA MUNICIPAL DE GOIÂNIA"/>
    <m/>
    <m/>
    <s v="Nathalia Louiz"/>
    <n v="-42.74"/>
    <s v="Saída"/>
    <x v="0"/>
  </r>
  <r>
    <x v="134"/>
    <s v="Banco do Brasil - Sarah Alves Lisboa"/>
    <s v="CURSO - IMERSÃO R.E.I VOX"/>
    <x v="32"/>
    <x v="6"/>
    <x v="173"/>
    <s v="EDUZZ TECNOLOGIA LTDA"/>
    <m/>
    <m/>
    <s v="Nathalia Louiz"/>
    <n v="-497"/>
    <s v="Saída"/>
    <x v="0"/>
  </r>
  <r>
    <x v="134"/>
    <s v="Itaú - Lisboa e Lisboa"/>
    <s v="IPTU - SALA B74"/>
    <x v="29"/>
    <x v="1"/>
    <x v="71"/>
    <s v="PREFEITURA MUNICIPAL DE GOIÂNIA"/>
    <m/>
    <m/>
    <s v="Nathalia Louiz"/>
    <n v="-125.57"/>
    <s v="Saída"/>
    <x v="0"/>
  </r>
  <r>
    <x v="134"/>
    <s v="Itaú - Lisboa e Lisboa"/>
    <s v="IPTU - BOX 81"/>
    <x v="29"/>
    <x v="1"/>
    <x v="71"/>
    <s v="PREFEITURA MUNICIPAL DE GOIÂNIA"/>
    <m/>
    <m/>
    <s v="Nathalia Louiz"/>
    <n v="-42.74"/>
    <s v="Saída"/>
    <x v="0"/>
  </r>
  <r>
    <x v="135"/>
    <s v="Banco do Brasil - Sarah Alves Lisboa"/>
    <s v="3 Benefícios - Implantação"/>
    <x v="2"/>
    <x v="2"/>
    <x v="174"/>
    <s v="MARIA MADALENA ALVES DA SILVA PAULA"/>
    <m/>
    <s v="PENSÃO POR MORTE"/>
    <s v="Nathalia Louiz"/>
    <n v="2277"/>
    <s v="Entrada"/>
    <x v="1"/>
  </r>
  <r>
    <x v="136"/>
    <s v="Banco do Brasil - Sarah Alves Lisboa"/>
    <s v="30% comissão Dra Karine"/>
    <x v="28"/>
    <x v="7"/>
    <x v="125"/>
    <s v="DARLENE CAIXETA DOS SANTOS"/>
    <m/>
    <s v="BENEFÍCIO POR INCAPACIDADE"/>
    <s v="Nathalia Louiz"/>
    <n v="-136.62"/>
    <s v="Saída"/>
    <x v="0"/>
  </r>
  <r>
    <x v="136"/>
    <s v="Banco do Brasil - Sarah Alves Lisboa"/>
    <s v="30% Sob implantação"/>
    <x v="2"/>
    <x v="2"/>
    <x v="175"/>
    <s v="LENY CORREIA DOS SANTOS"/>
    <m/>
    <s v="APOSENTADORIA HÍBRIDA"/>
    <s v="Nathalia Louiz"/>
    <n v="455.4"/>
    <s v="Entrada"/>
    <x v="1"/>
  </r>
  <r>
    <x v="137"/>
    <s v="Banco do Brasil - Sarah Alves Lisboa"/>
    <s v="Honorários sob Ação de Interdição"/>
    <x v="2"/>
    <x v="2"/>
    <x v="176"/>
    <s v="LUCIANNA LEAO DIAS DOS REIS"/>
    <m/>
    <s v="INTERDIÇÃO"/>
    <s v="Nathalia Louiz"/>
    <n v="3500"/>
    <s v="Entrada"/>
    <x v="1"/>
  </r>
  <r>
    <x v="137"/>
    <s v="Banco do Brasil - Sarah Alves Lisboa"/>
    <s v="Combustível viagem Dr Sarah"/>
    <x v="35"/>
    <x v="4"/>
    <x v="126"/>
    <s v="POSTO 2824"/>
    <m/>
    <m/>
    <s v="Nathalia Louiz"/>
    <n v="-213.66"/>
    <s v="Saída"/>
    <x v="0"/>
  </r>
  <r>
    <x v="138"/>
    <s v="Itaú - Lisboa e Lisboa"/>
    <s v="Energia contrato 0067122663"/>
    <x v="21"/>
    <x v="1"/>
    <x v="91"/>
    <s v="EQUATORIAL GOIAS 0067122663"/>
    <m/>
    <m/>
    <s v="Thaynara Borges"/>
    <n v="-477.27"/>
    <s v="Saída"/>
    <x v="0"/>
  </r>
  <r>
    <x v="138"/>
    <s v="Banco do Brasil - Sarah Alves Lisboa"/>
    <s v="Honorários de parceria caso VALENTINA SOUSA FONSECA"/>
    <x v="2"/>
    <x v="2"/>
    <x v="177"/>
    <s v="DR SILVIO CARNEIRO"/>
    <m/>
    <m/>
    <s v="Nathalia Louiz"/>
    <n v="150"/>
    <s v="Entrada"/>
    <x v="1"/>
  </r>
  <r>
    <x v="138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38"/>
    <s v="Banco do Brasil - Sarah Alves Lisboa"/>
    <s v="RENDIMENTOS"/>
    <x v="38"/>
    <x v="0"/>
    <x v="22"/>
    <s v="BANCO DO BRASIL S/A"/>
    <m/>
    <m/>
    <s v="Nathalia Louiz"/>
    <n v="0.3"/>
    <s v="Entrada"/>
    <x v="1"/>
  </r>
  <r>
    <x v="138"/>
    <s v="Itaú - Lisboa e Lisboa"/>
    <s v="Energia contrato 0067122721"/>
    <x v="21"/>
    <x v="1"/>
    <x v="94"/>
    <s v="EQUATORIAL GOIAS 0067122721"/>
    <m/>
    <m/>
    <s v="Thaynara Borges"/>
    <n v="-369.56"/>
    <s v="Saída"/>
    <x v="0"/>
  </r>
  <r>
    <x v="138"/>
    <s v="Banco do Brasil - Sarah Alves Lisboa"/>
    <s v="Compras para escritório"/>
    <x v="26"/>
    <x v="1"/>
    <x v="134"/>
    <s v="SUPERMERCADO MOREIRA"/>
    <m/>
    <m/>
    <s v="Nathalia Louiz"/>
    <n v="-16.47"/>
    <s v="Saída"/>
    <x v="0"/>
  </r>
  <r>
    <x v="138"/>
    <s v="Banco do Brasil - Sarah Alves Lisboa"/>
    <s v="Valor de saque em Agência Avenida T-7 (Dinheiro para levar em viagem - Dra Sarah)"/>
    <x v="27"/>
    <x v="4"/>
    <x v="178"/>
    <s v="SAQUE DE VALORES"/>
    <m/>
    <m/>
    <s v="Nathalia Louiz"/>
    <n v="-500"/>
    <s v="Saída"/>
    <x v="0"/>
  </r>
  <r>
    <x v="139"/>
    <s v="Itaú - Lisboa e Lisboa"/>
    <s v="Bolsa Estagio"/>
    <x v="13"/>
    <x v="6"/>
    <x v="46"/>
    <s v="Laura Barbosa Marques"/>
    <m/>
    <m/>
    <s v="Thaynara Borges"/>
    <n v="-1300"/>
    <s v="Saída"/>
    <x v="0"/>
  </r>
  <r>
    <x v="139"/>
    <s v="Banco do Brasil - Sarah Alves Lisboa"/>
    <s v="Salário"/>
    <x v="15"/>
    <x v="6"/>
    <x v="69"/>
    <s v="Nathalia Louiz Alves Vigilato"/>
    <m/>
    <m/>
    <s v="Nathalia Louiz"/>
    <n v="-1518"/>
    <s v="Saída"/>
    <x v="0"/>
  </r>
  <r>
    <x v="139"/>
    <s v="Itaú - Lisboa e Lisboa"/>
    <s v="Honorário R$ 2.277,00 - Parceria com Dr Fernando  (50%)"/>
    <x v="2"/>
    <x v="2"/>
    <x v="179"/>
    <s v="JAIME RODRIGUES DE SOUZA"/>
    <m/>
    <s v="APOSENTADORIA POR TEMPO DE CONTRIBUIÇÃO COM IDADE MÍNIMA"/>
    <s v="Nathalia Louiz"/>
    <n v="756.15"/>
    <s v="Entrada"/>
    <x v="1"/>
  </r>
  <r>
    <x v="139"/>
    <s v="Itaú - Lisboa e Lisboa"/>
    <s v="PRÓ-LABORE"/>
    <x v="23"/>
    <x v="8"/>
    <x v="7"/>
    <s v="Sarah Alves Lisboa"/>
    <m/>
    <m/>
    <s v="Thaynara Borges"/>
    <n v="-1351.02"/>
    <s v="Saída"/>
    <x v="0"/>
  </r>
  <r>
    <x v="139"/>
    <s v="Itaú - Lisboa e Lisboa"/>
    <s v="Retirada"/>
    <x v="22"/>
    <x v="8"/>
    <x v="27"/>
    <s v="Thaynara Borges Pereira"/>
    <m/>
    <m/>
    <s v="Thaynara Borges"/>
    <n v="-4594.6899999999996"/>
    <s v="Saída"/>
    <x v="0"/>
  </r>
  <r>
    <x v="139"/>
    <s v="Banco do Brasil - Sarah Alves Lisboa"/>
    <s v="Salário"/>
    <x v="15"/>
    <x v="6"/>
    <x v="32"/>
    <s v="Raffaela Nunes"/>
    <m/>
    <m/>
    <s v="Thaynara Borges"/>
    <n v="-1920"/>
    <s v="Saída"/>
    <x v="0"/>
  </r>
  <r>
    <x v="139"/>
    <s v="Itaú - Lisboa e Lisboa"/>
    <s v="Salário"/>
    <x v="15"/>
    <x v="6"/>
    <x v="37"/>
    <s v="Nina Araujo"/>
    <m/>
    <m/>
    <s v="Thaynara Borges"/>
    <n v="-3208.61"/>
    <s v="Saída"/>
    <x v="0"/>
  </r>
  <r>
    <x v="139"/>
    <s v="Itaú - Lisboa e Lisboa"/>
    <s v="PRÓ-LABORE"/>
    <x v="23"/>
    <x v="8"/>
    <x v="27"/>
    <s v="Thaynara Borges Pereira"/>
    <m/>
    <m/>
    <s v="Thaynara Borges"/>
    <n v="-405.31"/>
    <s v="Saída"/>
    <x v="0"/>
  </r>
  <r>
    <x v="139"/>
    <s v="Itaú - Lisboa e Lisboa"/>
    <s v="Salário"/>
    <x v="15"/>
    <x v="6"/>
    <x v="166"/>
    <s v="MARIA EDUARDA DE SOUZA"/>
    <m/>
    <m/>
    <s v="Nathalia Louiz"/>
    <n v="-2297.77"/>
    <s v="Saída"/>
    <x v="0"/>
  </r>
  <r>
    <x v="139"/>
    <s v="Banco do Brasil - Sarah Alves Lisboa"/>
    <s v="Cartucho para impressora"/>
    <x v="26"/>
    <x v="1"/>
    <x v="180"/>
    <s v="EXTRA CARTUCHOS"/>
    <m/>
    <m/>
    <s v="Nathalia Louiz"/>
    <n v="-180"/>
    <s v="Saída"/>
    <x v="0"/>
  </r>
  <r>
    <x v="139"/>
    <s v="Itaú - Lisboa e Lisboa"/>
    <s v="Retirada"/>
    <x v="22"/>
    <x v="8"/>
    <x v="7"/>
    <s v="Sarah Alves Lisboa"/>
    <m/>
    <m/>
    <s v="Thaynara Borges"/>
    <n v="-6148.98"/>
    <s v="Saída"/>
    <x v="0"/>
  </r>
  <r>
    <x v="140"/>
    <s v="Cartão de Crédito Dr Ivanildo"/>
    <s v="NB BAR E RESTAURANTE"/>
    <x v="11"/>
    <x v="1"/>
    <x v="5"/>
    <s v="BANCO ITAU"/>
    <m/>
    <m/>
    <s v="Nathalia Louiz"/>
    <n v="-523.38"/>
    <s v="Saída"/>
    <x v="0"/>
  </r>
  <r>
    <x v="140"/>
    <s v="Itaú - Lisboa e Lisboa"/>
    <s v="Consultoria Financeira"/>
    <x v="0"/>
    <x v="0"/>
    <x v="0"/>
    <s v="PROGRESSE CONSULTORIA EMPRESARIAL"/>
    <m/>
    <m/>
    <s v="Thaynara Borges"/>
    <n v="-1750"/>
    <s v="Saída"/>
    <x v="0"/>
  </r>
  <r>
    <x v="140"/>
    <s v="Cartão de Crédito Dr Ivanildo"/>
    <s v="ZapSign programa de assinatura eletronica"/>
    <x v="12"/>
    <x v="1"/>
    <x v="5"/>
    <s v="BANCO ITAU"/>
    <m/>
    <m/>
    <s v="Thaynara Borges"/>
    <n v="-19.899999999999999"/>
    <s v="Saída"/>
    <x v="0"/>
  </r>
  <r>
    <x v="140"/>
    <s v="Cartão de Crédito Dr Ivanildo"/>
    <s v="SUPERMERCADO MOREIRA"/>
    <x v="11"/>
    <x v="1"/>
    <x v="5"/>
    <s v="BANCO ITAU"/>
    <m/>
    <m/>
    <s v="Nathalia Louiz"/>
    <n v="-65.5"/>
    <s v="Saída"/>
    <x v="0"/>
  </r>
  <r>
    <x v="140"/>
    <s v="Cartão de Crédito Dr Ivanildo"/>
    <s v="CANAA FRIOS"/>
    <x v="11"/>
    <x v="1"/>
    <x v="5"/>
    <s v="BANCO ITAU"/>
    <m/>
    <m/>
    <s v="Nathalia Louiz"/>
    <n v="-37.700000000000003"/>
    <s v="Saída"/>
    <x v="0"/>
  </r>
  <r>
    <x v="140"/>
    <s v="Cartão de Crédito Dr Ivanildo"/>
    <s v="Jusbrasil"/>
    <x v="12"/>
    <x v="1"/>
    <x v="5"/>
    <s v="BANCO ITAU"/>
    <m/>
    <m/>
    <s v="Thaynara Borges"/>
    <n v="-58.9"/>
    <s v="Saída"/>
    <x v="0"/>
  </r>
  <r>
    <x v="140"/>
    <s v="Cartão de Crédito Dr Ivanildo"/>
    <s v="ASSAI ATACADISTA"/>
    <x v="11"/>
    <x v="1"/>
    <x v="5"/>
    <s v="BANCO ITAU"/>
    <m/>
    <m/>
    <s v="Nathalia Louiz"/>
    <n v="-72.489999999999995"/>
    <s v="Saída"/>
    <x v="0"/>
  </r>
  <r>
    <x v="140"/>
    <s v="Cartão de Crédito Dr Ivanildo"/>
    <s v="Pagamento Cartão de Crédito Dr Ivanildo"/>
    <x v="6"/>
    <x v="1"/>
    <x v="5"/>
    <s v="BANCO ITAU"/>
    <m/>
    <m/>
    <s v="Thaynara Borges"/>
    <n v="1975.87"/>
    <s v="Entrada"/>
    <x v="1"/>
  </r>
  <r>
    <x v="140"/>
    <s v="Itaú - Lisboa e Lisboa"/>
    <s v="RENDIMENTOS"/>
    <x v="38"/>
    <x v="0"/>
    <x v="5"/>
    <s v="BANCO ITAU"/>
    <m/>
    <m/>
    <s v="Nathalia Louiz"/>
    <n v="7.34"/>
    <s v="Entrada"/>
    <x v="1"/>
  </r>
  <r>
    <x v="140"/>
    <s v="Banco do Brasil - Sarah Alves Lisboa"/>
    <s v="Parcela - Valor da Implantação (R$4.554,00)"/>
    <x v="2"/>
    <x v="2"/>
    <x v="174"/>
    <s v="MARIA MADALENA ALVES DA SILVA PAULA"/>
    <m/>
    <s v="PENSÃO POR MORTE"/>
    <s v="Nathalia Louiz"/>
    <n v="1138.5"/>
    <s v="Entrada"/>
    <x v="1"/>
  </r>
  <r>
    <x v="140"/>
    <s v="Cartão de Crédito Dr Ivanildo"/>
    <s v="Google One"/>
    <x v="12"/>
    <x v="1"/>
    <x v="5"/>
    <s v="BANCO ITAU"/>
    <m/>
    <m/>
    <s v="Thaynara Borges"/>
    <n v="-14.99"/>
    <s v="Saída"/>
    <x v="0"/>
  </r>
  <r>
    <x v="140"/>
    <s v="Cartão de Crédito Dr Ivanildo"/>
    <s v="Computador Dell"/>
    <x v="25"/>
    <x v="0"/>
    <x v="5"/>
    <s v="BANCO ITAU"/>
    <s v=""/>
    <m/>
    <s v="Nathalia Louiz"/>
    <n v="-333.24"/>
    <s v="Saída"/>
    <x v="0"/>
  </r>
  <r>
    <x v="140"/>
    <s v="Cartão de Crédito Dr Ivanildo"/>
    <s v="Jusbrasil"/>
    <x v="12"/>
    <x v="1"/>
    <x v="5"/>
    <s v="BANCO ITAU"/>
    <m/>
    <m/>
    <s v="Thaynara Borges"/>
    <n v="-58.9"/>
    <s v="Saída"/>
    <x v="0"/>
  </r>
  <r>
    <x v="140"/>
    <s v="Cartão de Crédito Dr Ivanildo"/>
    <s v="CANAÃ FRIOS"/>
    <x v="11"/>
    <x v="1"/>
    <x v="5"/>
    <s v="BANCO ITAU"/>
    <m/>
    <m/>
    <s v="Nathalia Louiz"/>
    <n v="-31.2"/>
    <s v="Saída"/>
    <x v="0"/>
  </r>
  <r>
    <x v="140"/>
    <s v="Cartão de Crédito Dr Ivanildo"/>
    <s v="ASA CURSOS"/>
    <x v="32"/>
    <x v="6"/>
    <x v="5"/>
    <s v="BANCO ITAU"/>
    <m/>
    <m/>
    <s v="Nathalia Louiz"/>
    <n v="-59.9"/>
    <s v="Saída"/>
    <x v="0"/>
  </r>
  <r>
    <x v="140"/>
    <s v="Banco do Brasil - Sarah Alves Lisboa"/>
    <s v="Pagamento de Parceria para Dr Flavia : 50%"/>
    <x v="28"/>
    <x v="7"/>
    <x v="171"/>
    <s v="CAROLINE MATOS DE SOUZA"/>
    <m/>
    <s v="INDENIZAÇÃO DE DANOS MORAIS"/>
    <s v="Nathalia Louiz"/>
    <n v="-675"/>
    <s v="Saída"/>
    <x v="0"/>
  </r>
  <r>
    <x v="140"/>
    <s v="Cartão de Crédito Dr Ivanildo"/>
    <s v="CANAÃ FRIOS"/>
    <x v="11"/>
    <x v="1"/>
    <x v="5"/>
    <s v="BANCO ITAU"/>
    <m/>
    <m/>
    <s v="Nathalia Louiz"/>
    <n v="-38.74"/>
    <s v="Saída"/>
    <x v="0"/>
  </r>
  <r>
    <x v="140"/>
    <s v="Banco do Brasil - Sarah Alves Lisboa"/>
    <s v="PAGAMENTO DE HONORÁRIOS - ACORDO APÓS EXECUÇÃO DO CONTRATO"/>
    <x v="2"/>
    <x v="2"/>
    <x v="53"/>
    <s v="MARCOS ANTONIO LOURENÇO DE TOLEDO"/>
    <m/>
    <s v="AUXILIO DOENÇA"/>
    <s v="Nathalia Louiz"/>
    <n v="100"/>
    <s v="Entrada"/>
    <x v="1"/>
  </r>
  <r>
    <x v="140"/>
    <s v="Itaú - Lisboa e Lisboa"/>
    <s v="Assessoria Contábil"/>
    <x v="1"/>
    <x v="1"/>
    <x v="1"/>
    <s v="CARLOS ALBERTO GRACIANO RODRIGUES"/>
    <m/>
    <m/>
    <s v="Thaynara Borges"/>
    <n v="-1518"/>
    <s v="Saída"/>
    <x v="0"/>
  </r>
  <r>
    <x v="140"/>
    <s v="Cartão de Crédito Dr Ivanildo"/>
    <s v="AMAZON BR"/>
    <x v="27"/>
    <x v="4"/>
    <x v="5"/>
    <s v="BANCO ITAU"/>
    <m/>
    <m/>
    <s v="Nathalia Louiz"/>
    <n v="-44.99"/>
    <s v="Saída"/>
    <x v="0"/>
  </r>
  <r>
    <x v="140"/>
    <s v="Cartão de Crédito Dr Ivanildo"/>
    <s v="AMAZON BR"/>
    <x v="26"/>
    <x v="1"/>
    <x v="5"/>
    <s v="BANCO ITAU"/>
    <m/>
    <m/>
    <s v="Nathalia Louiz"/>
    <n v="-280.52999999999997"/>
    <s v="Saída"/>
    <x v="0"/>
  </r>
  <r>
    <x v="140"/>
    <s v="Cartão de Crédito Dr Ivanildo"/>
    <s v="SUPERMERCADO MOREIRA"/>
    <x v="11"/>
    <x v="1"/>
    <x v="5"/>
    <s v="BANCO ITAU"/>
    <m/>
    <m/>
    <s v="Nathalia Louiz"/>
    <n v="-84.71"/>
    <s v="Saída"/>
    <x v="0"/>
  </r>
  <r>
    <x v="140"/>
    <s v="Cartão de Crédito Dr Ivanildo"/>
    <s v="Google One"/>
    <x v="12"/>
    <x v="1"/>
    <x v="5"/>
    <s v="BANCO ITAU"/>
    <m/>
    <m/>
    <s v="Thaynara Borges"/>
    <n v="-49.99"/>
    <s v="Saída"/>
    <x v="0"/>
  </r>
  <r>
    <x v="140"/>
    <s v="Cartão de Crédito Dr Ivanildo"/>
    <s v="Prévius - LOGIKE"/>
    <x v="12"/>
    <x v="1"/>
    <x v="5"/>
    <s v="BANCO ITAU"/>
    <m/>
    <m/>
    <s v="Thaynara Borges"/>
    <n v="-80.91"/>
    <s v="Saída"/>
    <x v="0"/>
  </r>
  <r>
    <x v="140"/>
    <s v="Banco do Brasil - Sarah Alves Lisboa"/>
    <s v="30% sob implantação"/>
    <x v="2"/>
    <x v="2"/>
    <x v="181"/>
    <s v="MATHEUS HENRIQUE DE CARVALHO MIRANDA"/>
    <m/>
    <s v="PENSÃO POR MORTE"/>
    <s v="Nathalia Louiz"/>
    <n v="2300"/>
    <s v="Entrada"/>
    <x v="1"/>
  </r>
  <r>
    <x v="140"/>
    <s v="Cartão de Crédito Dr Ivanildo"/>
    <s v="Previdenciarista"/>
    <x v="12"/>
    <x v="1"/>
    <x v="5"/>
    <s v="BANCO ITAU"/>
    <m/>
    <m/>
    <s v="Thaynara Borges"/>
    <n v="-119.9"/>
    <s v="Saída"/>
    <x v="0"/>
  </r>
  <r>
    <x v="141"/>
    <s v="Banco do Brasil - Sarah Alves Lisboa"/>
    <s v="30% sobre implantação"/>
    <x v="2"/>
    <x v="2"/>
    <x v="169"/>
    <s v="DALILA DE JESUS MORAES ROCHA"/>
    <m/>
    <s v="AUXILIO DOENÇA"/>
    <s v="Nathalia Louiz"/>
    <n v="547"/>
    <s v="Entrada"/>
    <x v="1"/>
  </r>
  <r>
    <x v="141"/>
    <s v="Itaú - Lisboa e Lisboa"/>
    <s v="Honorários R$5000,00 (Parceria com Dr Luciano R$2.500) - 5 parcelas para cada."/>
    <x v="2"/>
    <x v="2"/>
    <x v="182"/>
    <s v="LUZIA VIEIRA DE JESUS NASCIMENTO"/>
    <m/>
    <s v="aposentadoria"/>
    <s v="Nathalia Louiz"/>
    <n v="500"/>
    <s v="Entrada"/>
    <x v="2"/>
  </r>
  <r>
    <x v="141"/>
    <s v="Banco do Brasil - Sarah Alves Lisboa"/>
    <s v="Honorários Sob Implantação"/>
    <x v="2"/>
    <x v="2"/>
    <x v="183"/>
    <s v="SEBASTIAO RIBEIRO NETO"/>
    <m/>
    <s v="APOSENTADORIA POR TEMPO DE CONTRIBUIÇAO DA PESSOA COM DEFICIENCIA"/>
    <s v="Nathalia Louiz"/>
    <n v="1671"/>
    <s v="Entrada"/>
    <x v="1"/>
  </r>
  <r>
    <x v="142"/>
    <s v="Itaú - Lisboa e Lisboa"/>
    <s v="Plano mensal - conta corrente"/>
    <x v="4"/>
    <x v="3"/>
    <x v="5"/>
    <s v="BANCO ITAU"/>
    <m/>
    <m/>
    <s v="Thaynara Borges"/>
    <n v="-261.75"/>
    <s v="Saída"/>
    <x v="4"/>
  </r>
  <r>
    <x v="143"/>
    <s v="Banco do Brasil - Sarah Alves Lisboa"/>
    <s v="3 BENEFICIOS"/>
    <x v="2"/>
    <x v="2"/>
    <x v="157"/>
    <s v="SERGIO HENRIQUE  MOREIRA LOPES"/>
    <m/>
    <s v="BENEFÍCIO POR INCAPACIDADE"/>
    <s v="Nathalia Louiz"/>
    <n v="1007.59"/>
    <s v="Entrada"/>
    <x v="1"/>
  </r>
  <r>
    <x v="143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43"/>
    <s v="Itaú - Lisboa e Lisboa"/>
    <s v="Parcelamento 3 BENEFICIOS"/>
    <x v="2"/>
    <x v="2"/>
    <x v="181"/>
    <s v="MATHEUS HENRIQUE DE CARVALHO MIRANDA"/>
    <m/>
    <s v="PENSÃO POR MORTE"/>
    <s v="Nathalia Louiz"/>
    <n v="563.5"/>
    <s v="Entrada"/>
    <x v="2"/>
  </r>
  <r>
    <x v="144"/>
    <s v="Cartão de Crédito Dra Thaynara"/>
    <s v="CALCULO JURIDICO - DIFERENÇA DE PLANO"/>
    <x v="12"/>
    <x v="1"/>
    <x v="47"/>
    <s v="C6"/>
    <m/>
    <m/>
    <s v="Nathalia Louiz"/>
    <n v="-40.340000000000003"/>
    <s v="Saída"/>
    <x v="0"/>
  </r>
  <r>
    <x v="144"/>
    <s v="Cartão de Crédito Dra Thaynara"/>
    <s v="Cálculo Jurídico"/>
    <x v="12"/>
    <x v="1"/>
    <x v="47"/>
    <s v="C6"/>
    <m/>
    <m/>
    <s v="Thaynara Borges"/>
    <n v="-79.95"/>
    <s v="Saída"/>
    <x v="0"/>
  </r>
  <r>
    <x v="144"/>
    <s v="Cartão de Crédito Dra Thaynara"/>
    <s v="ASTREA"/>
    <x v="12"/>
    <x v="1"/>
    <x v="47"/>
    <s v="C6"/>
    <m/>
    <m/>
    <s v="Thaynara Borges"/>
    <n v="-501.05"/>
    <s v="Saída"/>
    <x v="0"/>
  </r>
  <r>
    <x v="144"/>
    <s v="Cartão de Crédito Dra Thaynara"/>
    <s v="Pagamento Cartão de Crédito Dra Thaynara"/>
    <x v="6"/>
    <x v="1"/>
    <x v="47"/>
    <s v="C6"/>
    <m/>
    <m/>
    <s v="Nathalia Louiz"/>
    <n v="870.55"/>
    <s v="Entrada"/>
    <x v="1"/>
  </r>
  <r>
    <x v="144"/>
    <s v="Cartão de Crédito Dra Thaynara"/>
    <s v="HTM*ALINEDECKER (Curso Liderança)"/>
    <x v="12"/>
    <x v="1"/>
    <x v="47"/>
    <s v="C6"/>
    <m/>
    <m/>
    <s v="Thaynara Borges"/>
    <n v="-249.21"/>
    <s v="Saída"/>
    <x v="0"/>
  </r>
  <r>
    <x v="145"/>
    <s v="Itaú - Lisboa e Lisboa"/>
    <s v="Taxa de Condomínio Vaga Garagem A-83"/>
    <x v="10"/>
    <x v="1"/>
    <x v="16"/>
    <s v="ATON BUSINESS STYLE"/>
    <m/>
    <m/>
    <s v="Thaynara Borges"/>
    <n v="-62.6"/>
    <s v="Saída"/>
    <x v="0"/>
  </r>
  <r>
    <x v="145"/>
    <s v="Itaú - Lisboa e Lisboa"/>
    <s v="Celular"/>
    <x v="8"/>
    <x v="1"/>
    <x v="14"/>
    <s v="VIVO"/>
    <m/>
    <m/>
    <s v="Thaynara Borges"/>
    <n v="-137.37"/>
    <s v="Saída"/>
    <x v="0"/>
  </r>
  <r>
    <x v="145"/>
    <s v="Itaú - Lisboa e Lisboa"/>
    <s v="ANUIDADE (3 BENEFICIOS)"/>
    <x v="2"/>
    <x v="2"/>
    <x v="125"/>
    <s v="DARLENE CAIXETA DOS SANTOS"/>
    <m/>
    <s v="BENEFÍCIO POR INCAPACIDADE"/>
    <s v="Nathalia Louiz"/>
    <n v="455.4"/>
    <s v="Entrada"/>
    <x v="2"/>
  </r>
  <r>
    <x v="145"/>
    <s v="Itaú - Lisboa e Lisboa"/>
    <s v="Taxa de Condomínio Vaga Garagem A-82"/>
    <x v="10"/>
    <x v="1"/>
    <x v="16"/>
    <s v="ATON BUSINESS STYLE"/>
    <m/>
    <m/>
    <s v="Thaynara Borges"/>
    <n v="-62.6"/>
    <s v="Saída"/>
    <x v="0"/>
  </r>
  <r>
    <x v="145"/>
    <s v="Itaú - Lisboa e Lisboa"/>
    <s v="Taxa de Condomínio Vaga Garagem A-81"/>
    <x v="10"/>
    <x v="1"/>
    <x v="16"/>
    <s v="ATON BUSINESS STYLE"/>
    <m/>
    <m/>
    <s v="Thaynara Borges"/>
    <n v="-62.6"/>
    <s v="Saída"/>
    <x v="0"/>
  </r>
  <r>
    <x v="145"/>
    <s v="Itaú - Lisboa e Lisboa"/>
    <s v="Taxa de Condomínio Sala B-74"/>
    <x v="10"/>
    <x v="1"/>
    <x v="16"/>
    <s v="ATON BUSINESS STYLE"/>
    <m/>
    <m/>
    <s v="Thaynara Borges"/>
    <n v="-1445.14"/>
    <s v="Saída"/>
    <x v="0"/>
  </r>
  <r>
    <x v="145"/>
    <s v="Itaú - Lisboa e Lisboa"/>
    <s v="Cartão de Crédito Dr Ivanilldo"/>
    <x v="6"/>
    <x v="1"/>
    <x v="5"/>
    <s v="BANCO ITAU"/>
    <m/>
    <m/>
    <s v="Thaynara Borges"/>
    <n v="-1975.87"/>
    <s v="Saída"/>
    <x v="0"/>
  </r>
  <r>
    <x v="145"/>
    <s v="Itaú - Lisboa e Lisboa"/>
    <s v="Taxa de Condomínio Vaga Garagem A-78"/>
    <x v="10"/>
    <x v="1"/>
    <x v="16"/>
    <s v="ATON BUSINESS STYLE"/>
    <m/>
    <m/>
    <s v="Thaynara Borges"/>
    <n v="-62.6"/>
    <s v="Saída"/>
    <x v="0"/>
  </r>
  <r>
    <x v="145"/>
    <s v="Banco do Brasil - Sarah Alves Lisboa"/>
    <s v="Parceria com Dr. Silvio"/>
    <x v="2"/>
    <x v="2"/>
    <x v="59"/>
    <s v="ANTONIO PEREIRA SOBRINHO"/>
    <m/>
    <m/>
    <s v="Thaynara Borges"/>
    <n v="354"/>
    <s v="Entrada"/>
    <x v="1"/>
  </r>
  <r>
    <x v="145"/>
    <s v="Itaú - Lisboa e Lisboa"/>
    <s v="Taxa de Condomínio Vaga Garagem A-88"/>
    <x v="10"/>
    <x v="1"/>
    <x v="16"/>
    <s v="ATON BUSINESS STYLE"/>
    <m/>
    <m/>
    <s v="Thaynara Borges"/>
    <n v="-62.6"/>
    <s v="Saída"/>
    <x v="0"/>
  </r>
  <r>
    <x v="145"/>
    <s v="Itaú - Lisboa e Lisboa"/>
    <s v="Taxa de Condomínio Sala B-73"/>
    <x v="10"/>
    <x v="1"/>
    <x v="16"/>
    <s v="ATON BUSINESS STYLE"/>
    <m/>
    <m/>
    <s v="Thaynara Borges"/>
    <n v="-1444.55"/>
    <s v="Saída"/>
    <x v="0"/>
  </r>
  <r>
    <x v="146"/>
    <s v="Banco do Brasil - Sarah Alves Lisboa"/>
    <s v="30% Sob implantação"/>
    <x v="2"/>
    <x v="2"/>
    <x v="184"/>
    <s v="SANDIA MOTTA MELO"/>
    <m/>
    <s v="APOSENTADORIA POR TEMPO DE CONTRIBUIÇÃO"/>
    <s v="Nathalia Louiz"/>
    <n v="3085.85"/>
    <s v="Entrada"/>
    <x v="1"/>
  </r>
  <r>
    <x v="146"/>
    <s v="Itaú - Lisboa e Lisboa"/>
    <s v="CONTRATO 9621661899"/>
    <x v="8"/>
    <x v="1"/>
    <x v="98"/>
    <s v="VIVO FIXO"/>
    <m/>
    <m/>
    <s v="Thaynara Borges"/>
    <n v="-362.91"/>
    <s v="Saída"/>
    <x v="0"/>
  </r>
  <r>
    <x v="146"/>
    <s v="Itaú - Lisboa e Lisboa"/>
    <s v="CONTRATO 9309114969"/>
    <x v="8"/>
    <x v="1"/>
    <x v="98"/>
    <s v="VIVO FIXO"/>
    <m/>
    <m/>
    <s v="Thaynara Borges"/>
    <n v="-130.53"/>
    <s v="Saída"/>
    <x v="0"/>
  </r>
  <r>
    <x v="147"/>
    <s v="Banco do Brasil - Sarah Alves Lisboa"/>
    <s v="3 BENEFICIOS"/>
    <x v="2"/>
    <x v="2"/>
    <x v="185"/>
    <s v="JOSELITA ALMEIDA DE SOUSA PEREIRA"/>
    <m/>
    <s v="BENEFICIO ASSISTENCIAL AO DEFICIENTE"/>
    <s v="Nathalia Louiz"/>
    <n v="4554"/>
    <s v="Entrada"/>
    <x v="1"/>
  </r>
  <r>
    <x v="147"/>
    <s v="Itaú - Lisboa e Lisboa"/>
    <s v="Pagamento Cartão de Crédito Dra Sarah"/>
    <x v="6"/>
    <x v="1"/>
    <x v="5"/>
    <s v="BANCO ITAU"/>
    <m/>
    <m/>
    <s v="Nathalia Louiz"/>
    <n v="-1482.74"/>
    <s v="Saída"/>
    <x v="0"/>
  </r>
  <r>
    <x v="147"/>
    <s v="Banco do Brasil - Sarah Alves Lisboa"/>
    <s v="40% sob Implantação"/>
    <x v="2"/>
    <x v="2"/>
    <x v="186"/>
    <s v="JOAO FERNANDES SOBRINHO"/>
    <m/>
    <s v="PENSÃO POR MORTE"/>
    <s v="Nathalia Louiz"/>
    <n v="4554"/>
    <s v="Entrada"/>
    <x v="1"/>
  </r>
  <r>
    <x v="147"/>
    <s v="Banco do Brasil - Sarah Alves Lisboa"/>
    <s v="30% sobre a implantação"/>
    <x v="2"/>
    <x v="2"/>
    <x v="187"/>
    <s v="ALINE NAOMI KAWAKAMI"/>
    <m/>
    <s v="BENEFÍCIO POR INCAPACIDADE"/>
    <s v="Thaynara Borges"/>
    <n v="2186.4"/>
    <s v="Entrada"/>
    <x v="1"/>
  </r>
  <r>
    <x v="148"/>
    <s v="Cartão de Crédito Dra Sarah"/>
    <s v="TERMO SUL ENGENHARIA"/>
    <x v="14"/>
    <x v="1"/>
    <x v="5"/>
    <s v="BANCO ITAU"/>
    <m/>
    <m/>
    <s v="Nathalia Louiz"/>
    <n v="-300"/>
    <s v="Saída"/>
    <x v="0"/>
  </r>
  <r>
    <x v="148"/>
    <s v="Banco do Brasil - Sarah Alves Lisboa"/>
    <s v="Tarifa Bancária"/>
    <x v="4"/>
    <x v="3"/>
    <x v="22"/>
    <s v="BANCO DO BRASIL S/A"/>
    <m/>
    <m/>
    <s v="Thaynara Borges"/>
    <n v="-15"/>
    <s v="Saída"/>
    <x v="0"/>
  </r>
  <r>
    <x v="148"/>
    <s v="Cartão de Crédito Dra Sarah"/>
    <s v="TERMO SUL ENGENHARIA"/>
    <x v="14"/>
    <x v="1"/>
    <x v="5"/>
    <s v="BANCO ITAU"/>
    <m/>
    <m/>
    <s v="Nathalia Louiz"/>
    <n v="-394"/>
    <s v="Saída"/>
    <x v="0"/>
  </r>
  <r>
    <x v="148"/>
    <s v="Cartão de Crédito Dra Sarah"/>
    <s v="Cartão de crédito Dra Sarah"/>
    <x v="6"/>
    <x v="1"/>
    <x v="5"/>
    <s v="BANCO ITAU"/>
    <m/>
    <m/>
    <s v="Nathalia Louiz"/>
    <n v="1482.74"/>
    <s v="Entrada"/>
    <x v="1"/>
  </r>
  <r>
    <x v="148"/>
    <s v="Cartão de Crédito Dra Sarah"/>
    <s v="TERMO SUL ENGENHARIA"/>
    <x v="14"/>
    <x v="1"/>
    <x v="5"/>
    <s v="BANCO ITAU"/>
    <m/>
    <m/>
    <s v="Nathalia Louiz"/>
    <n v="-419.64"/>
    <s v="Saída"/>
    <x v="0"/>
  </r>
  <r>
    <x v="148"/>
    <s v="Cartão de Crédito Dra Sarah"/>
    <s v="ELVIRA ALVES DA SILVA"/>
    <x v="27"/>
    <x v="4"/>
    <x v="5"/>
    <s v="BANCO ITAU"/>
    <m/>
    <m/>
    <s v="Nathalia Louiz"/>
    <n v="-144.99"/>
    <s v="Saída"/>
    <x v="0"/>
  </r>
  <r>
    <x v="148"/>
    <s v="Cartão de Crédito Dra Sarah"/>
    <s v="COMPRA MERCADO LIVRE"/>
    <x v="6"/>
    <x v="1"/>
    <x v="5"/>
    <s v="BANCO ITAU"/>
    <m/>
    <m/>
    <s v="Nathalia Louiz"/>
    <n v="-224.11"/>
    <s v="Saída"/>
    <x v="0"/>
  </r>
  <r>
    <x v="148"/>
    <s v="Banco do Brasil - Sarah Alves Lisboa"/>
    <s v="30% + ANUIDADE"/>
    <x v="2"/>
    <x v="2"/>
    <x v="188"/>
    <s v="ISAEL MARCULINO DOS SANTOS"/>
    <m/>
    <s v="APOSENTADORIA POR TEMPO DE CONTRIBUIÇAO/ PORTADOR DE NECESSIDADES ESPECIAIS"/>
    <s v="Nathalia Louiz"/>
    <n v="3869.1"/>
    <s v="Entrada"/>
    <x v="1"/>
  </r>
  <r>
    <x v="148"/>
    <s v="Banco do Brasil - Sarah Alves Lisboa"/>
    <s v="Diferença ref.: 50% dos honorários (Parceria Dr Ajnaldo)"/>
    <x v="2"/>
    <x v="2"/>
    <x v="104"/>
    <s v="LEILA DO CARMO GONÇALVES OLIVEIRA"/>
    <m/>
    <s v="APOSENTADORIA POR IDADE RURAL"/>
    <s v="Thaynara Borges"/>
    <n v="305.8"/>
    <s v="Entrada"/>
    <x v="1"/>
  </r>
  <r>
    <x v="148"/>
    <s v="Itaú - Lisboa e Lisboa"/>
    <s v="IEL Estagiárias"/>
    <x v="13"/>
    <x v="6"/>
    <x v="21"/>
    <s v="IEL"/>
    <m/>
    <m/>
    <s v="Thaynara Borges"/>
    <n v="-106.73"/>
    <s v="Saída"/>
    <x v="0"/>
  </r>
  <r>
    <x v="149"/>
    <s v="Itaú - Lisboa e Lisboa"/>
    <s v="Honorários referente a estudo/planejamento previdenciário"/>
    <x v="2"/>
    <x v="2"/>
    <x v="168"/>
    <s v="JOSE VITORIO DE CARVALHO JUNIOR"/>
    <m/>
    <s v="PLANEJAMENTO PREVIDENCIÁRIO"/>
    <s v="Thaynara Borges"/>
    <n v="97.15"/>
    <s v="Entrada"/>
    <x v="1"/>
  </r>
  <r>
    <x v="149"/>
    <s v="Banco do Brasil - Sarah Alves Lisboa"/>
    <s v="100% Sucumbência"/>
    <x v="2"/>
    <x v="2"/>
    <x v="189"/>
    <s v="MARIA MACIEL DE CARVALHO"/>
    <m/>
    <s v="RESTABELECIMENTO DE PENSAO POR MORTE"/>
    <s v="Nathalia Louiz"/>
    <n v="6172.79"/>
    <s v="Entrada"/>
    <x v="1"/>
  </r>
  <r>
    <x v="149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50"/>
    <s v="Banco do Brasil - Sarah Alves Lisboa"/>
    <s v="30% Sob implantação"/>
    <x v="2"/>
    <x v="2"/>
    <x v="169"/>
    <s v="DALILA DE JESUS MORAES ROCHA"/>
    <m/>
    <s v="AUXILIO DOENÇA"/>
    <s v="Nathalia Louiz"/>
    <n v="60.6"/>
    <s v="Entrada"/>
    <x v="1"/>
  </r>
  <r>
    <x v="150"/>
    <s v="Banco do Brasil - Sarah Alves Lisboa"/>
    <s v="3 BENEFICIOS - PARCIAL (RESTANTE EM 3X de 759,00)"/>
    <x v="2"/>
    <x v="2"/>
    <x v="190"/>
    <s v="GENI MOURA NEVES"/>
    <m/>
    <s v="APOSENTADORIA POR IDADE URBANA"/>
    <s v="Nathalia Louiz"/>
    <n v="2277"/>
    <s v="Entrada"/>
    <x v="1"/>
  </r>
  <r>
    <x v="150"/>
    <s v="Banco do Brasil - Sarah Alves Lisboa"/>
    <s v="Implantação (R$ 4.544,00 sendo: R$ 4.000,00 dia 15/07/2025 e os R$ 554,00 no 5º dia útil de agosto)"/>
    <x v="2"/>
    <x v="2"/>
    <x v="191"/>
    <s v="NILVANDA CANDIDA DE MOURA OLIVEIRA"/>
    <m/>
    <s v="APOSENTADORIA POR IDADE"/>
    <s v="Nathalia Louiz"/>
    <n v="4000"/>
    <s v="Entrada"/>
    <x v="1"/>
  </r>
  <r>
    <x v="150"/>
    <s v="Banco do Brasil - Sarah Alves Lisboa"/>
    <s v="Cartão de Crédito Dra Thaynara"/>
    <x v="6"/>
    <x v="1"/>
    <x v="47"/>
    <s v="C6"/>
    <m/>
    <m/>
    <s v="Thaynara Borges"/>
    <n v="-870.55"/>
    <s v="Saída"/>
    <x v="0"/>
  </r>
  <r>
    <x v="150"/>
    <s v="Banco do Brasil - Sarah Alves Lisboa"/>
    <s v="70% Dr Vanessa - Comissão"/>
    <x v="28"/>
    <x v="7"/>
    <x v="189"/>
    <s v="MARIA MACIEL DE CARVALHO"/>
    <m/>
    <s v="RESTABELECIMENTO DE PENSAO POR MORTE"/>
    <s v="Nathalia Louiz"/>
    <n v="-4320.95"/>
    <s v="Saída"/>
    <x v="0"/>
  </r>
  <r>
    <x v="151"/>
    <s v="Banco do Brasil - Sarah Alves Lisboa"/>
    <s v="30% SOB IMPLANTAÇÃO"/>
    <x v="2"/>
    <x v="2"/>
    <x v="192"/>
    <s v="ANA CAROLINA SOARES DA SILVA"/>
    <m/>
    <s v="BENEFÍCIO POR INCAPACIDADE"/>
    <s v="Nathalia Louiz"/>
    <n v="993.3"/>
    <s v="Entrada"/>
    <x v="1"/>
  </r>
  <r>
    <x v="151"/>
    <s v="Itaú - Lisboa e Lisboa"/>
    <s v="Parcelas - parceria Dr Silvio"/>
    <x v="2"/>
    <x v="2"/>
    <x v="40"/>
    <s v="GLEYCIANNE RIBEIRO DE SOUZA CABRAL"/>
    <m/>
    <s v="DIVÓRCIO CONSENSUAL C/C REGULAMENTAÇÃO DE GUARDA E ALIMENTOS"/>
    <s v="Thaynara Borges"/>
    <n v="150"/>
    <s v="Entrada"/>
    <x v="2"/>
  </r>
  <r>
    <x v="152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52"/>
    <s v="Itaú - Lisboa e Lisboa"/>
    <s v="FGTS"/>
    <x v="18"/>
    <x v="6"/>
    <x v="133"/>
    <s v="FGTS"/>
    <m/>
    <m/>
    <s v="Thaynara Borges"/>
    <n v="-485.23"/>
    <s v="Saída"/>
    <x v="0"/>
  </r>
  <r>
    <x v="152"/>
    <s v="Itaú - Lisboa e Lisboa"/>
    <s v="INSS"/>
    <x v="19"/>
    <x v="6"/>
    <x v="38"/>
    <s v="RECEITA FEDERAL"/>
    <m/>
    <m/>
    <s v="Thaynara Borges"/>
    <n v="-2923.83"/>
    <s v="Saída"/>
    <x v="0"/>
  </r>
  <r>
    <x v="153"/>
    <s v="Itaú - Lisboa e Lisboa"/>
    <s v="Água"/>
    <x v="17"/>
    <x v="1"/>
    <x v="34"/>
    <s v="SANEAGO GOIAS S/A"/>
    <m/>
    <m/>
    <s v="Thaynara Borges"/>
    <n v="-108.71"/>
    <s v="Saída"/>
    <x v="0"/>
  </r>
  <r>
    <x v="153"/>
    <s v="Itaú - Lisboa e Lisboa"/>
    <s v="IPTU - SALA B74"/>
    <x v="29"/>
    <x v="1"/>
    <x v="71"/>
    <s v="PREFEITURA MUNICIPAL DE GOIÂNIA"/>
    <m/>
    <m/>
    <s v="Nathalia Louiz"/>
    <n v="-125.52"/>
    <s v="Saída"/>
    <x v="0"/>
  </r>
  <r>
    <x v="153"/>
    <s v="Itaú - Lisboa e Lisboa"/>
    <s v="Simples Nacional"/>
    <x v="20"/>
    <x v="7"/>
    <x v="39"/>
    <s v="Simples Nacional"/>
    <m/>
    <m/>
    <s v="Thaynara Borges"/>
    <n v="-788.63"/>
    <s v="Saída"/>
    <x v="0"/>
  </r>
  <r>
    <x v="153"/>
    <s v="Itaú - Lisboa e Lisboa"/>
    <s v="20% pela parceria com Dra. Nubia"/>
    <x v="2"/>
    <x v="2"/>
    <x v="36"/>
    <s v="GILNETH VIDAL DOS SANTOS"/>
    <m/>
    <s v="ANALISAR PROCESSOS"/>
    <s v="Thaynara Borges"/>
    <n v="119.35"/>
    <s v="Entrada"/>
    <x v="2"/>
  </r>
  <r>
    <x v="154"/>
    <s v="Banco do Brasil - Sarah Alves Lisboa"/>
    <s v="30% SOB IMPLANTAÇÃO"/>
    <x v="2"/>
    <x v="2"/>
    <x v="193"/>
    <s v="NATANNE KELLY REIS DE SOUZA"/>
    <m/>
    <s v="BENEFÍCIO ASSISTENCIAL"/>
    <s v="Nathalia Louiz"/>
    <n v="455.4"/>
    <s v="Entrada"/>
    <x v="1"/>
  </r>
  <r>
    <x v="154"/>
    <s v="Banco do Brasil - Sarah Alves Lisboa"/>
    <s v="Anuidade R$ 8.967,07 (2.000 + 12x R$580,59)"/>
    <x v="2"/>
    <x v="2"/>
    <x v="188"/>
    <s v="ISAEL MARCULINO DOS SANTOS"/>
    <m/>
    <s v="APOSENTADORIA POR TEMPO DE CONTRIBUIÇAO/ PORTADOR DE NECESSIDADES ESPECIAIS"/>
    <s v="Nathalia Louiz"/>
    <n v="2000"/>
    <s v="Entrada"/>
    <x v="1"/>
  </r>
  <r>
    <x v="154"/>
    <s v="Banco do Brasil - Sarah Alves Lisboa"/>
    <s v="PAGAMENTO DE HONORÁRIOS"/>
    <x v="2"/>
    <x v="2"/>
    <x v="96"/>
    <s v="VALDIR DE PAIVA BRASIL"/>
    <m/>
    <s v="PENSÃO POR MORTE"/>
    <s v="Nathalia Louiz"/>
    <n v="300"/>
    <s v="Entrada"/>
    <x v="1"/>
  </r>
  <r>
    <x v="154"/>
    <s v="Itaú - Lisboa e Lisboa"/>
    <s v="3 SALÁRIOS DE BENEFICIO"/>
    <x v="2"/>
    <x v="2"/>
    <x v="194"/>
    <s v="LUZIA FERREIRA AREBAS SHIMADA"/>
    <m/>
    <s v="BENEFÍCIO ASSISTENCIAL AO IDOSO"/>
    <s v="Nathalia Louiz"/>
    <n v="4554"/>
    <s v="Entrada"/>
    <x v="2"/>
  </r>
  <r>
    <x v="155"/>
    <s v="Itaú - Lisboa e Lisboa"/>
    <s v="30% SOB ATRASADOS"/>
    <x v="2"/>
    <x v="2"/>
    <x v="146"/>
    <s v="MARIA EVA PEREIRA DE QUEIROZ"/>
    <m/>
    <s v="BENEFÍCIO POR INCAPACIDADE"/>
    <s v="Nathalia Louiz"/>
    <n v="2682.46"/>
    <s v="Entrada"/>
    <x v="1"/>
  </r>
  <r>
    <x v="155"/>
    <s v="Banco do Brasil - Sarah Alves Lisboa"/>
    <s v="Comissão por Indicação ( DRA RAFFAELA)"/>
    <x v="28"/>
    <x v="7"/>
    <x v="191"/>
    <s v="NILVANDA CANDIDA DE MOURA OLIVEIRA"/>
    <m/>
    <s v="APOSENTADORIA POR IDADE"/>
    <s v="Nathalia Louiz"/>
    <n v="-454.4"/>
    <s v="Saída"/>
    <x v="0"/>
  </r>
  <r>
    <x v="155"/>
    <s v="Banco do Brasil - Sarah Alves Lisboa"/>
    <s v="30% SOB IMPLANTAÇÃO (Menos 40% parceria Dr Kaique -  Valor total : 2155,2)"/>
    <x v="2"/>
    <x v="2"/>
    <x v="195"/>
    <s v="TELMA ROSA PEREIRA"/>
    <m/>
    <s v="BENEFICIO POR INCAPACIDADE"/>
    <s v="Nathalia Louiz"/>
    <n v="1293.1199999999999"/>
    <s v="Entrada"/>
    <x v="1"/>
  </r>
  <r>
    <x v="155"/>
    <s v="Banco do Brasil - Sarah Alves Lisboa"/>
    <s v="30% sob implantação"/>
    <x v="2"/>
    <x v="2"/>
    <x v="196"/>
    <s v="Maria Alves Madureira"/>
    <m/>
    <s v="AUXILIO DOENÇA/ APOSENTADORIA POR INVALIDEZ"/>
    <s v="Nathalia Louiz"/>
    <n v="910"/>
    <s v="Entrada"/>
    <x v="1"/>
  </r>
  <r>
    <x v="155"/>
    <s v="Banco do Brasil - Sarah Alves Lisboa"/>
    <s v="3 SALÁRIOS DE BENEFICIO (1000,00 + 5X 710,80)"/>
    <x v="2"/>
    <x v="2"/>
    <x v="197"/>
    <s v="ALDENY TELES DE OLIVEIRA NUNES"/>
    <m/>
    <s v="APOSENTADORIA POR IDADE"/>
    <s v="Nathalia Louiz"/>
    <n v="1000"/>
    <s v="Entrada"/>
    <x v="1"/>
  </r>
  <r>
    <x v="155"/>
    <s v="Itaú - Lisboa e Lisboa"/>
    <s v="40% sob atrasados"/>
    <x v="2"/>
    <x v="2"/>
    <x v="198"/>
    <s v="LUCIANA TATIANA FERREIRA"/>
    <m/>
    <s v="BENEFÍCIO POR INCAPACIDADE"/>
    <s v="Nathalia Louiz"/>
    <n v="462.44"/>
    <s v="Entrada"/>
    <x v="1"/>
  </r>
  <r>
    <x v="155"/>
    <s v="Banco do Brasil - Sarah Alves Lisboa"/>
    <s v="30% SOB IMPLANTAÇÃO"/>
    <x v="2"/>
    <x v="2"/>
    <x v="199"/>
    <s v="LUCIMAR APARECIDA DOS REIS"/>
    <m/>
    <s v="Restabelecimento de Benefício por Incapacidade"/>
    <s v="Nathalia Louiz"/>
    <n v="910.8"/>
    <s v="Entrada"/>
    <x v="1"/>
  </r>
  <r>
    <x v="155"/>
    <s v="Itaú - Lisboa e Lisboa"/>
    <s v="30% sob ATRASADOS - RPV"/>
    <x v="2"/>
    <x v="2"/>
    <x v="145"/>
    <s v="VALDECI ALVES MOREIRA"/>
    <m/>
    <s v="AUXILIO DOENÇA"/>
    <s v="Nathalia Louiz"/>
    <n v="4183.8"/>
    <s v="Entrada"/>
    <x v="1"/>
  </r>
  <r>
    <x v="156"/>
    <s v="Banco do Brasil - Sarah Alves Lisboa"/>
    <s v="VIAGEM DRA SARAH"/>
    <x v="35"/>
    <x v="4"/>
    <x v="200"/>
    <s v="AUO POSTO MINAS"/>
    <m/>
    <m/>
    <s v="Nathalia Louiz"/>
    <n v="-220.38"/>
    <s v="Saída"/>
    <x v="0"/>
  </r>
  <r>
    <x v="156"/>
    <s v="Banco do Brasil - Sarah Alves Lisboa"/>
    <s v="VIAGEM "/>
    <x v="28"/>
    <x v="7"/>
    <x v="46"/>
    <s v="Laura Barbosa Marques"/>
    <m/>
    <m/>
    <s v="Nathalia Louiz"/>
    <n v="-100"/>
    <s v="Saída"/>
    <x v="0"/>
  </r>
  <r>
    <x v="156"/>
    <s v="Banco do Brasil - Sarah Alves Lisboa"/>
    <s v="LANCHES - VIAGEM DRA SARAH"/>
    <x v="11"/>
    <x v="1"/>
    <x v="201"/>
    <s v="EMPORIO WL BOLOS"/>
    <m/>
    <m/>
    <s v="Nathalia Louiz"/>
    <n v="-65.95"/>
    <s v="Saída"/>
    <x v="0"/>
  </r>
  <r>
    <x v="156"/>
    <s v="Banco do Brasil - Sarah Alves Lisboa"/>
    <s v="LANCHES - VIAGEM DRA SARAH"/>
    <x v="11"/>
    <x v="1"/>
    <x v="134"/>
    <s v="SUPERMERCADO MOREIRA"/>
    <m/>
    <m/>
    <s v="Nathalia Louiz"/>
    <n v="-41.43"/>
    <s v="Saída"/>
    <x v="0"/>
  </r>
  <r>
    <x v="156"/>
    <s v="Banco do Brasil - Sarah Alves Lisboa"/>
    <s v="PARCEIRIA DR SILVIO - Honorários de parceria caso VALENTINA SOUSA FONSECA"/>
    <x v="2"/>
    <x v="2"/>
    <x v="202"/>
    <s v="VALENTINA SOUSA FONSECA"/>
    <m/>
    <s v="SOLICITAR PAGAMENTOS NÃO RECEBIDOS"/>
    <s v="Nathalia Louiz"/>
    <n v="168"/>
    <s v="Entrada"/>
    <x v="1"/>
  </r>
  <r>
    <x v="156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57"/>
    <s v="Itaú - Lisboa e Lisboa"/>
    <s v="TAXA DA MUDANÇA RAZÃO SOCIAL ESCRITÓRIO"/>
    <x v="30"/>
    <x v="9"/>
    <x v="71"/>
    <s v="PREFEITURA MUNICIPAL DE GOIÂNIA"/>
    <m/>
    <m/>
    <s v="Nathalia Louiz"/>
    <n v="-223.9"/>
    <s v="Saída"/>
    <x v="0"/>
  </r>
  <r>
    <x v="157"/>
    <s v="Banco do Brasil - Sarah Alves Lisboa"/>
    <s v="REENBOLSO - ANIVERSÁRIO DRA THAYNARA"/>
    <x v="37"/>
    <x v="10"/>
    <x v="7"/>
    <s v="SARAH ALVES LISBOA"/>
    <m/>
    <m/>
    <s v="Nathalia Louiz"/>
    <n v="-278.06"/>
    <s v="Saída"/>
    <x v="0"/>
  </r>
  <r>
    <x v="157"/>
    <s v="Itaú - Lisboa e Lisboa"/>
    <s v="OBRA - REFORMA DO ESCRITÓRIO"/>
    <x v="14"/>
    <x v="1"/>
    <x v="203"/>
    <s v="RAFHAEL LISBOA DA SILVA"/>
    <m/>
    <m/>
    <s v="Nathalia Louiz"/>
    <n v="-2360"/>
    <s v="Saída"/>
    <x v="0"/>
  </r>
  <r>
    <x v="157"/>
    <s v="Banco do Brasil - Sarah Alves Lisboa"/>
    <s v="30% Sob Honorários"/>
    <x v="2"/>
    <x v="2"/>
    <x v="204"/>
    <s v="DOMINGOS DA TRINDADE SILVA"/>
    <m/>
    <s v="BENEFÍCIO POR INCAPACIDADE"/>
    <s v="Nathalia Louiz"/>
    <n v="819.3"/>
    <s v="Entrada"/>
    <x v="1"/>
  </r>
  <r>
    <x v="158"/>
    <s v="Banco do Brasil - Sarah Alves Lisboa"/>
    <s v="30% SOB IMPLANTAÇÃO"/>
    <x v="2"/>
    <x v="2"/>
    <x v="205"/>
    <s v="DIVINA PEREIRA DA SILVA"/>
    <m/>
    <s v="BENEFÍCIO POR INCAPACIDADE"/>
    <s v="Nathalia Louiz"/>
    <n v="495"/>
    <s v="Entrada"/>
    <x v="1"/>
  </r>
  <r>
    <x v="158"/>
    <s v="Itaú - Lisboa e Lisboa"/>
    <s v="Honorário R$ 2.277,00 - Parceria com Dr Fernando  (50%)"/>
    <x v="2"/>
    <x v="2"/>
    <x v="179"/>
    <s v="JAIME RODRIGUES DE SOUZA"/>
    <m/>
    <s v="APOSENTADORIA POR TEMPO DE CONTRIBUIÇÃO COM IDADE MÍNIMA"/>
    <s v="Nathalia Louiz"/>
    <n v="756.15"/>
    <s v="Entrada"/>
    <x v="1"/>
  </r>
  <r>
    <x v="158"/>
    <s v="Itaú - Lisboa e Lisboa"/>
    <s v="Energia contrato 0067122721"/>
    <x v="21"/>
    <x v="1"/>
    <x v="94"/>
    <s v="EQUATORIAL GOIAS 0067122721"/>
    <m/>
    <m/>
    <s v="Thaynara Borges"/>
    <n v="-323.64"/>
    <s v="Saída"/>
    <x v="0"/>
  </r>
  <r>
    <x v="158"/>
    <s v="Itaú - Lisboa e Lisboa"/>
    <s v="30% SOB IMPLANTAÇÃO"/>
    <x v="2"/>
    <x v="2"/>
    <x v="206"/>
    <s v="GLAUCINEIDE RODRIGUES DA SILVA"/>
    <m/>
    <s v="BENEFÍCIO POR INCAPACIDADE"/>
    <s v="Nathalia Louiz"/>
    <n v="623"/>
    <s v="Entrada"/>
    <x v="2"/>
  </r>
  <r>
    <x v="158"/>
    <s v="Itaú - Lisboa e Lisboa"/>
    <s v="Energia contrato 0067122663"/>
    <x v="21"/>
    <x v="1"/>
    <x v="91"/>
    <s v="EQUATORIAL GOIAS 0067122663"/>
    <m/>
    <m/>
    <s v="Thaynara Borges"/>
    <n v="-339.2"/>
    <s v="Saída"/>
    <x v="0"/>
  </r>
  <r>
    <x v="159"/>
    <s v="Itaú - Lisboa e Lisboa"/>
    <s v="Retirada"/>
    <x v="22"/>
    <x v="8"/>
    <x v="27"/>
    <s v="Thaynara Borges Pereira"/>
    <m/>
    <m/>
    <s v="Thaynara Borges"/>
    <n v="-5000"/>
    <s v="Saída"/>
    <x v="0"/>
  </r>
  <r>
    <x v="159"/>
    <s v="Itaú - Lisboa e Lisboa"/>
    <s v="PRÓ-LABORE"/>
    <x v="23"/>
    <x v="8"/>
    <x v="7"/>
    <s v="Sarah Alves Lisboa"/>
    <m/>
    <m/>
    <s v="Thaynara Borges"/>
    <n v="-1351.02"/>
    <s v="Saída"/>
    <x v="0"/>
  </r>
  <r>
    <x v="159"/>
    <s v="Banco do Brasil - Sarah Alves Lisboa"/>
    <s v="Salário"/>
    <x v="15"/>
    <x v="6"/>
    <x v="32"/>
    <s v="Raffaela Nunes"/>
    <m/>
    <m/>
    <s v="Thaynara Borges"/>
    <n v="-3200"/>
    <s v="Saída"/>
    <x v="0"/>
  </r>
  <r>
    <x v="159"/>
    <s v="Banco do Brasil - Sarah Alves Lisboa"/>
    <s v="COMISSÃO POR META BATIDA"/>
    <x v="28"/>
    <x v="7"/>
    <x v="166"/>
    <s v="MARIA EDUARDA DE SOUZA"/>
    <m/>
    <m/>
    <s v="Nathalia Louiz"/>
    <n v="-300"/>
    <s v="Saída"/>
    <x v="0"/>
  </r>
  <r>
    <x v="159"/>
    <s v="Banco do Brasil - Sarah Alves Lisboa"/>
    <s v="COMISSÃO POR META BATIDA"/>
    <x v="28"/>
    <x v="7"/>
    <x v="7"/>
    <s v="Sarah Alves Lisboa"/>
    <m/>
    <m/>
    <s v="Nathalia Louiz"/>
    <n v="-300"/>
    <s v="Saída"/>
    <x v="0"/>
  </r>
  <r>
    <x v="159"/>
    <s v="Banco do Brasil - Sarah Alves Lisboa"/>
    <s v="Salário"/>
    <x v="15"/>
    <x v="6"/>
    <x v="69"/>
    <s v="Nathalia Louiz Alves Vigilato"/>
    <m/>
    <m/>
    <s v="Nathalia Louiz"/>
    <n v="-1518"/>
    <s v="Saída"/>
    <x v="0"/>
  </r>
  <r>
    <x v="159"/>
    <s v="Banco do Brasil - Sarah Alves Lisboa"/>
    <s v="COMPRAS PARA O ESCRITÓRIO"/>
    <x v="11"/>
    <x v="1"/>
    <x v="134"/>
    <s v="SUPERMERCADO MOREIRA"/>
    <m/>
    <m/>
    <s v="Nathalia Louiz"/>
    <n v="-111.11"/>
    <s v="Saída"/>
    <x v="0"/>
  </r>
  <r>
    <x v="159"/>
    <s v="Itaú - Lisboa e Lisboa"/>
    <s v="Salário"/>
    <x v="15"/>
    <x v="6"/>
    <x v="166"/>
    <s v="MARIA EDUARDA DE SOUZA"/>
    <m/>
    <m/>
    <s v="Nathalia Louiz"/>
    <n v="-2339.41"/>
    <s v="Saída"/>
    <x v="0"/>
  </r>
  <r>
    <x v="159"/>
    <s v="Itaú - Lisboa e Lisboa"/>
    <s v="Bolsa Estagio"/>
    <x v="13"/>
    <x v="6"/>
    <x v="46"/>
    <s v="Laura Barbosa Marques"/>
    <m/>
    <m/>
    <s v="Thaynara Borges"/>
    <n v="-1300"/>
    <s v="Saída"/>
    <x v="0"/>
  </r>
  <r>
    <x v="159"/>
    <s v="Itaú - Lisboa e Lisboa"/>
    <s v="Retirada"/>
    <x v="22"/>
    <x v="8"/>
    <x v="7"/>
    <s v="Sarah Alves Lisboa"/>
    <m/>
    <m/>
    <s v="Thaynara Borges"/>
    <n v="-6148.98"/>
    <s v="Saída"/>
    <x v="0"/>
  </r>
  <r>
    <x v="159"/>
    <s v="Banco do Brasil - Sarah Alves Lisboa"/>
    <s v="COMISSÃO POR META BATIDA"/>
    <x v="28"/>
    <x v="7"/>
    <x v="32"/>
    <s v="Raffaela Nunes"/>
    <m/>
    <m/>
    <s v="Nathalia Louiz"/>
    <n v="-300"/>
    <s v="Saída"/>
    <x v="0"/>
  </r>
  <r>
    <x v="159"/>
    <s v="Itaú - Lisboa e Lisboa"/>
    <s v="RENDIMENTOS"/>
    <x v="38"/>
    <x v="0"/>
    <x v="207"/>
    <s v="BANCO ITAÚ S/A"/>
    <m/>
    <m/>
    <s v="Nathalia Louiz"/>
    <n v="11.57"/>
    <s v="Entrada"/>
    <x v="1"/>
  </r>
  <r>
    <x v="159"/>
    <s v="Itaú - Lisboa e Lisboa"/>
    <s v="Salário"/>
    <x v="15"/>
    <x v="6"/>
    <x v="37"/>
    <s v="Nina Araujo"/>
    <m/>
    <m/>
    <s v="Thaynara Borges"/>
    <n v="-3381.96"/>
    <s v="Saída"/>
    <x v="0"/>
  </r>
  <r>
    <x v="159"/>
    <s v="Banco do Brasil - Sarah Alves Lisboa"/>
    <s v="REEMBOLSO DE FRIOS"/>
    <x v="37"/>
    <x v="10"/>
    <x v="72"/>
    <s v="EVANILZA ARAUJO MORAES"/>
    <m/>
    <m/>
    <s v="Nathalia Louiz"/>
    <n v="22.36"/>
    <s v="Entrada"/>
    <x v="1"/>
  </r>
  <r>
    <x v="159"/>
    <s v="Banco do Brasil - Sarah Alves Lisboa"/>
    <s v="COMISSÃO POR META BATIDA"/>
    <x v="28"/>
    <x v="7"/>
    <x v="27"/>
    <s v="Thaynara Borges Pereira"/>
    <m/>
    <m/>
    <s v="Nathalia Louiz"/>
    <n v="-300"/>
    <s v="Saída"/>
    <x v="0"/>
  </r>
  <r>
    <x v="159"/>
    <s v="Banco do Brasil - Sarah Alves Lisboa"/>
    <s v="COMISSÃO POR META BATIDA"/>
    <x v="28"/>
    <x v="7"/>
    <x v="72"/>
    <s v="EVANILZA ARAUJO MORAES"/>
    <m/>
    <m/>
    <s v="Nathalia Louiz"/>
    <n v="-300"/>
    <s v="Saída"/>
    <x v="0"/>
  </r>
  <r>
    <x v="159"/>
    <s v="Banco do Brasil - Sarah Alves Lisboa"/>
    <s v="COMISSÃO DE META BATIDA"/>
    <x v="28"/>
    <x v="7"/>
    <x v="46"/>
    <s v="Laura Barbosa Marques"/>
    <m/>
    <m/>
    <s v="Nathalia Louiz"/>
    <n v="-300"/>
    <s v="Saída"/>
    <x v="0"/>
  </r>
  <r>
    <x v="160"/>
    <s v="Banco do Brasil - Sarah Alves Lisboa"/>
    <s v="ALMOÇO DE META BATIDA"/>
    <x v="11"/>
    <x v="1"/>
    <x v="208"/>
    <s v="CASERATTO"/>
    <m/>
    <m/>
    <s v="Nathalia Louiz"/>
    <n v="-368.61"/>
    <s v="Saída"/>
    <x v="0"/>
  </r>
  <r>
    <x v="160"/>
    <s v="Cartão de Crédito Dra Sarah"/>
    <s v="TERMO SUL ENGENHARIA"/>
    <x v="6"/>
    <x v="1"/>
    <x v="5"/>
    <s v="BANCO ITAU"/>
    <m/>
    <m/>
    <s v="Nathalia Louiz"/>
    <n v="-394"/>
    <s v="Saída"/>
    <x v="0"/>
  </r>
  <r>
    <x v="160"/>
    <s v="Cartão de Crédito Dr Ivanildo"/>
    <s v="Prévius"/>
    <x v="12"/>
    <x v="1"/>
    <x v="5"/>
    <s v="BANCO ITAU"/>
    <m/>
    <m/>
    <s v="Thaynara Borges"/>
    <n v="-80.91"/>
    <s v="Saída"/>
    <x v="0"/>
  </r>
  <r>
    <x v="160"/>
    <s v="Cartão de Crédito Dr Ivanildo"/>
    <s v="MAXX FRIOS"/>
    <x v="11"/>
    <x v="1"/>
    <x v="207"/>
    <s v="BANCO ITAÚ S/A"/>
    <m/>
    <m/>
    <s v="Nathalia Louiz"/>
    <n v="-60.39"/>
    <s v="Saída"/>
    <x v="0"/>
  </r>
  <r>
    <x v="160"/>
    <s v="Banco do Brasil - Sarah Alves Lisboa"/>
    <s v="PAGAMENTO DE HONORÁRIOS - ACORDO APÓS EXECUÇÃO DO CONTRATO"/>
    <x v="2"/>
    <x v="2"/>
    <x v="53"/>
    <s v="MARCOS ANTONIO LOURENÇO DE TOLEDO"/>
    <m/>
    <s v="AUXILIO DOENÇA"/>
    <s v="Nathalia Louiz"/>
    <n v="500"/>
    <s v="Entrada"/>
    <x v="1"/>
  </r>
  <r>
    <x v="160"/>
    <s v="Banco do Brasil - Sarah Alves Lisboa"/>
    <s v="ALMOÇO DE META BATIDA"/>
    <x v="11"/>
    <x v="1"/>
    <x v="208"/>
    <s v="CASERATTO"/>
    <m/>
    <m/>
    <s v="Nathalia Louiz"/>
    <n v="-25"/>
    <s v="Saída"/>
    <x v="0"/>
  </r>
  <r>
    <x v="160"/>
    <s v="Cartão de Crédito Dr Ivanildo"/>
    <s v="Jusbrasil"/>
    <x v="12"/>
    <x v="1"/>
    <x v="5"/>
    <s v="BANCO ITAU"/>
    <m/>
    <m/>
    <s v="Thaynara Borges"/>
    <n v="-58.9"/>
    <s v="Saída"/>
    <x v="0"/>
  </r>
  <r>
    <x v="160"/>
    <s v="Cartão de Crédito Dr Ivanildo"/>
    <s v="ASA CURSOS"/>
    <x v="32"/>
    <x v="6"/>
    <x v="5"/>
    <s v="BANCO ITAU"/>
    <m/>
    <m/>
    <s v="Nathalia Louiz"/>
    <n v="-59.9"/>
    <s v="Saída"/>
    <x v="0"/>
  </r>
  <r>
    <x v="160"/>
    <s v="Itaú - Lisboa e Lisboa"/>
    <s v="Consultoria Financeira"/>
    <x v="0"/>
    <x v="0"/>
    <x v="0"/>
    <s v="PROGRESSE CONSULTORIA EMPRESARIAL"/>
    <m/>
    <m/>
    <s v="Thaynara Borges"/>
    <n v="-1750"/>
    <s v="Saída"/>
    <x v="0"/>
  </r>
  <r>
    <x v="160"/>
    <s v="Banco do Brasil - Sarah Alves Lisboa"/>
    <s v="3 BENEFICIOS - PARCIAL (RESTANTE EM 3X de 759,00)"/>
    <x v="2"/>
    <x v="2"/>
    <x v="190"/>
    <s v="GENI MOURA NEVES"/>
    <m/>
    <s v="APOSENTADORIA POR IDADE URBANA"/>
    <s v="Nathalia Louiz"/>
    <n v="759"/>
    <s v="Entrada"/>
    <x v="1"/>
  </r>
  <r>
    <x v="160"/>
    <s v="Cartão de Crédito Dra Sarah"/>
    <s v="COMPRA MERCADO LIVRE"/>
    <x v="6"/>
    <x v="1"/>
    <x v="5"/>
    <s v="BANCO ITAU"/>
    <m/>
    <m/>
    <s v="Nathalia Louiz"/>
    <n v="-224.99"/>
    <s v="Saída"/>
    <x v="0"/>
  </r>
  <r>
    <x v="160"/>
    <s v="Banco do Brasil - Sarah Alves Lisboa"/>
    <s v="RPV DE SUCUMBÊNCIA"/>
    <x v="2"/>
    <x v="2"/>
    <x v="164"/>
    <s v="ROSALIA SOARES LEITE"/>
    <m/>
    <s v="CONCESSAO DE PROVENTOS INTEGRAIS DA APOSENTADORIA POR INVALIDEZ"/>
    <s v="Nathalia Louiz"/>
    <n v="4554.28"/>
    <s v="Entrada"/>
    <x v="1"/>
  </r>
  <r>
    <x v="160"/>
    <s v="Cartão de Crédito Dr Ivanildo"/>
    <s v="EXTRA CARTUCHOS"/>
    <x v="26"/>
    <x v="1"/>
    <x v="207"/>
    <s v="BANCO ITAÚ S/A"/>
    <m/>
    <m/>
    <s v="Nathalia Louiz"/>
    <n v="-120"/>
    <s v="Saída"/>
    <x v="0"/>
  </r>
  <r>
    <x v="160"/>
    <s v="Itaú - Lisboa e Lisboa"/>
    <s v="OBRA - CONSTRUTOR DA REFORMA (VALOR TOTAL R$8.500,00)"/>
    <x v="14"/>
    <x v="1"/>
    <x v="209"/>
    <s v="EDVAN CANDIDO DOS SANTOS"/>
    <m/>
    <m/>
    <s v="Nathalia Louiz"/>
    <n v="-4000"/>
    <s v="Saída"/>
    <x v="0"/>
  </r>
  <r>
    <x v="160"/>
    <s v="Banco do Brasil - Sarah Alves Lisboa"/>
    <s v="LIMPEZA POS OBRA"/>
    <x v="9"/>
    <x v="1"/>
    <x v="210"/>
    <s v="MIRIAM LINA PINTO DOS SANTOS"/>
    <m/>
    <m/>
    <s v="Nathalia Louiz"/>
    <n v="-200"/>
    <s v="Saída"/>
    <x v="0"/>
  </r>
  <r>
    <x v="160"/>
    <s v="Cartão de Crédito Dr Ivanildo"/>
    <s v="CANAÃ FRIOS"/>
    <x v="11"/>
    <x v="1"/>
    <x v="5"/>
    <s v="BANCO ITAU"/>
    <m/>
    <m/>
    <s v="Nathalia Louiz"/>
    <n v="-29.46"/>
    <s v="Saída"/>
    <x v="0"/>
  </r>
  <r>
    <x v="160"/>
    <s v="Banco do Brasil - Sarah Alves Lisboa"/>
    <s v="LIMPEZA - 1 DIÁRIA"/>
    <x v="9"/>
    <x v="1"/>
    <x v="15"/>
    <s v="ELIZANGELA FERREIRA DA SILVA"/>
    <m/>
    <m/>
    <s v="Nathalia Louiz"/>
    <n v="-170"/>
    <s v="Saída"/>
    <x v="0"/>
  </r>
  <r>
    <x v="160"/>
    <s v="Cartão de Crédito Dra Sarah"/>
    <s v="TERMO SUL ENGENHARIA"/>
    <x v="26"/>
    <x v="1"/>
    <x v="5"/>
    <s v="BANCO ITAU"/>
    <m/>
    <m/>
    <s v="Nathalia Louiz"/>
    <n v="-419.68"/>
    <s v="Saída"/>
    <x v="0"/>
  </r>
  <r>
    <x v="160"/>
    <s v="Cartão de Crédito Dr Ivanildo"/>
    <s v="Google One"/>
    <x v="12"/>
    <x v="1"/>
    <x v="5"/>
    <s v="BANCO ITAU"/>
    <m/>
    <m/>
    <s v="Thaynara Borges"/>
    <n v="-49.99"/>
    <s v="Saída"/>
    <x v="0"/>
  </r>
  <r>
    <x v="160"/>
    <s v="Cartão de Crédito Dr Ivanildo"/>
    <s v="CRISTAL FESTAS - FESTINHA DRA THAYNARA"/>
    <x v="11"/>
    <x v="1"/>
    <x v="207"/>
    <s v="BANCO ITAÚ S/A"/>
    <m/>
    <m/>
    <s v="Nathalia Louiz"/>
    <n v="-55.04"/>
    <s v="Saída"/>
    <x v="0"/>
  </r>
  <r>
    <x v="160"/>
    <s v="Cartão de Crédito Dra Sarah"/>
    <s v="TERMO SUL ENGENHARIA"/>
    <x v="26"/>
    <x v="1"/>
    <x v="5"/>
    <s v="BANCO ITAU"/>
    <m/>
    <m/>
    <s v="Nathalia Louiz"/>
    <n v="-300"/>
    <s v="Saída"/>
    <x v="0"/>
  </r>
  <r>
    <x v="160"/>
    <s v="Cartão de Crédito Dr Ivanildo"/>
    <s v="ZapSign programa de assinatura eletronica"/>
    <x v="12"/>
    <x v="1"/>
    <x v="5"/>
    <s v="BANCO ITAU"/>
    <m/>
    <m/>
    <s v="Thaynara Borges"/>
    <n v="-19.899999999999999"/>
    <s v="Saída"/>
    <x v="0"/>
  </r>
  <r>
    <x v="160"/>
    <s v="Cartão de Crédito Dr Ivanildo"/>
    <s v="Computador Dell"/>
    <x v="25"/>
    <x v="0"/>
    <x v="5"/>
    <s v="BANCO ITAU"/>
    <s v=""/>
    <m/>
    <s v="Nathalia Louiz"/>
    <n v="-333.24"/>
    <s v="Saída"/>
    <x v="0"/>
  </r>
  <r>
    <x v="160"/>
    <s v="Cartão de Crédito Dr Ivanildo"/>
    <s v="Google One"/>
    <x v="12"/>
    <x v="1"/>
    <x v="5"/>
    <s v="BANCO ITAU"/>
    <m/>
    <m/>
    <s v="Thaynara Borges"/>
    <n v="-14.99"/>
    <s v="Saída"/>
    <x v="0"/>
  </r>
  <r>
    <x v="160"/>
    <s v="Cartão de Crédito Dr Ivanildo"/>
    <s v="Jusbrasil"/>
    <x v="12"/>
    <x v="1"/>
    <x v="5"/>
    <s v="BANCO ITAU"/>
    <m/>
    <m/>
    <s v="Thaynara Borges"/>
    <n v="-58.9"/>
    <s v="Saída"/>
    <x v="0"/>
  </r>
  <r>
    <x v="160"/>
    <s v="Cartão de Crédito Dra Sarah"/>
    <s v="Cartão de crédito Dra Sarah"/>
    <x v="6"/>
    <x v="1"/>
    <x v="5"/>
    <s v="BANCO ITAU"/>
    <m/>
    <m/>
    <s v="Nathalia Louiz"/>
    <n v="1638.72"/>
    <s v="Entrada"/>
    <x v="1"/>
  </r>
  <r>
    <x v="160"/>
    <s v="Cartão de Crédito Dr Ivanildo"/>
    <s v="Pagamento Cartão de Crédito Dr Ivanildo"/>
    <x v="6"/>
    <x v="1"/>
    <x v="5"/>
    <s v="BANCO ITAU"/>
    <m/>
    <m/>
    <s v="Thaynara Borges"/>
    <n v="1450.96"/>
    <s v="Entrada"/>
    <x v="1"/>
  </r>
  <r>
    <x v="160"/>
    <s v="Cartão de Crédito Dra Sarah"/>
    <s v="CONSULTORIA ESTRATEGIA"/>
    <x v="34"/>
    <x v="1"/>
    <x v="5"/>
    <s v="BANCO ITAU"/>
    <m/>
    <m/>
    <s v="Nathalia Louiz"/>
    <n v="-300.05"/>
    <s v="Saída"/>
    <x v="0"/>
  </r>
  <r>
    <x v="160"/>
    <s v="Cartão de Crédito Dr Ivanildo"/>
    <s v="Previdenciarista"/>
    <x v="12"/>
    <x v="1"/>
    <x v="5"/>
    <s v="BANCO ITAU"/>
    <m/>
    <m/>
    <s v="Thaynara Borges"/>
    <n v="-119.9"/>
    <s v="Saída"/>
    <x v="0"/>
  </r>
  <r>
    <x v="160"/>
    <s v="Cartão de Crédito Dr Ivanildo"/>
    <s v="OBJECTI SOLUÇÕES"/>
    <x v="26"/>
    <x v="1"/>
    <x v="5"/>
    <s v="BANCO ITAU"/>
    <m/>
    <m/>
    <s v="Nathalia Louiz"/>
    <n v="-316"/>
    <s v="Saída"/>
    <x v="0"/>
  </r>
  <r>
    <x v="160"/>
    <s v="Itaú - Lisboa e Lisboa"/>
    <s v="Assessoria Contábil"/>
    <x v="1"/>
    <x v="1"/>
    <x v="1"/>
    <s v="CARLOS ALBERTO GRACIANO RODRIGUES"/>
    <m/>
    <m/>
    <s v="Thaynara Borges"/>
    <n v="-1518"/>
    <s v="Saída"/>
    <x v="0"/>
  </r>
  <r>
    <x v="160"/>
    <s v="Banco do Brasil - Sarah Alves Lisboa"/>
    <s v="40% SOB IMPLANTAÇÃO"/>
    <x v="2"/>
    <x v="2"/>
    <x v="211"/>
    <s v="ELIENE SOUZA SILVA"/>
    <m/>
    <s v="BENEFÍCIO POR INCAPACIDADE"/>
    <s v="Nathalia Louiz"/>
    <n v="2476.6999999999998"/>
    <s v="Entrada"/>
    <x v="1"/>
  </r>
  <r>
    <x v="160"/>
    <s v="Cartão de Crédito Dr Ivanildo"/>
    <s v="ANDRE E ALZIRA FRIOS"/>
    <x v="11"/>
    <x v="1"/>
    <x v="5"/>
    <s v="BANCO ITAU"/>
    <m/>
    <m/>
    <s v="Nathalia Louiz"/>
    <n v="-35.94"/>
    <s v="Saída"/>
    <x v="0"/>
  </r>
  <r>
    <x v="160"/>
    <s v="Cartão de Crédito Dr Ivanildo"/>
    <s v="ANUIDADE CARTÃO VANESSA"/>
    <x v="4"/>
    <x v="3"/>
    <x v="207"/>
    <s v="BANCO ITAÚ S/A"/>
    <m/>
    <m/>
    <s v="Nathalia Louiz"/>
    <n v="-18.75"/>
    <s v="Saída"/>
    <x v="0"/>
  </r>
  <r>
    <x v="160"/>
    <s v="Cartão de Crédito Dr Ivanildo"/>
    <s v="ANUIDADE CARTÃO IVANILDO"/>
    <x v="4"/>
    <x v="3"/>
    <x v="207"/>
    <s v="BANCO ITAÚ S/A"/>
    <m/>
    <m/>
    <s v="Nathalia Louiz"/>
    <n v="-18.75"/>
    <s v="Saída"/>
    <x v="0"/>
  </r>
  <r>
    <x v="161"/>
    <s v="Banco do Brasil - Sarah Alves Lisboa"/>
    <s v="Possivel Anuidade ** confirmar com Nina"/>
    <x v="2"/>
    <x v="2"/>
    <x v="183"/>
    <s v="SEBASTIAO RIBEIRO NETO"/>
    <m/>
    <s v="APOSENTADORIA POR TEMPO DE CONTRIBUIÇAO DA PESSOA COM DEFICIENCIA"/>
    <s v="Nathalia Louiz"/>
    <n v="550"/>
    <s v="Entrada"/>
    <x v="1"/>
  </r>
  <r>
    <x v="161"/>
    <s v="Banco do Brasil - Sarah Alves Lisboa"/>
    <s v="Parcela - Valor da Implantação (R$4.554,00)"/>
    <x v="2"/>
    <x v="2"/>
    <x v="174"/>
    <s v="MARIA MADALENA ALVES DA SILVA PAULA"/>
    <m/>
    <s v="PENSÃO POR MORTE"/>
    <s v="Nathalia Louiz"/>
    <n v="1138.5"/>
    <s v="Entrada"/>
    <x v="1"/>
  </r>
  <r>
    <x v="161"/>
    <s v="Banco do Brasil - Sarah Alves Lisboa"/>
    <s v="LIMPEZA POS OBRA"/>
    <x v="9"/>
    <x v="1"/>
    <x v="212"/>
    <s v="DANIELA MIGUEL SILVA"/>
    <m/>
    <m/>
    <s v="Nathalia Louiz"/>
    <n v="-450"/>
    <s v="Saída"/>
    <x v="0"/>
  </r>
  <r>
    <x v="161"/>
    <s v="Banco do Brasil - Sarah Alves Lisboa"/>
    <s v="30% SOB IMPLANTAÇÃO"/>
    <x v="2"/>
    <x v="2"/>
    <x v="206"/>
    <s v="GLAUCINEIDE RODRIGUES DA SILVA"/>
    <m/>
    <s v="BENEFÍCIO POR INCAPACIDADE"/>
    <s v="Nathalia Louiz"/>
    <n v="623"/>
    <s v="Entrada"/>
    <x v="1"/>
  </r>
  <r>
    <x v="161"/>
    <s v="Banco do Brasil - Sarah Alves Lisboa"/>
    <s v="Parcelamento 3 BENEFICIOS"/>
    <x v="2"/>
    <x v="2"/>
    <x v="181"/>
    <s v="MATHEUS HENRIQUE DE CARVALHO MIRANDA"/>
    <m/>
    <s v="PENSÃO POR MORTE - RETROAÇÃO DA DIP"/>
    <s v="Nathalia Louiz"/>
    <n v="563.5"/>
    <s v="Entrada"/>
    <x v="1"/>
  </r>
  <r>
    <x v="161"/>
    <s v="Banco do Brasil - Sarah Alves Lisboa"/>
    <s v="Valor residual da implantação."/>
    <x v="2"/>
    <x v="2"/>
    <x v="191"/>
    <s v="NILVANDA CANDIDA DE MOURA OLIVEIRA"/>
    <m/>
    <s v="APOSENTADORIA POR IDADE"/>
    <s v="Nathalia Louiz"/>
    <n v="554"/>
    <s v="Entrada"/>
    <x v="1"/>
  </r>
  <r>
    <x v="162"/>
    <s v="Itaú - Lisboa e Lisboa"/>
    <s v="Taxa de Condomínio Vaga Garagem A-83"/>
    <x v="10"/>
    <x v="1"/>
    <x v="16"/>
    <s v="ATON BUSINESS STYLE"/>
    <m/>
    <m/>
    <s v="Thaynara Borges"/>
    <n v="-64.900000000000006"/>
    <s v="Saída"/>
    <x v="0"/>
  </r>
  <r>
    <x v="162"/>
    <s v="Itaú - Lisboa e Lisboa"/>
    <s v="Taxa de Condomínio Vaga Garagem A-88"/>
    <x v="10"/>
    <x v="1"/>
    <x v="16"/>
    <s v="ATON BUSINESS STYLE"/>
    <m/>
    <m/>
    <s v="Thaynara Borges"/>
    <n v="-64.900000000000006"/>
    <s v="Saída"/>
    <x v="0"/>
  </r>
  <r>
    <x v="162"/>
    <s v="Itaú - Lisboa e Lisboa"/>
    <s v="Transferencia entre contas honorarios Eliene Souza Silva"/>
    <x v="40"/>
    <x v="11"/>
    <x v="213"/>
    <s v="Itaú - Lisboa e Lisboa"/>
    <m/>
    <m/>
    <s v="Thaynara Borges"/>
    <n v="2476.6999999999998"/>
    <s v="Entrada"/>
    <x v="1"/>
  </r>
  <r>
    <x v="162"/>
    <s v="Itaú - Lisboa e Lisboa"/>
    <s v="Taxa de Condomínio Sala B-74"/>
    <x v="10"/>
    <x v="1"/>
    <x v="16"/>
    <s v="ATON BUSINESS STYLE"/>
    <m/>
    <m/>
    <s v="Thaynara Borges"/>
    <n v="-1450.77"/>
    <s v="Saída"/>
    <x v="0"/>
  </r>
  <r>
    <x v="162"/>
    <s v="Itaú - Lisboa e Lisboa"/>
    <s v="Taxa de Condomínio Vaga Garagem A-82"/>
    <x v="10"/>
    <x v="1"/>
    <x v="16"/>
    <s v="ATON BUSINESS STYLE"/>
    <m/>
    <m/>
    <s v="Thaynara Borges"/>
    <n v="-64.900000000000006"/>
    <s v="Saída"/>
    <x v="0"/>
  </r>
  <r>
    <x v="162"/>
    <s v="Itaú - Lisboa e Lisboa"/>
    <s v="Taxa de Condomínio Vaga Garagem A-81"/>
    <x v="10"/>
    <x v="1"/>
    <x v="16"/>
    <s v="ATON BUSINESS STYLE"/>
    <m/>
    <m/>
    <s v="Thaynara Borges"/>
    <n v="-64.900000000000006"/>
    <s v="Saída"/>
    <x v="0"/>
  </r>
  <r>
    <x v="162"/>
    <s v="Itaú - Lisboa e Lisboa"/>
    <s v="Taxa de Condomínio Vaga Garagem A-78"/>
    <x v="10"/>
    <x v="1"/>
    <x v="16"/>
    <s v="ATON BUSINESS STYLE"/>
    <m/>
    <m/>
    <s v="Thaynara Borges"/>
    <n v="-64.900000000000006"/>
    <s v="Saída"/>
    <x v="0"/>
  </r>
  <r>
    <x v="162"/>
    <s v="Itaú - Lisboa e Lisboa"/>
    <s v="Taxa de Condomínio Sala B-73"/>
    <x v="10"/>
    <x v="1"/>
    <x v="16"/>
    <s v="ATON BUSINESS STYLE"/>
    <m/>
    <m/>
    <s v="Thaynara Borges"/>
    <n v="-1450.19"/>
    <s v="Saída"/>
    <x v="0"/>
  </r>
  <r>
    <x v="162"/>
    <s v="Banco do Brasil - Sarah Alves Lisboa"/>
    <s v="REPASSE INTEGRAL DRA VANESSA - RPV DE SUCUMBÊNCIA DE 2006"/>
    <x v="28"/>
    <x v="7"/>
    <x v="164"/>
    <s v="ROSALIA SOARES LEITE"/>
    <m/>
    <s v="CONCESSAO DE PROVENTOS INTEGRAIS DA APOSENTADORIA POR INVALIDEZ"/>
    <s v="Nathalia Louiz"/>
    <n v="-4554.28"/>
    <s v="Saída"/>
    <x v="0"/>
  </r>
  <r>
    <x v="162"/>
    <s v="Itaú - Lisboa e Lisboa"/>
    <s v="Cartão de Crédito Dr Ivanilldo"/>
    <x v="6"/>
    <x v="1"/>
    <x v="5"/>
    <s v="BANCO ITAU"/>
    <m/>
    <m/>
    <s v="Thaynara Borges"/>
    <n v="-1450.96"/>
    <s v="Saída"/>
    <x v="0"/>
  </r>
  <r>
    <x v="162"/>
    <s v="Banco do Brasil - Sarah Alves Lisboa"/>
    <s v="Transferencia entre contas honorarios Eliene Souza Silva"/>
    <x v="40"/>
    <x v="11"/>
    <x v="214"/>
    <s v="Banco do Brasil - Sarah Alves Lisboa"/>
    <m/>
    <m/>
    <s v="Thaynara Borges"/>
    <n v="-2476.6999999999998"/>
    <s v="Saída"/>
    <x v="0"/>
  </r>
  <r>
    <x v="163"/>
    <s v="Itaú - Lisboa e Lisboa"/>
    <s v="Celular"/>
    <x v="8"/>
    <x v="1"/>
    <x v="14"/>
    <s v="VIVO"/>
    <m/>
    <m/>
    <s v="Thaynara Borges"/>
    <n v="-137.37"/>
    <s v="Saída"/>
    <x v="0"/>
  </r>
  <r>
    <x v="163"/>
    <s v="Banco do Brasil - Sarah Alves Lisboa"/>
    <s v="3 BENEFICIOS"/>
    <x v="2"/>
    <x v="2"/>
    <x v="157"/>
    <s v="SERGIO HENRIQUE  MOREIRA LOPES"/>
    <m/>
    <s v="BENEFÍCIO POR INCAPACIDADE"/>
    <s v="Nathalia Louiz"/>
    <n v="1007"/>
    <s v="Entrada"/>
    <x v="1"/>
  </r>
  <r>
    <x v="164"/>
    <s v="Banco do Brasil - Sarah Alves Lisboa"/>
    <s v="Certidão de Militancia"/>
    <x v="7"/>
    <x v="5"/>
    <x v="215"/>
    <s v="DEA LUCIA DA SILVA DAVID"/>
    <m/>
    <s v="APOSENTADORIA POR IDADE"/>
    <s v="Thaynara Borges"/>
    <n v="-21.73"/>
    <s v="Saída"/>
    <x v="0"/>
  </r>
  <r>
    <x v="164"/>
    <s v="Banco do Brasil - Sarah Alves Lisboa"/>
    <s v="Certidao de militancia LEANNE"/>
    <x v="7"/>
    <x v="5"/>
    <x v="216"/>
    <s v="MARIA APARECIDA SILVA ALVES/ IVANILTON ROCHA ALVES"/>
    <m/>
    <s v="APOSENTADORIA POR TEMPO DE CONTRIBUIÇAO / PORTADOR DE NESCESSIDADES ESPECIAIS"/>
    <s v="Thaynara Borges"/>
    <n v="-21.73"/>
    <s v="Saída"/>
    <x v="0"/>
  </r>
  <r>
    <x v="164"/>
    <s v="Itaú - Lisboa e Lisboa"/>
    <s v="Suprimentos pra escritório"/>
    <x v="26"/>
    <x v="1"/>
    <x v="137"/>
    <s v="R3 SUPRIMENTOS CORPORATIVOS LTDA"/>
    <m/>
    <m/>
    <s v="Nathalia Louiz"/>
    <n v="-369.65"/>
    <s v="Saída"/>
    <x v="0"/>
  </r>
  <r>
    <x v="164"/>
    <s v="Banco do Brasil - Sarah Alves Lisboa"/>
    <s v="Certidao de militancia"/>
    <x v="7"/>
    <x v="5"/>
    <x v="217"/>
    <s v="CECILIA GONÇALVES DA SILVA"/>
    <m/>
    <s v="AUXILIO DOENÇA"/>
    <s v="Thaynara Borges"/>
    <n v="-21.73"/>
    <s v="Saída"/>
    <x v="0"/>
  </r>
  <r>
    <x v="164"/>
    <s v="Banco do Brasil - Sarah Alves Lisboa"/>
    <s v="Certidao de militancia"/>
    <x v="7"/>
    <x v="5"/>
    <x v="218"/>
    <s v="HELIO CURADO FROES"/>
    <m/>
    <s v="APOSENTADORIA POR IDADE"/>
    <s v="Thaynara Borges"/>
    <n v="-21.73"/>
    <s v="Saída"/>
    <x v="0"/>
  </r>
  <r>
    <x v="164"/>
    <s v="Banco do Brasil - Sarah Alves Lisboa"/>
    <s v="Certidao de militancia"/>
    <x v="7"/>
    <x v="5"/>
    <x v="219"/>
    <s v="ROGERIO JOSE DA SILVEIRA"/>
    <m/>
    <s v="APOSENTADORIA ESPECIAL/ ELETRICISTA"/>
    <s v="Thaynara Borges"/>
    <n v="-21.73"/>
    <s v="Saída"/>
    <x v="0"/>
  </r>
  <r>
    <x v="164"/>
    <s v="Banco do Brasil - Sarah Alves Lisboa"/>
    <s v="Certidao de Militancia"/>
    <x v="7"/>
    <x v="5"/>
    <x v="220"/>
    <s v="JOSE RENATO MARTINS"/>
    <m/>
    <s v="APOSENTADORIA POR TEMPO DE CONTRIBUIÇÃO"/>
    <s v="Thaynara Borges"/>
    <n v="-21.73"/>
    <s v="Saída"/>
    <x v="0"/>
  </r>
  <r>
    <x v="165"/>
    <s v="Banco do Brasil - Sarah Alves Lisboa"/>
    <s v="Exame admissional "/>
    <x v="30"/>
    <x v="9"/>
    <x v="221"/>
    <s v="SAMARA ALMEIDA BOGEA"/>
    <m/>
    <m/>
    <s v="Nathalia Louiz"/>
    <n v="-48"/>
    <s v="Saída"/>
    <x v="0"/>
  </r>
  <r>
    <x v="165"/>
    <s v="Banco do Brasil - Sarah Alves Lisboa"/>
    <s v="Transferencia entre contas parcela 1/3 - 3 beneficios Geni Moura Neves"/>
    <x v="40"/>
    <x v="11"/>
    <x v="214"/>
    <s v="Banco do Brasil - Sarah Alves Lisboa"/>
    <m/>
    <m/>
    <s v="Thaynara Borges"/>
    <n v="-759"/>
    <s v="Saída"/>
    <x v="0"/>
  </r>
  <r>
    <x v="165"/>
    <s v="Itaú - Lisboa e Lisboa"/>
    <s v="CONTRATO 9621661899"/>
    <x v="8"/>
    <x v="1"/>
    <x v="98"/>
    <s v="VIVO FIXO"/>
    <m/>
    <m/>
    <s v="Thaynara Borges"/>
    <n v="-260.58"/>
    <s v="Saída"/>
    <x v="0"/>
  </r>
  <r>
    <x v="165"/>
    <s v="Itaú - Lisboa e Lisboa"/>
    <s v="Serviços TI"/>
    <x v="3"/>
    <x v="1"/>
    <x v="4"/>
    <s v="Rhuan Carlos Batista"/>
    <m/>
    <m/>
    <s v="Thaynara Borges"/>
    <n v="-130"/>
    <s v="Saída"/>
    <x v="0"/>
  </r>
  <r>
    <x v="165"/>
    <s v="Itaú - Lisboa e Lisboa"/>
    <s v="Anuidade R$ 8.967,07 (2.000 + 12x R$580,59)"/>
    <x v="2"/>
    <x v="2"/>
    <x v="188"/>
    <s v="ISAEL MARCULINO DOS SANTOS"/>
    <m/>
    <s v="APOSENTADORIA POR TEMPO DE CONTRIBUIÇAO/ PORTADOR DE NECESSIDADES ESPECIAIS"/>
    <s v="Nathalia Louiz"/>
    <n v="577.74"/>
    <s v="Entrada"/>
    <x v="1"/>
  </r>
  <r>
    <x v="165"/>
    <s v="Itaú - Lisboa e Lisboa"/>
    <s v="Transferencia entre contas parcela 1/3 - 3 beneficios Geni Moura Neves"/>
    <x v="40"/>
    <x v="11"/>
    <x v="213"/>
    <s v="Itaú - Lisboa e Lisboa"/>
    <m/>
    <m/>
    <s v="Thaynara Borges"/>
    <n v="759"/>
    <s v="Entrada"/>
    <x v="1"/>
  </r>
  <r>
    <x v="165"/>
    <s v="Banco do Brasil - Sarah Alves Lisboa"/>
    <s v="(Entrada de 3100 + 1x 1454,00)"/>
    <x v="2"/>
    <x v="2"/>
    <x v="194"/>
    <s v="LUZIA FERREIRA AREBAS SHIMADA"/>
    <m/>
    <s v="BENEFÍCIO ASSISTENCIAL AO IDOSO"/>
    <s v="Nathalia Louiz"/>
    <n v="1454"/>
    <s v="Entrada"/>
    <x v="1"/>
  </r>
  <r>
    <x v="165"/>
    <s v="Banco do Brasil - Sarah Alves Lisboa"/>
    <s v="Horas Extras"/>
    <x v="15"/>
    <x v="6"/>
    <x v="46"/>
    <s v="Laura Barbosa Marques"/>
    <m/>
    <m/>
    <s v="Nathalia Louiz"/>
    <n v="-700"/>
    <s v="Saída"/>
    <x v="0"/>
  </r>
  <r>
    <x v="165"/>
    <s v="Banco do Brasil - Sarah Alves Lisboa"/>
    <s v="Parcelas - parceria Dr Silvio"/>
    <x v="2"/>
    <x v="2"/>
    <x v="40"/>
    <s v="GLEYCIANNE RIBEIRO DE SOUZA CABRAL"/>
    <m/>
    <s v="DIVÓRCIO CONSENSUAL C/C REGULAMENTAÇÃO DE GUARDA E ALIMENTOS"/>
    <s v="Thaynara Borges"/>
    <n v="150"/>
    <s v="Entrada"/>
    <x v="1"/>
  </r>
  <r>
    <x v="165"/>
    <s v="Itaú - Lisboa e Lisboa"/>
    <s v="CONTRATO 9309114969"/>
    <x v="8"/>
    <x v="1"/>
    <x v="98"/>
    <s v="VIVO FIXO"/>
    <m/>
    <m/>
    <s v="Thaynara Borges"/>
    <n v="-130.53"/>
    <s v="Saída"/>
    <x v="0"/>
  </r>
  <r>
    <x v="166"/>
    <s v="Banco do Brasil - Sarah Alves Lisboa"/>
    <s v="ANUIDADE (3 BENEFICIOS)"/>
    <x v="2"/>
    <x v="2"/>
    <x v="125"/>
    <s v="DARLENE CAIXETA DOS SANTOS"/>
    <m/>
    <s v="BENEFÍCIO POR INCAPACIDADE"/>
    <s v="Nathalia Louiz"/>
    <n v="455.4"/>
    <s v="Entrada"/>
    <x v="1"/>
  </r>
  <r>
    <x v="166"/>
    <s v="Itaú - Lisboa e Lisboa"/>
    <s v="PAGAMENTO CARTÃO DE CRÉDITO DRA SARAH"/>
    <x v="6"/>
    <x v="1"/>
    <x v="5"/>
    <s v="BANCO ITAU"/>
    <m/>
    <m/>
    <s v="Nathalia Louiz"/>
    <n v="-1638.72"/>
    <s v="Saída"/>
    <x v="0"/>
  </r>
  <r>
    <x v="166"/>
    <s v="Banco do Brasil - Sarah Alves Lisboa"/>
    <s v="ANUIDADE (3 BENEFICIOS)"/>
    <x v="2"/>
    <x v="2"/>
    <x v="125"/>
    <s v="DARLENE CAIXETA DOS SANTOS"/>
    <m/>
    <s v="BENEFÍCIO POR INCAPACIDADE"/>
    <s v="Nathalia Louiz"/>
    <n v="455.4"/>
    <s v="Entrada"/>
    <x v="1"/>
  </r>
  <r>
    <x v="166"/>
    <s v="Banco do Brasil - Sarah Alves Lisboa"/>
    <s v="Tarifa Bancária"/>
    <x v="4"/>
    <x v="3"/>
    <x v="22"/>
    <s v="BANCO DO BRASIL S/A"/>
    <m/>
    <m/>
    <s v="Thaynara Borges"/>
    <n v="-15"/>
    <s v="Saída"/>
    <x v="0"/>
  </r>
  <r>
    <x v="166"/>
    <s v="Banco do Brasil - Sarah Alves Lisboa"/>
    <s v="Defesa administrativa e honorários - R$ 2.000,00 (Entrada de R$1.000,00 + 1x R$1.000,00)"/>
    <x v="2"/>
    <x v="2"/>
    <x v="222"/>
    <s v="LUIZ CARLOS FERREIRA DE MELO"/>
    <m/>
    <s v="DEFESA ADMINISTRATIVA"/>
    <s v="Nathalia Louiz"/>
    <n v="1000"/>
    <s v="Entrada"/>
    <x v="1"/>
  </r>
  <r>
    <x v="166"/>
    <s v="Itaú - Lisboa e Lisboa"/>
    <s v="IEL Estagiárias"/>
    <x v="13"/>
    <x v="6"/>
    <x v="21"/>
    <s v="IEL"/>
    <m/>
    <m/>
    <s v="Thaynara Borges"/>
    <n v="-106.73"/>
    <s v="Saída"/>
    <x v="0"/>
  </r>
  <r>
    <x v="167"/>
    <s v="Banco do Brasil - Sarah Alves Lisboa"/>
    <s v="Taxa de uso do solo -  CNPJ Dra Raffaella"/>
    <x v="30"/>
    <x v="9"/>
    <x v="71"/>
    <s v="PREFEITURA MUNICIPAL DE GOIÂNIA"/>
    <m/>
    <m/>
    <s v="Nathalia Louiz"/>
    <n v="-129.69999999999999"/>
    <s v="Saída"/>
    <x v="0"/>
  </r>
  <r>
    <x v="167"/>
    <s v="Banco do Brasil - Sarah Alves Lisboa"/>
    <s v="30%  SOB RECEBIDOS"/>
    <x v="2"/>
    <x v="2"/>
    <x v="223"/>
    <s v="LUCA RACHED NADER"/>
    <m/>
    <s v="AÇÃO DE INDENIZAÇÃO POR DANOS MATERIAIS E MORAIS"/>
    <s v="Nathalia Louiz"/>
    <n v="795.55"/>
    <s v="Entrada"/>
    <x v="1"/>
  </r>
  <r>
    <x v="167"/>
    <s v="Banco do Brasil - Sarah Alves Lisboa"/>
    <s v="3 SALÁRIOS DE BENEFICIO (Entrada de 1000,00 + 6x de 492,33 no boleto)"/>
    <x v="2"/>
    <x v="2"/>
    <x v="117"/>
    <s v="Maura Cardoso Borges"/>
    <m/>
    <s v="APOSENTADORIA POR IDADE"/>
    <s v="Nathalia Louiz"/>
    <n v="1000"/>
    <s v="Entrada"/>
    <x v="1"/>
  </r>
  <r>
    <x v="167"/>
    <s v="Banco do Brasil - Sarah Alves Lisboa"/>
    <s v="Conserto de cabos"/>
    <x v="3"/>
    <x v="1"/>
    <x v="224"/>
    <s v="ADAIR PEREIRA DA SILVA"/>
    <m/>
    <m/>
    <s v="Nathalia Louiz"/>
    <n v="-150"/>
    <s v="Saída"/>
    <x v="0"/>
  </r>
  <r>
    <x v="167"/>
    <s v="Banco do Brasil - Sarah Alves Lisboa"/>
    <s v="PARCEIRIA DR SILVIO - Honorários de parceria caso VALENTINA SOUSA FONSECA"/>
    <x v="2"/>
    <x v="2"/>
    <x v="202"/>
    <s v="VALENTINA SOUSA FONSECA"/>
    <m/>
    <s v="SOLICITAR PAGAMENTOS NÃO RECEBIDOS"/>
    <s v="Nathalia Louiz"/>
    <n v="168"/>
    <s v="Entrada"/>
    <x v="1"/>
  </r>
  <r>
    <x v="167"/>
    <s v="Banco do Brasil - Sarah Alves Lisboa"/>
    <s v="Domínio do escritório (3 anos)"/>
    <x v="12"/>
    <x v="1"/>
    <x v="225"/>
    <s v="HOSTGATOR"/>
    <m/>
    <m/>
    <s v="Nathalia Louiz"/>
    <n v="-499.53"/>
    <s v="Saída"/>
    <x v="0"/>
  </r>
  <r>
    <x v="167"/>
    <s v="Banco do Brasil - Sarah Alves Lisboa"/>
    <s v="30% SOB IMPLANTAÇÃO"/>
    <x v="2"/>
    <x v="2"/>
    <x v="78"/>
    <s v="SUELLEN DE JESUS LIMA"/>
    <m/>
    <s v="AUXILIO ACIDENTE"/>
    <s v="Nathalia Louiz"/>
    <n v="1268.0999999999999"/>
    <s v="Entrada"/>
    <x v="1"/>
  </r>
  <r>
    <x v="168"/>
    <s v="Itaú - Lisboa e Lisboa"/>
    <s v="Seguro "/>
    <x v="41"/>
    <x v="1"/>
    <x v="226"/>
    <s v="PORTO SEGURO COMPANHIA DE SEGUROS GERAIS"/>
    <m/>
    <m/>
    <s v="Nathalia Louiz"/>
    <n v="-1105.68"/>
    <s v="Saída"/>
    <x v="0"/>
  </r>
  <r>
    <x v="168"/>
    <s v="Banco do Brasil - Sarah Alves Lisboa"/>
    <s v="Cesta de despedida - Laura"/>
    <x v="16"/>
    <x v="4"/>
    <x v="227"/>
    <s v="Fernanda Aparecida de Farias"/>
    <m/>
    <m/>
    <s v="Nathalia Louiz"/>
    <n v="-210"/>
    <s v="Saída"/>
    <x v="0"/>
  </r>
  <r>
    <x v="168"/>
    <s v="Banco do Brasil - Sarah Alves Lisboa"/>
    <s v="Pagamento de comissão para BARBARA ARANTES"/>
    <x v="28"/>
    <x v="7"/>
    <x v="228"/>
    <s v="HADASSA  ANJOS DE ALMEIDA LEMES"/>
    <m/>
    <s v="AUXILIO MORADIA EM RESIDÊNCIA MÉDICA"/>
    <s v="Nathalia Louiz"/>
    <n v="-300"/>
    <s v="Saída"/>
    <x v="0"/>
  </r>
  <r>
    <x v="168"/>
    <s v="Itaú - Lisboa e Lisboa"/>
    <s v="Transferência honorários - Sandia Motta - Emissão de NFE"/>
    <x v="40"/>
    <x v="11"/>
    <x v="213"/>
    <s v="Itaú - Lisboa e Lisboa"/>
    <m/>
    <m/>
    <s v="Nathalia Louiz"/>
    <n v="3085.85"/>
    <s v="Entrada"/>
    <x v="1"/>
  </r>
  <r>
    <x v="168"/>
    <s v="Banco do Brasil - Sarah Alves Lisboa"/>
    <s v="Transferência honorários - Sandia Motta - Emissão de NFE"/>
    <x v="40"/>
    <x v="11"/>
    <x v="214"/>
    <s v="Banco do Brasil - Sarah Alves Lisboa"/>
    <m/>
    <m/>
    <s v="Nathalia Louiz"/>
    <n v="-3085.85"/>
    <s v="Saída"/>
    <x v="0"/>
  </r>
  <r>
    <x v="168"/>
    <s v="Itaú - Lisboa e Lisboa"/>
    <s v="PLANEJAMENTO"/>
    <x v="2"/>
    <x v="2"/>
    <x v="168"/>
    <s v="JOSE VITORIO DE CARVALHO JUNIOR"/>
    <m/>
    <s v="PLANEJAMENTO PREVIDENCIÁRIO"/>
    <s v="Thaynara Borges"/>
    <n v="97.15"/>
    <s v="Entrada"/>
    <x v="1"/>
  </r>
  <r>
    <x v="169"/>
    <s v="Banco do Brasil - Sarah Alves Lisboa"/>
    <s v="Lanche despedida - Laura"/>
    <x v="11"/>
    <x v="1"/>
    <x v="134"/>
    <s v="SUPERMERCADO MOREIRA"/>
    <m/>
    <m/>
    <s v="Nathalia Louiz"/>
    <n v="-92"/>
    <s v="Saída"/>
    <x v="0"/>
  </r>
  <r>
    <x v="170"/>
    <s v="Banco do Brasil - Sarah Alves Lisboa"/>
    <s v="Cartão de Crédito Dra Thaynara"/>
    <x v="6"/>
    <x v="1"/>
    <x v="47"/>
    <s v="C6"/>
    <m/>
    <m/>
    <s v="Thaynara Borges"/>
    <n v="-1022.8"/>
    <s v="Saída"/>
    <x v="0"/>
  </r>
  <r>
    <x v="170"/>
    <s v="Cartão de Crédito Dra Thaynara"/>
    <s v="Cálculo Jurídico"/>
    <x v="12"/>
    <x v="1"/>
    <x v="47"/>
    <s v="C6"/>
    <m/>
    <m/>
    <s v="Thaynara Borges"/>
    <n v="-120.29"/>
    <s v="Saída"/>
    <x v="0"/>
  </r>
  <r>
    <x v="170"/>
    <s v="Cartão de Crédito Dra Thaynara"/>
    <s v="Pagamento Cartão de Crédito Dra Thaynara"/>
    <x v="6"/>
    <x v="1"/>
    <x v="47"/>
    <s v="C6"/>
    <m/>
    <m/>
    <s v="Nathalia Louiz"/>
    <n v="1022.8"/>
    <s v="Entrada"/>
    <x v="1"/>
  </r>
  <r>
    <x v="170"/>
    <s v="Banco do Brasil - Sarah Alves Lisboa"/>
    <s v="Viagem Sarah"/>
    <x v="28"/>
    <x v="7"/>
    <x v="166"/>
    <s v="MARIA EDUARDA DE SOUZA"/>
    <m/>
    <m/>
    <s v="Nathalia Louiz"/>
    <n v="-100"/>
    <s v="Saída"/>
    <x v="0"/>
  </r>
  <r>
    <x v="170"/>
    <s v="Banco do Brasil - Sarah Alves Lisboa"/>
    <s v="Lanches para Viagem"/>
    <x v="37"/>
    <x v="10"/>
    <x v="7"/>
    <s v="SARAH ALVES LISBOA"/>
    <m/>
    <m/>
    <s v="Nathalia Louiz"/>
    <n v="-108.62"/>
    <s v="Saída"/>
    <x v="0"/>
  </r>
  <r>
    <x v="170"/>
    <s v="Itaú - Lisboa e Lisboa"/>
    <s v="Rescisão de Contrato - Acerto"/>
    <x v="15"/>
    <x v="6"/>
    <x v="46"/>
    <s v="Laura Barbosa Marques"/>
    <m/>
    <m/>
    <s v="Nathalia Louiz"/>
    <n v="-1841.67"/>
    <s v="Saída"/>
    <x v="0"/>
  </r>
  <r>
    <x v="170"/>
    <s v="Banco do Brasil - Sarah Alves Lisboa"/>
    <s v="COMBUSTIVEL VIAGEM"/>
    <x v="35"/>
    <x v="4"/>
    <x v="229"/>
    <s v="POSTO TAMANDARÉ"/>
    <m/>
    <m/>
    <s v="Nathalia Louiz"/>
    <n v="-253.39"/>
    <s v="Saída"/>
    <x v="0"/>
  </r>
  <r>
    <x v="170"/>
    <s v="Cartão de Crédito Dra Thaynara"/>
    <s v="HTM*ALINEDECKER (Curso Liderança)"/>
    <x v="12"/>
    <x v="1"/>
    <x v="47"/>
    <s v="C6"/>
    <m/>
    <m/>
    <s v="Thaynara Borges"/>
    <n v="-249.21"/>
    <s v="Saída"/>
    <x v="0"/>
  </r>
  <r>
    <x v="170"/>
    <s v="Banco do Brasil - Sarah Alves Lisboa"/>
    <s v="Comissão viagem Sarah"/>
    <x v="28"/>
    <x v="7"/>
    <x v="230"/>
    <s v="MARIA L F NASCIMENTO"/>
    <m/>
    <m/>
    <s v="Nathalia Louiz"/>
    <n v="-300"/>
    <s v="Saída"/>
    <x v="0"/>
  </r>
  <r>
    <x v="170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70"/>
    <s v="Cartão de Crédito Dra Thaynara"/>
    <s v="ASTREA"/>
    <x v="12"/>
    <x v="1"/>
    <x v="47"/>
    <s v="C6"/>
    <m/>
    <m/>
    <s v="Thaynara Borges"/>
    <n v="-653.29999999999995"/>
    <s v="Saída"/>
    <x v="0"/>
  </r>
  <r>
    <x v="170"/>
    <s v="Banco do Brasil - Sarah Alves Lisboa"/>
    <s v="Taxa de abertura CNPJ - Raffa"/>
    <x v="30"/>
    <x v="9"/>
    <x v="74"/>
    <s v="OAB"/>
    <m/>
    <m/>
    <s v="Nathalia Louiz"/>
    <n v="-700"/>
    <s v="Saída"/>
    <x v="0"/>
  </r>
  <r>
    <x v="171"/>
    <s v="Itaú - Lisboa e Lisboa"/>
    <s v="3 beneficios"/>
    <x v="2"/>
    <x v="2"/>
    <x v="231"/>
    <s v="ELIO DIVINO NUNES DE BARROS"/>
    <m/>
    <s v="APOSENTADORIA POR IDADE"/>
    <s v="Nathalia Louiz"/>
    <n v="3525.48"/>
    <s v="Entrada"/>
    <x v="1"/>
  </r>
  <r>
    <x v="171"/>
    <s v="Itaú - Lisboa e Lisboa"/>
    <s v="30% SOB ATRASADOS"/>
    <x v="2"/>
    <x v="2"/>
    <x v="232"/>
    <s v="LAIRCE CORREA BARBOSA FRUTUOSO"/>
    <m/>
    <s v="APOSENTADORIA RURAL"/>
    <s v="Nathalia Louiz"/>
    <n v="4540.7"/>
    <s v="Entrada"/>
    <x v="1"/>
  </r>
  <r>
    <x v="171"/>
    <s v="Itaú - Lisboa e Lisboa"/>
    <s v="OBRA - CONSTRUTOR DA REFORMA"/>
    <x v="14"/>
    <x v="1"/>
    <x v="209"/>
    <s v="EDVAN CANDIDO DOS SANTOS"/>
    <m/>
    <m/>
    <s v="Nathalia Louiz"/>
    <n v="-3500"/>
    <s v="Saída"/>
    <x v="0"/>
  </r>
  <r>
    <x v="171"/>
    <s v="Itaú - Lisboa e Lisboa"/>
    <s v="40% de honorarios + 3 beneficios"/>
    <x v="2"/>
    <x v="2"/>
    <x v="85"/>
    <s v="IACY DA SILVA MAGALHÃES"/>
    <m/>
    <s v="APOSENTADORIA DO DEFICIENTE"/>
    <s v="Nathalia Louiz"/>
    <n v="22021.26"/>
    <s v="Entrada"/>
    <x v="1"/>
  </r>
  <r>
    <x v="171"/>
    <s v="Banco do Brasil - Sarah Alves Lisboa"/>
    <s v="Honorários"/>
    <x v="2"/>
    <x v="2"/>
    <x v="106"/>
    <s v="CARMEM LUCIA MENDES DE OLIVEIRA"/>
    <m/>
    <s v="BENEFÍCIO POR INCAPACIDADE"/>
    <s v="Nathalia Louiz"/>
    <n v="1103.9100000000001"/>
    <s v="Entrada"/>
    <x v="1"/>
  </r>
  <r>
    <x v="172"/>
    <s v="Banco do Brasil - Sarah Alves Lisboa"/>
    <s v="40% SOB IMPLANTAÇÃO"/>
    <x v="2"/>
    <x v="2"/>
    <x v="233"/>
    <s v="ELCIMAR LOURENÇO DE SOUSA"/>
    <m/>
    <s v="APOSENTADORIA POR TEMPO DE CONTRIBUIÇÃO"/>
    <s v="Nathalia Louiz"/>
    <n v="1828.14"/>
    <s v="Entrada"/>
    <x v="1"/>
  </r>
  <r>
    <x v="173"/>
    <s v="Itaú - Lisboa e Lisboa"/>
    <s v="INSS"/>
    <x v="19"/>
    <x v="6"/>
    <x v="38"/>
    <s v="RECEITA FEDERAL"/>
    <m/>
    <m/>
    <s v="Thaynara Borges"/>
    <n v="-2392.46"/>
    <s v="Saída"/>
    <x v="0"/>
  </r>
  <r>
    <x v="173"/>
    <s v="Itaú - Lisboa e Lisboa"/>
    <s v="FGTS"/>
    <x v="18"/>
    <x v="6"/>
    <x v="133"/>
    <s v="FGTS"/>
    <m/>
    <m/>
    <s v="Thaynara Borges"/>
    <n v="-507.43"/>
    <s v="Saída"/>
    <x v="0"/>
  </r>
  <r>
    <x v="173"/>
    <s v="Itaú - Lisboa e Lisboa"/>
    <s v="Água"/>
    <x v="17"/>
    <x v="1"/>
    <x v="34"/>
    <s v="SANEAGO GOIAS S/A"/>
    <m/>
    <m/>
    <s v="Thaynara Borges"/>
    <n v="-132.22999999999999"/>
    <s v="Saída"/>
    <x v="0"/>
  </r>
  <r>
    <x v="173"/>
    <s v="Banco do Brasil - Sarah Alves Lisboa"/>
    <s v="Honorários sob implantação"/>
    <x v="2"/>
    <x v="2"/>
    <x v="234"/>
    <s v="ARLINDO LEITE DOS SANTOS"/>
    <m/>
    <s v="BENEFÍCIO POR INCAPACIDADE"/>
    <s v="Nathalia Louiz"/>
    <n v="1750"/>
    <s v="Entrada"/>
    <x v="1"/>
  </r>
  <r>
    <x v="173"/>
    <s v="Itaú - Lisboa e Lisboa"/>
    <s v="3 salários de beneficio"/>
    <x v="2"/>
    <x v="2"/>
    <x v="193"/>
    <s v="NATANNE KELLY REIS DE SOUZA"/>
    <m/>
    <s v="BENEFÍCIO ASSISTENCIAL"/>
    <s v="Nathalia Louiz"/>
    <n v="462.7"/>
    <s v="Entrada"/>
    <x v="1"/>
  </r>
  <r>
    <x v="173"/>
    <s v="Banco do Brasil - Sarah Alves Lisboa"/>
    <s v="Honorários R$5000,00 (Parceria com Dr Luciano R$2.500) - 5 parcelas para cada."/>
    <x v="2"/>
    <x v="2"/>
    <x v="182"/>
    <s v="LUZIA VIEIRA DE JESUS NASCIMENTO"/>
    <m/>
    <s v="aposentadoria"/>
    <s v="Nathalia Louiz"/>
    <n v="500"/>
    <s v="Entrada"/>
    <x v="1"/>
  </r>
  <r>
    <x v="173"/>
    <s v="Banco do Brasil - Sarah Alves Lisboa"/>
    <s v="Pagamento de comissões por Iniciais."/>
    <x v="28"/>
    <x v="7"/>
    <x v="235"/>
    <s v="Dra Raffaela Nunes"/>
    <m/>
    <m/>
    <s v="Nathalia Louiz"/>
    <n v="-600"/>
    <s v="Saída"/>
    <x v="0"/>
  </r>
  <r>
    <x v="173"/>
    <s v="Banco do Brasil - Sarah Alves Lisboa"/>
    <s v="Honorários R$5000,00 (Parceria com Dr Luciano R$2.500) - 5 parcelas para cada."/>
    <x v="2"/>
    <x v="2"/>
    <x v="182"/>
    <s v="LUZIA VIEIRA DE JESUS NASCIMENTO"/>
    <m/>
    <s v="aposentadoria"/>
    <s v="Nathalia Louiz"/>
    <n v="500"/>
    <s v="Entrada"/>
    <x v="1"/>
  </r>
  <r>
    <x v="173"/>
    <s v="Banco do Brasil - Sarah Alves Lisboa"/>
    <s v="PAGAMENTO DE HONORÁRIOS"/>
    <x v="2"/>
    <x v="2"/>
    <x v="96"/>
    <s v="VALDIR DE PAIVA BRASIL"/>
    <m/>
    <s v="PENSÃO POR MORTE"/>
    <s v="Nathalia Louiz"/>
    <n v="300"/>
    <s v="Entrada"/>
    <x v="1"/>
  </r>
  <r>
    <x v="173"/>
    <s v="Itaú - Lisboa e Lisboa"/>
    <s v="IPTU - SALA B74"/>
    <x v="29"/>
    <x v="1"/>
    <x v="71"/>
    <s v="PREFEITURA MUNICIPAL DE GOIÂNIA"/>
    <m/>
    <m/>
    <s v="Nathalia Louiz"/>
    <n v="-125.57"/>
    <s v="Saída"/>
    <x v="0"/>
  </r>
  <r>
    <x v="173"/>
    <s v="Itaú - Lisboa e Lisboa"/>
    <s v="Simples Nacional"/>
    <x v="20"/>
    <x v="7"/>
    <x v="39"/>
    <s v="Simples Nacional"/>
    <m/>
    <m/>
    <s v="Thaynara Borges"/>
    <n v="-1414.05"/>
    <s v="Saída"/>
    <x v="0"/>
  </r>
  <r>
    <x v="174"/>
    <s v="Banco do Brasil - Sarah Alves Lisboa"/>
    <s v="PRECATÓRIO - 30%"/>
    <x v="2"/>
    <x v="2"/>
    <x v="218"/>
    <s v="HELIO CURADO FROES"/>
    <m/>
    <s v="APOSENTADORIA POR IDADE"/>
    <s v="Nathalia Louiz"/>
    <n v="53261.91"/>
    <s v="Entrada"/>
    <x v="1"/>
  </r>
  <r>
    <x v="174"/>
    <s v="Banco do Brasil - Sarah Alves Lisboa"/>
    <s v="PRECATÓRIO - 30% + ANUIDADE"/>
    <x v="2"/>
    <x v="2"/>
    <x v="236"/>
    <s v="CLEUSA ALVES RIBEIRO"/>
    <m/>
    <s v="APOSENTADORIA RURAL"/>
    <s v="Nathalia Louiz"/>
    <n v="39801.17"/>
    <s v="Entrada"/>
    <x v="1"/>
  </r>
  <r>
    <x v="174"/>
    <s v="Itaú - Lisboa e Lisboa"/>
    <s v="CUSTAS DE LOCOMOÇÃO"/>
    <x v="7"/>
    <x v="5"/>
    <x v="68"/>
    <s v="ESPÓLIO DE REGINALDO DE SOUZA LIRA"/>
    <m/>
    <s v="AÇÃO ACIDENTÁRIA (RESTABELECIMENTO DE AUXÍLIO-DOENÇA/CONCESSÃO DE AUXÍLIO-ACIDENTE/AP. POR INVALIDEZ"/>
    <s v="Nathalia Louiz"/>
    <n v="-575.55999999999995"/>
    <s v="Saída"/>
    <x v="0"/>
  </r>
  <r>
    <x v="174"/>
    <s v="Banco do Brasil - Sarah Alves Lisboa"/>
    <s v="Honorários 30%"/>
    <x v="2"/>
    <x v="2"/>
    <x v="216"/>
    <s v="MARIA APARECIDA SILVA ALVES/ IVANILTON ROCHA ALVES"/>
    <m/>
    <s v="APOSENTADORIA POR TEMPO DE CONTRIBUIÇAO / PORTADOR DE NESCESSIDADES ESPECIAIS"/>
    <s v="Nathalia Louiz"/>
    <n v="19391.810000000001"/>
    <s v="Entrada"/>
    <x v="1"/>
  </r>
  <r>
    <x v="175"/>
    <s v="Banco do Brasil - Sarah Alves Lisboa"/>
    <s v="Comissão Giuliano 23%"/>
    <x v="28"/>
    <x v="7"/>
    <x v="236"/>
    <s v="CLEUSA ALVES RIBEIRO"/>
    <m/>
    <s v="APOSENTADORIA RURAL"/>
    <s v="Nathalia Louiz"/>
    <n v="-9154.26"/>
    <s v="Saída"/>
    <x v="0"/>
  </r>
  <r>
    <x v="175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75"/>
    <s v="Banco do Brasil - Sarah Alves Lisboa"/>
    <s v="TAXA TED"/>
    <x v="4"/>
    <x v="3"/>
    <x v="22"/>
    <s v="BANCO DO BRASIL S/A"/>
    <m/>
    <m/>
    <s v="Nathalia Louiz"/>
    <n v="-12.7"/>
    <s v="Saída"/>
    <x v="0"/>
  </r>
  <r>
    <x v="175"/>
    <s v="Itaú - Lisboa e Lisboa"/>
    <s v="Prêmio São Paulo"/>
    <x v="27"/>
    <x v="4"/>
    <x v="237"/>
    <s v="INQS - Instituto Nacional da Qualidade Social"/>
    <m/>
    <m/>
    <s v="Nathalia Louiz"/>
    <n v="-925"/>
    <s v="Saída"/>
    <x v="0"/>
  </r>
  <r>
    <x v="176"/>
    <s v="Banco do Brasil - Sarah Alves Lisboa"/>
    <s v="LANCHES"/>
    <x v="11"/>
    <x v="1"/>
    <x v="134"/>
    <s v="SUPERMERCADO MOREIRA"/>
    <m/>
    <m/>
    <s v="Nathalia Louiz"/>
    <n v="-58.65"/>
    <s v="Saída"/>
    <x v="0"/>
  </r>
  <r>
    <x v="176"/>
    <s v="Banco do Brasil - Sarah Alves Lisboa"/>
    <s v="TAXA TES"/>
    <x v="4"/>
    <x v="3"/>
    <x v="22"/>
    <s v="BANCO DO BRASIL S/A"/>
    <m/>
    <m/>
    <s v="Nathalia Louiz"/>
    <n v="-12.7"/>
    <s v="Saída"/>
    <x v="0"/>
  </r>
  <r>
    <x v="177"/>
    <s v="Banco do Brasil - Sarah Alves Lisboa"/>
    <s v="Guia para certidão de militância"/>
    <x v="7"/>
    <x v="5"/>
    <x v="155"/>
    <s v="GILBERTO ORTIZ DA CRUZ"/>
    <m/>
    <s v="APOSENTADORIA POR TEMPO DE CONTRIBUIÇÃO"/>
    <s v="Thaynara Borges"/>
    <n v="-21.73"/>
    <s v="Saída"/>
    <x v="0"/>
  </r>
  <r>
    <x v="177"/>
    <s v="Banco do Brasil - Sarah Alves Lisboa"/>
    <s v="Guia para certidão de militância"/>
    <x v="7"/>
    <x v="5"/>
    <x v="238"/>
    <s v="TALYTA VASCONCELOS MELO"/>
    <m/>
    <s v="SALÁRIO MATERNIDADE"/>
    <s v="Thaynara Borges"/>
    <n v="-21.73"/>
    <s v="Saída"/>
    <x v="0"/>
  </r>
  <r>
    <x v="177"/>
    <s v="Banco do Brasil - Sarah Alves Lisboa"/>
    <s v="Compra"/>
    <x v="26"/>
    <x v="1"/>
    <x v="239"/>
    <s v="MARKETPLACE"/>
    <m/>
    <m/>
    <s v="Nathalia Louiz"/>
    <n v="-196.05"/>
    <s v="Saída"/>
    <x v="0"/>
  </r>
  <r>
    <x v="177"/>
    <s v="Itaú - Lisboa e Lisboa"/>
    <s v="Energia contrato 0067122663"/>
    <x v="21"/>
    <x v="1"/>
    <x v="91"/>
    <s v="EQUATORIAL GOIAS 0067122663"/>
    <m/>
    <m/>
    <s v="Thaynara Borges"/>
    <n v="-304.23"/>
    <s v="Saída"/>
    <x v="0"/>
  </r>
  <r>
    <x v="177"/>
    <s v="Banco do Brasil - Sarah Alves Lisboa"/>
    <s v="Guia para certidão de militância"/>
    <x v="7"/>
    <x v="5"/>
    <x v="157"/>
    <s v="SERGIO HENRIQUE  MOREIRA LOPES"/>
    <m/>
    <s v="BENEFÍCIO POR INCAPACIDADE"/>
    <s v="Thaynara Borges"/>
    <n v="-21.73"/>
    <s v="Saída"/>
    <x v="0"/>
  </r>
  <r>
    <x v="177"/>
    <s v="Banco do Brasil - Sarah Alves Lisboa"/>
    <s v="Cabine de computador "/>
    <x v="26"/>
    <x v="1"/>
    <x v="115"/>
    <s v="KABUM"/>
    <m/>
    <m/>
    <s v="Nathalia Louiz"/>
    <n v="-101.83"/>
    <s v="Saída"/>
    <x v="0"/>
  </r>
  <r>
    <x v="177"/>
    <s v="Banco do Brasil - Sarah Alves Lisboa"/>
    <s v="GUIA CERTIDÃO DE MILITÂNCIA"/>
    <x v="7"/>
    <x v="5"/>
    <x v="125"/>
    <s v="DARLENE CAIXETA DOS SANTOS"/>
    <m/>
    <s v="BENEFÍCIO POR INCAPACIDADE"/>
    <s v="Thaynara Borges"/>
    <n v="-21.73"/>
    <s v="Saída"/>
    <x v="0"/>
  </r>
  <r>
    <x v="177"/>
    <s v="Itaú - Lisboa e Lisboa"/>
    <s v="Energia contrato 0067122721"/>
    <x v="21"/>
    <x v="1"/>
    <x v="94"/>
    <s v="EQUATORIAL GOIAS 0067122721"/>
    <m/>
    <m/>
    <s v="Thaynara Borges"/>
    <n v="-378.59"/>
    <s v="Saída"/>
    <x v="0"/>
  </r>
  <r>
    <x v="177"/>
    <s v="Itaú - Lisboa e Lisboa"/>
    <s v="Honorário R$ 2.277,00 - Parceria com Dr Fernando  (50%)"/>
    <x v="2"/>
    <x v="2"/>
    <x v="179"/>
    <s v="JAIME RODRIGUES DE SOUZA"/>
    <m/>
    <s v="APOSENTADORIA POR TEMPO DE CONTRIBUIÇÃO COM IDADE MÍNIMA"/>
    <s v="Nathalia Louiz"/>
    <n v="756.15"/>
    <s v="Entrada"/>
    <x v="1"/>
  </r>
  <r>
    <x v="178"/>
    <s v="Itaú - Lisboa e Lisboa"/>
    <s v="Retirada"/>
    <x v="22"/>
    <x v="8"/>
    <x v="27"/>
    <s v="Thaynara Borges Pereira"/>
    <m/>
    <m/>
    <s v="Thaynara Borges"/>
    <n v="-5000"/>
    <s v="Saída"/>
    <x v="0"/>
  </r>
  <r>
    <x v="178"/>
    <s v="Itaú - Lisboa e Lisboa"/>
    <s v="Salário"/>
    <x v="15"/>
    <x v="6"/>
    <x v="166"/>
    <s v="MARIA EDUARDA DE SOUZA"/>
    <m/>
    <m/>
    <s v="Nathalia Louiz"/>
    <n v="-2339.41"/>
    <s v="Saída"/>
    <x v="0"/>
  </r>
  <r>
    <x v="178"/>
    <s v="Banco do Brasil - Sarah Alves Lisboa"/>
    <s v="Salário"/>
    <x v="15"/>
    <x v="6"/>
    <x v="32"/>
    <s v="Raffaela Nunes"/>
    <m/>
    <m/>
    <s v="Thaynara Borges"/>
    <n v="-3200"/>
    <s v="Saída"/>
    <x v="0"/>
  </r>
  <r>
    <x v="178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78"/>
    <s v="Banco do Brasil - Sarah Alves Lisboa"/>
    <s v="Diferença ref.: 50% dos honorários (Parceria Dr Ajnaldo)"/>
    <x v="2"/>
    <x v="2"/>
    <x v="104"/>
    <s v="LEILA DO CARMO GONÇALVES OLIVEIRA"/>
    <m/>
    <s v="APOSENTADORIA POR IDADE RURAL"/>
    <s v="Thaynara Borges"/>
    <n v="386.4"/>
    <s v="Entrada"/>
    <x v="2"/>
  </r>
  <r>
    <x v="178"/>
    <s v="Banco do Brasil - Sarah Alves Lisboa"/>
    <s v="CHOCOLATES PARA CLIENTES"/>
    <x v="16"/>
    <x v="4"/>
    <x v="90"/>
    <s v="[$empty$]"/>
    <m/>
    <m/>
    <s v="Nathalia Louiz"/>
    <n v="-39.200000000000003"/>
    <s v="Saída"/>
    <x v="0"/>
  </r>
  <r>
    <x v="178"/>
    <s v="Itaú - Lisboa e Lisboa"/>
    <s v="Retirada"/>
    <x v="22"/>
    <x v="8"/>
    <x v="7"/>
    <s v="Sarah Alves Lisboa"/>
    <m/>
    <m/>
    <s v="Thaynara Borges"/>
    <n v="-6148.98"/>
    <s v="Saída"/>
    <x v="0"/>
  </r>
  <r>
    <x v="178"/>
    <s v="Banco do Brasil - Sarah Alves Lisboa"/>
    <s v="Complemento salarial - Nina (Empréstimo)"/>
    <x v="15"/>
    <x v="6"/>
    <x v="72"/>
    <s v="EVANILZA ARAUJO MORAES"/>
    <m/>
    <m/>
    <s v="Nathalia Louiz"/>
    <n v="-150.74"/>
    <s v="Saída"/>
    <x v="0"/>
  </r>
  <r>
    <x v="178"/>
    <s v="Banco do Brasil - Sarah Alves Lisboa"/>
    <s v="Honorários 30%"/>
    <x v="2"/>
    <x v="2"/>
    <x v="240"/>
    <s v="TEREZINHA CUSTODIO DE OLIVEIRA"/>
    <m/>
    <s v="PENSÃO POR MORTE"/>
    <s v="Nathalia Louiz"/>
    <n v="4130"/>
    <s v="Entrada"/>
    <x v="1"/>
  </r>
  <r>
    <x v="178"/>
    <s v="Itaú - Lisboa e Lisboa"/>
    <s v="PRÓ-LABORE"/>
    <x v="23"/>
    <x v="8"/>
    <x v="7"/>
    <s v="Sarah Alves Lisboa"/>
    <m/>
    <m/>
    <s v="Thaynara Borges"/>
    <n v="-1351.02"/>
    <s v="Saída"/>
    <x v="0"/>
  </r>
  <r>
    <x v="178"/>
    <s v="Itaú - Lisboa e Lisboa"/>
    <s v="Salário"/>
    <x v="15"/>
    <x v="6"/>
    <x v="37"/>
    <s v="Nina Araujo"/>
    <m/>
    <m/>
    <s v="Thaynara Borges"/>
    <n v="-3231.22"/>
    <s v="Saída"/>
    <x v="0"/>
  </r>
  <r>
    <x v="179"/>
    <s v="Banco do Brasil - Sarah Alves Lisboa"/>
    <s v="Parte 2/2 dos honorários de Helio, Cleusa e Leanne"/>
    <x v="40"/>
    <x v="11"/>
    <x v="214"/>
    <s v="Banco do Brasil - Sarah Alves Lisboa"/>
    <m/>
    <m/>
    <s v="Thaynara Borges"/>
    <n v="-72459.87"/>
    <s v="Saída"/>
    <x v="0"/>
  </r>
  <r>
    <x v="179"/>
    <s v="Cartão de Crédito Dr Ivanildo"/>
    <s v="CANAÃ FRIOS"/>
    <x v="11"/>
    <x v="1"/>
    <x v="5"/>
    <s v="BANCO ITAU"/>
    <m/>
    <m/>
    <s v="Nathalia Louiz"/>
    <n v="-44.39"/>
    <s v="Saída"/>
    <x v="0"/>
  </r>
  <r>
    <x v="179"/>
    <s v="Cartão de Crédito Dra Sarah"/>
    <s v="Cartão de crédito Dra Sarah"/>
    <x v="6"/>
    <x v="1"/>
    <x v="5"/>
    <s v="BANCO ITAU"/>
    <m/>
    <m/>
    <s v="Nathalia Louiz"/>
    <n v="1346.56"/>
    <s v="Entrada"/>
    <x v="1"/>
  </r>
  <r>
    <x v="179"/>
    <s v="Banco do Brasil - Sarah Alves Lisboa"/>
    <s v="Salário"/>
    <x v="15"/>
    <x v="6"/>
    <x v="69"/>
    <s v="Nathalia Louiz Alves Vigilato"/>
    <m/>
    <m/>
    <s v="Nathalia Louiz"/>
    <n v="-1518"/>
    <s v="Saída"/>
    <x v="0"/>
  </r>
  <r>
    <x v="179"/>
    <s v="Itaú - Lisboa e Lisboa"/>
    <s v="Comissão Vanessa 70%"/>
    <x v="28"/>
    <x v="7"/>
    <x v="236"/>
    <s v="CLEUSA ALVES RIBEIRO"/>
    <m/>
    <s v="APOSENTADORIA RURAL"/>
    <s v="Nathalia Louiz"/>
    <n v="-21452.83"/>
    <s v="Saída"/>
    <x v="0"/>
  </r>
  <r>
    <x v="179"/>
    <s v="Banco do Brasil - Sarah Alves Lisboa"/>
    <s v="3 Iniciais"/>
    <x v="42"/>
    <x v="6"/>
    <x v="235"/>
    <s v="Dra Raffaela Nunes"/>
    <m/>
    <m/>
    <s v="Nathalia Louiz"/>
    <n v="-700"/>
    <s v="Saída"/>
    <x v="0"/>
  </r>
  <r>
    <x v="179"/>
    <s v="Itaú - Lisboa e Lisboa"/>
    <s v="Assessoria Contábil"/>
    <x v="1"/>
    <x v="1"/>
    <x v="1"/>
    <s v="CARLOS ALBERTO GRACIANO RODRIGUES"/>
    <m/>
    <m/>
    <s v="Thaynara Borges"/>
    <n v="-1518"/>
    <s v="Saída"/>
    <x v="0"/>
  </r>
  <r>
    <x v="179"/>
    <s v="Cartão de Crédito Dr Ivanildo"/>
    <s v="Pagamento Cartão de Crédito Dr Ivanildo"/>
    <x v="6"/>
    <x v="1"/>
    <x v="5"/>
    <s v="BANCO ITAU"/>
    <m/>
    <m/>
    <s v="Thaynara Borges"/>
    <n v="1641.71"/>
    <s v="Entrada"/>
    <x v="1"/>
  </r>
  <r>
    <x v="179"/>
    <s v="Cartão de Crédito Dr Ivanildo"/>
    <s v="ROSEANE REIS"/>
    <x v="11"/>
    <x v="1"/>
    <x v="5"/>
    <s v="BANCO ITAU"/>
    <m/>
    <m/>
    <s v="Nathalia Louiz"/>
    <n v="-12.5"/>
    <s v="Saída"/>
    <x v="0"/>
  </r>
  <r>
    <x v="179"/>
    <s v="Cartão de Crédito Dr Ivanildo"/>
    <s v="DIGISEC"/>
    <x v="14"/>
    <x v="1"/>
    <x v="5"/>
    <s v="BANCO ITAU"/>
    <m/>
    <m/>
    <s v="Nathalia Louiz"/>
    <n v="-158"/>
    <s v="Saída"/>
    <x v="0"/>
  </r>
  <r>
    <x v="179"/>
    <s v="Cartão de Crédito Dr Ivanildo"/>
    <s v="Jusbrasil"/>
    <x v="12"/>
    <x v="1"/>
    <x v="5"/>
    <s v="BANCO ITAU"/>
    <m/>
    <m/>
    <s v="Thaynara Borges"/>
    <n v="-58.9"/>
    <s v="Saída"/>
    <x v="0"/>
  </r>
  <r>
    <x v="179"/>
    <s v="Banco do Brasil - Sarah Alves Lisboa"/>
    <s v="Parte 1/2 dos honorários de Helio, Cleusa e Leanne"/>
    <x v="40"/>
    <x v="11"/>
    <x v="214"/>
    <s v="Banco do Brasil - Sarah Alves Lisboa"/>
    <m/>
    <m/>
    <s v="Thaynara Borges"/>
    <n v="-50000"/>
    <s v="Saída"/>
    <x v="0"/>
  </r>
  <r>
    <x v="179"/>
    <s v="Itaú - Lisboa e Lisboa"/>
    <s v="Parte 2/2 dos honorários de Helio, Cleusa e Leanne"/>
    <x v="40"/>
    <x v="11"/>
    <x v="213"/>
    <s v="Itaú - Lisboa e Lisboa"/>
    <m/>
    <m/>
    <s v="Thaynara Borges"/>
    <n v="72459.87"/>
    <s v="Entrada"/>
    <x v="1"/>
  </r>
  <r>
    <x v="179"/>
    <s v="Cartão de Crédito Dra Sarah"/>
    <s v="TERMO SUL"/>
    <x v="14"/>
    <x v="1"/>
    <x v="5"/>
    <s v="BANCO ITAU"/>
    <m/>
    <m/>
    <s v="Nathalia Louiz"/>
    <n v="-394"/>
    <s v="Saída"/>
    <x v="0"/>
  </r>
  <r>
    <x v="179"/>
    <s v="Cartão de Crédito Dr Ivanildo"/>
    <s v="Google One"/>
    <x v="12"/>
    <x v="1"/>
    <x v="5"/>
    <s v="BANCO ITAU"/>
    <m/>
    <m/>
    <s v="Thaynara Borges"/>
    <n v="-49.99"/>
    <s v="Saída"/>
    <x v="0"/>
  </r>
  <r>
    <x v="179"/>
    <s v="Cartão de Crédito Dr Ivanildo"/>
    <s v="SUPER MOREIRA"/>
    <x v="11"/>
    <x v="1"/>
    <x v="5"/>
    <s v="BANCO ITAU"/>
    <m/>
    <m/>
    <s v="Nathalia Louiz"/>
    <n v="-54.43"/>
    <s v="Saída"/>
    <x v="0"/>
  </r>
  <r>
    <x v="179"/>
    <s v="Cartão de Crédito Dr Ivanildo"/>
    <s v="ASA CURSOS"/>
    <x v="32"/>
    <x v="6"/>
    <x v="5"/>
    <s v="BANCO ITAU"/>
    <m/>
    <m/>
    <s v="Nathalia Louiz"/>
    <n v="-59.9"/>
    <s v="Saída"/>
    <x v="0"/>
  </r>
  <r>
    <x v="179"/>
    <s v="Cartão de Crédito Dr Ivanildo"/>
    <s v="Previdenciarista"/>
    <x v="12"/>
    <x v="1"/>
    <x v="5"/>
    <s v="BANCO ITAU"/>
    <m/>
    <m/>
    <s v="Thaynara Borges"/>
    <n v="-119.9"/>
    <s v="Saída"/>
    <x v="0"/>
  </r>
  <r>
    <x v="179"/>
    <s v="Cartão de Crédito Dra Sarah"/>
    <s v="EMPORIO DOLCCI"/>
    <x v="11"/>
    <x v="1"/>
    <x v="5"/>
    <s v="BANCO ITAU"/>
    <m/>
    <m/>
    <s v="Nathalia Louiz"/>
    <n v="-77.7"/>
    <s v="Saída"/>
    <x v="0"/>
  </r>
  <r>
    <x v="179"/>
    <s v="Cartão de Crédito Dr Ivanildo"/>
    <s v="Prévius"/>
    <x v="12"/>
    <x v="1"/>
    <x v="5"/>
    <s v="BANCO ITAU"/>
    <m/>
    <m/>
    <s v="Thaynara Borges"/>
    <n v="-80.91"/>
    <s v="Saída"/>
    <x v="0"/>
  </r>
  <r>
    <x v="179"/>
    <s v="Banco do Brasil - Sarah Alves Lisboa"/>
    <s v="TAXA TED"/>
    <x v="4"/>
    <x v="3"/>
    <x v="22"/>
    <s v="BANCO DO BRASIL S/A"/>
    <m/>
    <m/>
    <s v="Nathalia Louiz"/>
    <n v="-12.7"/>
    <s v="Saída"/>
    <x v="0"/>
  </r>
  <r>
    <x v="179"/>
    <s v="Banco do Brasil - Sarah Alves Lisboa"/>
    <s v="PAGAMENTO DE HONORÁRIOS - ACORDO APÓS EXECUÇÃO DO CONTRATO"/>
    <x v="2"/>
    <x v="2"/>
    <x v="53"/>
    <s v="MARCOS ANTONIO LOURENÇO DE TOLEDO"/>
    <m/>
    <s v="AUXILIO DOENÇA"/>
    <s v="Nathalia Louiz"/>
    <n v="500"/>
    <s v="Entrada"/>
    <x v="1"/>
  </r>
  <r>
    <x v="179"/>
    <s v="Cartão de Crédito Dra Sarah"/>
    <s v="CONSULTORIA ESTRATEGIA"/>
    <x v="34"/>
    <x v="1"/>
    <x v="5"/>
    <s v="BANCO ITAU"/>
    <m/>
    <m/>
    <s v="Nathalia Louiz"/>
    <n v="-299.17"/>
    <s v="Saída"/>
    <x v="0"/>
  </r>
  <r>
    <x v="179"/>
    <s v="Cartão de Crédito Dr Ivanildo"/>
    <s v="Google One"/>
    <x v="12"/>
    <x v="1"/>
    <x v="5"/>
    <s v="BANCO ITAU"/>
    <m/>
    <m/>
    <s v="Thaynara Borges"/>
    <n v="-14.99"/>
    <s v="Saída"/>
    <x v="0"/>
  </r>
  <r>
    <x v="179"/>
    <s v="Banco do Brasil - Sarah Alves Lisboa"/>
    <s v="Parcelamento 3 BENEFICIOS"/>
    <x v="2"/>
    <x v="2"/>
    <x v="181"/>
    <s v="MATHEUS HENRIQUE DE CARVALHO MIRANDA"/>
    <m/>
    <s v="PENSÃO POR MORTE - RETROAÇÃO DA DIP"/>
    <s v="Nathalia Louiz"/>
    <n v="563.5"/>
    <s v="Entrada"/>
    <x v="1"/>
  </r>
  <r>
    <x v="179"/>
    <s v="Cartão de Crédito Dr Ivanildo"/>
    <s v="RICHESSE"/>
    <x v="11"/>
    <x v="1"/>
    <x v="5"/>
    <s v="BANCO ITAU"/>
    <m/>
    <m/>
    <s v="Nathalia Louiz"/>
    <n v="-216.22"/>
    <s v="Saída"/>
    <x v="0"/>
  </r>
  <r>
    <x v="179"/>
    <s v="Cartão de Crédito Dr Ivanildo"/>
    <s v="Computador Dell"/>
    <x v="25"/>
    <x v="0"/>
    <x v="5"/>
    <s v="BANCO ITAU"/>
    <s v=""/>
    <m/>
    <s v="Nathalia Louiz"/>
    <n v="-333.24"/>
    <s v="Saída"/>
    <x v="0"/>
  </r>
  <r>
    <x v="179"/>
    <s v="Banco do Brasil - Sarah Alves Lisboa"/>
    <s v="3 BENEFICIOS - PARCIAL (RESTANTE EM 3X de 759,00)"/>
    <x v="2"/>
    <x v="2"/>
    <x v="190"/>
    <s v="GENI MOURA NEVES"/>
    <m/>
    <s v="APOSENTADORIA POR IDADE URBANA"/>
    <s v="Nathalia Louiz"/>
    <n v="759"/>
    <s v="Entrada"/>
    <x v="1"/>
  </r>
  <r>
    <x v="179"/>
    <s v="Cartão de Crédito Dra Sarah"/>
    <s v="TERMO SUL ENGENHARIA"/>
    <x v="26"/>
    <x v="1"/>
    <x v="5"/>
    <s v="BANCO ITAU"/>
    <m/>
    <m/>
    <s v="Nathalia Louiz"/>
    <n v="-300"/>
    <s v="Saída"/>
    <x v="0"/>
  </r>
  <r>
    <x v="179"/>
    <s v="Cartão de Crédito Dr Ivanildo"/>
    <s v="Jusbrasil"/>
    <x v="12"/>
    <x v="1"/>
    <x v="5"/>
    <s v="BANCO ITAU"/>
    <m/>
    <m/>
    <s v="Thaynara Borges"/>
    <n v="-58.9"/>
    <s v="Saída"/>
    <x v="0"/>
  </r>
  <r>
    <x v="179"/>
    <s v="Itaú - Lisboa e Lisboa"/>
    <s v="Parte 1/2 dos honorários de Helio, Cleusa e Leanne"/>
    <x v="40"/>
    <x v="11"/>
    <x v="213"/>
    <s v="Itaú - Lisboa e Lisboa"/>
    <m/>
    <m/>
    <s v="Thaynara Borges"/>
    <n v="50000"/>
    <s v="Entrada"/>
    <x v="1"/>
  </r>
  <r>
    <x v="179"/>
    <s v="Cartão de Crédito Dra Sarah"/>
    <s v="COMPRA MERCADO LIVRE"/>
    <x v="6"/>
    <x v="1"/>
    <x v="5"/>
    <s v="BANCO ITAU"/>
    <m/>
    <m/>
    <s v="Nathalia Louiz"/>
    <n v="-224.99"/>
    <s v="Saída"/>
    <x v="0"/>
  </r>
  <r>
    <x v="179"/>
    <s v="Cartão de Crédito Dr Ivanildo"/>
    <s v="ZapSign programa de assinatura eletronica"/>
    <x v="12"/>
    <x v="1"/>
    <x v="5"/>
    <s v="BANCO ITAU"/>
    <m/>
    <m/>
    <s v="Thaynara Borges"/>
    <n v="-19.899999999999999"/>
    <s v="Saída"/>
    <x v="0"/>
  </r>
  <r>
    <x v="179"/>
    <s v="Cartão de Crédito Dra Sarah"/>
    <s v="PANIFICADORA"/>
    <x v="11"/>
    <x v="1"/>
    <x v="5"/>
    <s v="BANCO ITAU"/>
    <m/>
    <m/>
    <s v="Nathalia Louiz"/>
    <n v="-50.7"/>
    <s v="Saída"/>
    <x v="0"/>
  </r>
  <r>
    <x v="179"/>
    <s v="Cartão de Crédito Dr Ivanildo"/>
    <s v="SUPERMOREIRA"/>
    <x v="11"/>
    <x v="1"/>
    <x v="5"/>
    <s v="BANCO ITAU"/>
    <m/>
    <m/>
    <s v="Nathalia Louiz"/>
    <n v="-34.79"/>
    <s v="Saída"/>
    <x v="0"/>
  </r>
  <r>
    <x v="179"/>
    <s v="Cartão de Crédito Dr Ivanildo"/>
    <s v="SUPER UNIÃO"/>
    <x v="11"/>
    <x v="1"/>
    <x v="5"/>
    <s v="BANCO ITAU"/>
    <m/>
    <m/>
    <s v="Nathalia Louiz"/>
    <n v="-324.75"/>
    <s v="Saída"/>
    <x v="0"/>
  </r>
  <r>
    <x v="179"/>
    <s v="Itaú - Lisboa e Lisboa"/>
    <s v="Comissão Vanessa 70%"/>
    <x v="28"/>
    <x v="7"/>
    <x v="218"/>
    <s v="HELIO CURADO FROES"/>
    <m/>
    <s v="APOSENTADORIA POR IDADE"/>
    <s v="Nathalia Louiz"/>
    <n v="-37283.33"/>
    <s v="Saída"/>
    <x v="0"/>
  </r>
  <r>
    <x v="179"/>
    <s v="Itaú - Lisboa e Lisboa"/>
    <s v="Consultoria Financeira"/>
    <x v="0"/>
    <x v="0"/>
    <x v="0"/>
    <s v="PROGRESSE CONSULTORIA EMPRESARIAL"/>
    <m/>
    <m/>
    <s v="Thaynara Borges"/>
    <n v="-1750"/>
    <s v="Saída"/>
    <x v="0"/>
  </r>
  <r>
    <x v="179"/>
    <s v="Itaú - Lisboa e Lisboa"/>
    <s v="Comissão Vanessa 70%"/>
    <x v="28"/>
    <x v="7"/>
    <x v="216"/>
    <s v="MARIA APARECIDA SILVA ALVES/ IVANILTON ROCHA ALVES"/>
    <m/>
    <s v="APOSENTADORIA POR TEMPO DE CONTRIBUIÇAO / PORTADOR DE NESCESSIDADES ESPECIAIS"/>
    <s v="Nathalia Louiz"/>
    <n v="-13574.26"/>
    <s v="Saída"/>
    <x v="0"/>
  </r>
  <r>
    <x v="179"/>
    <s v="Banco do Brasil - Sarah Alves Lisboa"/>
    <s v="Acordo com Dr Silvio"/>
    <x v="2"/>
    <x v="2"/>
    <x v="130"/>
    <s v="LUENE DE OLIVEIRA GOMES"/>
    <m/>
    <s v="PROCESSO CRIMINAL"/>
    <s v="Nathalia Louiz"/>
    <n v="390"/>
    <s v="Entrada"/>
    <x v="1"/>
  </r>
  <r>
    <x v="180"/>
    <s v="Banco do Brasil - Sarah Alves Lisboa"/>
    <s v="30% Sob Implantação"/>
    <x v="2"/>
    <x v="2"/>
    <x v="241"/>
    <s v="ERINALVA DOS SANTOS ALMEIDA"/>
    <m/>
    <s v="BENEFÍCIO POR INCAPACIDADE"/>
    <s v="Nathalia Louiz"/>
    <n v="1595.1"/>
    <s v="Entrada"/>
    <x v="1"/>
  </r>
  <r>
    <x v="180"/>
    <s v="Banco do Brasil - Sarah Alves Lisboa"/>
    <s v="Anuidade 13x de 550"/>
    <x v="2"/>
    <x v="2"/>
    <x v="183"/>
    <s v="SEBASTIAO RIBEIRO NETO"/>
    <m/>
    <s v="APOSENTADORIA POR TEMPO DE CONTRIBUIÇAO DA PESSOA COM DEFICIENCIA"/>
    <s v="Nathalia Louiz"/>
    <n v="550"/>
    <s v="Entrada"/>
    <x v="1"/>
  </r>
  <r>
    <x v="180"/>
    <s v="Banco do Brasil - Sarah Alves Lisboa"/>
    <s v="40% Sob Implantação"/>
    <x v="2"/>
    <x v="2"/>
    <x v="41"/>
    <s v="LUZIMEIRE MARTINS COSTA ALVES"/>
    <m/>
    <s v="BENEFÍCIO POR  INCAPACIDADE"/>
    <s v="Nathalia Louiz"/>
    <n v="2021.2"/>
    <s v="Entrada"/>
    <x v="1"/>
  </r>
  <r>
    <x v="180"/>
    <s v="Itaú - Lisboa e Lisboa"/>
    <s v="Salário Marketing"/>
    <x v="15"/>
    <x v="6"/>
    <x v="242"/>
    <s v="ANNA CLARA JARDIM"/>
    <m/>
    <m/>
    <s v="Nathalia Louiz"/>
    <n v="-1300"/>
    <s v="Saída"/>
    <x v="0"/>
  </r>
  <r>
    <x v="180"/>
    <s v="Banco do Brasil - Sarah Alves Lisboa"/>
    <s v="LANCHES ESCRITÓRIO"/>
    <x v="11"/>
    <x v="1"/>
    <x v="134"/>
    <s v="SUPERMERCADO MOREIRA"/>
    <m/>
    <m/>
    <s v="Nathalia Louiz"/>
    <n v="-23.7"/>
    <s v="Saída"/>
    <x v="0"/>
  </r>
  <r>
    <x v="180"/>
    <s v="Itaú - Lisboa e Lisboa"/>
    <s v="Anuidade R$ 8.967,07 (2.000 + 12x R$580,59)"/>
    <x v="2"/>
    <x v="2"/>
    <x v="188"/>
    <s v="ISAEL MARCULINO DOS SANTOS"/>
    <m/>
    <s v="APOSENTADORIA POR TEMPO DE CONTRIBUIÇAO/ PORTADOR DE NECESSIDADES ESPECIAIS"/>
    <s v="Nathalia Louiz"/>
    <n v="577.74"/>
    <s v="Entrada"/>
    <x v="1"/>
  </r>
  <r>
    <x v="180"/>
    <s v="Itaú - Lisboa e Lisboa"/>
    <s v="Video Avulso Marketing"/>
    <x v="42"/>
    <x v="6"/>
    <x v="242"/>
    <s v="ANNA CLARA JARDIM"/>
    <m/>
    <m/>
    <s v="Nathalia Louiz"/>
    <n v="-60"/>
    <s v="Saída"/>
    <x v="0"/>
  </r>
  <r>
    <x v="181"/>
    <s v="Banco do Brasil - Sarah Alves Lisboa"/>
    <s v="30% Sob implantação"/>
    <x v="2"/>
    <x v="2"/>
    <x v="243"/>
    <s v="GENILDO JANUARIO LEITE"/>
    <m/>
    <s v="BENEFICIO POR INCAPACIDADE"/>
    <s v="Nathalia Louiz"/>
    <n v="2361"/>
    <s v="Entrada"/>
    <x v="1"/>
  </r>
  <r>
    <x v="181"/>
    <s v="Itaú - Lisboa e Lisboa"/>
    <s v="Defesa administrativa e honorários - R$ 2.000,00 (Entrada de R$1.000,00 + 1x R$1.000,00)"/>
    <x v="2"/>
    <x v="2"/>
    <x v="222"/>
    <s v="LUIZ CARLOS FERREIRA DE MELO"/>
    <m/>
    <s v="DEFESA ADMINISTRATIVA"/>
    <s v="Nathalia Louiz"/>
    <n v="997.15"/>
    <s v="Entrada"/>
    <x v="1"/>
  </r>
  <r>
    <x v="182"/>
    <s v="Itaú - Lisboa e Lisboa"/>
    <s v="3 SALÁRIOS DE BENEFICIO (Entrada de 1000,00 + 6x de 492,33 no boleto)"/>
    <x v="2"/>
    <x v="2"/>
    <x v="117"/>
    <s v="Maura Cardoso Borges"/>
    <m/>
    <s v="APOSENTADORIA POR IDADE"/>
    <s v="Nathalia Louiz"/>
    <n v="489.47999999999996"/>
    <s v="Entrada"/>
    <x v="1"/>
  </r>
  <r>
    <x v="182"/>
    <s v="Banco do Brasil - Sarah Alves Lisboa"/>
    <s v="30% SOB Implantação"/>
    <x v="2"/>
    <x v="2"/>
    <x v="244"/>
    <s v="GIRLENE FERREIRA DA MATA"/>
    <m/>
    <s v="PENSÃO POR MORTE"/>
    <s v="Nathalia Louiz"/>
    <n v="1122.5999999999999"/>
    <s v="Entrada"/>
    <x v="1"/>
  </r>
  <r>
    <x v="183"/>
    <s v="Itaú - Lisboa e Lisboa"/>
    <s v="Taxa de Condomínio Sala B-73"/>
    <x v="10"/>
    <x v="1"/>
    <x v="16"/>
    <s v="ATON BUSINESS STYLE"/>
    <m/>
    <m/>
    <s v="Thaynara Borges"/>
    <n v="-1254.69"/>
    <s v="Saída"/>
    <x v="0"/>
  </r>
  <r>
    <x v="183"/>
    <s v="Itaú - Lisboa e Lisboa"/>
    <s v="Serviços de TI"/>
    <x v="3"/>
    <x v="1"/>
    <x v="4"/>
    <s v="Rhuan Carlos Batista"/>
    <m/>
    <m/>
    <s v="Nathalia Louiz"/>
    <n v="-240"/>
    <s v="Saída"/>
    <x v="0"/>
  </r>
  <r>
    <x v="183"/>
    <s v="Itaú - Lisboa e Lisboa"/>
    <s v="Taxa de Condomínio Vaga Garagem A-83"/>
    <x v="10"/>
    <x v="1"/>
    <x v="16"/>
    <s v="ATON BUSINESS STYLE"/>
    <m/>
    <m/>
    <s v="Thaynara Borges"/>
    <n v="-62.11"/>
    <s v="Saída"/>
    <x v="0"/>
  </r>
  <r>
    <x v="183"/>
    <s v="Itaú - Lisboa e Lisboa"/>
    <s v="Taxa de Condomínio Vaga Garagem A-78"/>
    <x v="10"/>
    <x v="1"/>
    <x v="16"/>
    <s v="ATON BUSINESS STYLE"/>
    <m/>
    <m/>
    <s v="Thaynara Borges"/>
    <n v="-62.11"/>
    <s v="Saída"/>
    <x v="0"/>
  </r>
  <r>
    <x v="183"/>
    <s v="Itaú - Lisboa e Lisboa"/>
    <s v="Taxa de Condomínio Vaga Garagem A-81"/>
    <x v="10"/>
    <x v="1"/>
    <x v="16"/>
    <s v="ATON BUSINESS STYLE"/>
    <m/>
    <m/>
    <s v="Thaynara Borges"/>
    <n v="-62.11"/>
    <s v="Saída"/>
    <x v="0"/>
  </r>
  <r>
    <x v="183"/>
    <s v="Banco do Brasil - Sarah Alves Lisboa"/>
    <s v="30% Implantação"/>
    <x v="2"/>
    <x v="2"/>
    <x v="245"/>
    <s v="AGDA SODRE DA SILVA SOUZA"/>
    <m/>
    <s v="BENEFÍCIO POR INCAPACIDADE"/>
    <s v="Nathalia Louiz"/>
    <n v="2816.4"/>
    <s v="Entrada"/>
    <x v="1"/>
  </r>
  <r>
    <x v="183"/>
    <s v="Itaú - Lisboa e Lisboa"/>
    <s v="Taxa de Condomínio Sala B-74"/>
    <x v="10"/>
    <x v="1"/>
    <x v="16"/>
    <s v="ATON BUSINESS STYLE"/>
    <m/>
    <m/>
    <s v="Thaynara Borges"/>
    <n v="-1254.08"/>
    <s v="Saída"/>
    <x v="0"/>
  </r>
  <r>
    <x v="183"/>
    <s v="Itaú - Lisboa e Lisboa"/>
    <s v="Pagamento Cartão de Crédito Dr Ivanildo"/>
    <x v="6"/>
    <x v="1"/>
    <x v="5"/>
    <s v="BANCO ITAU"/>
    <m/>
    <m/>
    <s v="Nathalia Louiz"/>
    <n v="-1641.71"/>
    <s v="Saída"/>
    <x v="0"/>
  </r>
  <r>
    <x v="183"/>
    <s v="Banco do Brasil - Sarah Alves Lisboa"/>
    <s v="3 BENEFICIOS"/>
    <x v="2"/>
    <x v="2"/>
    <x v="157"/>
    <s v="SERGIO HENRIQUE  MOREIRA LOPES"/>
    <m/>
    <s v="BENEFÍCIO POR INCAPACIDADE"/>
    <s v="Nathalia Louiz"/>
    <n v="1008"/>
    <s v="Entrada"/>
    <x v="1"/>
  </r>
  <r>
    <x v="183"/>
    <s v="Itaú - Lisboa e Lisboa"/>
    <s v="Taxa de Condomínio Vaga Garagem A-82"/>
    <x v="10"/>
    <x v="1"/>
    <x v="16"/>
    <s v="ATON BUSINESS STYLE"/>
    <m/>
    <m/>
    <s v="Thaynara Borges"/>
    <n v="-62.11"/>
    <s v="Saída"/>
    <x v="0"/>
  </r>
  <r>
    <x v="183"/>
    <s v="Banco do Brasil - Sarah Alves Lisboa"/>
    <s v="30% Sob  recebidos"/>
    <x v="2"/>
    <x v="2"/>
    <x v="246"/>
    <s v="Juarez Fernandes Da Silva"/>
    <m/>
    <s v="Juarez Fernandes Da Silva x Banco Inbursa S.a."/>
    <s v="Nathalia Louiz"/>
    <n v="2512.9899999999998"/>
    <s v="Entrada"/>
    <x v="1"/>
  </r>
  <r>
    <x v="183"/>
    <s v="Banco do Brasil - Sarah Alves Lisboa"/>
    <s v="Pagamentos - 2 inicias extras (Revisão de RMI - Cairo Osmundo - Revisão de RMI - Jario Alves Duarte)"/>
    <x v="42"/>
    <x v="6"/>
    <x v="235"/>
    <s v="Dra Raffaela Nunes"/>
    <m/>
    <m/>
    <s v="Nathalia Louiz"/>
    <n v="-400"/>
    <s v="Saída"/>
    <x v="0"/>
  </r>
  <r>
    <x v="183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83"/>
    <s v="Itaú - Lisboa e Lisboa"/>
    <s v="Taxa de Condomínio Vaga Garagem A-88"/>
    <x v="10"/>
    <x v="1"/>
    <x v="16"/>
    <s v="ATON BUSINESS STYLE"/>
    <m/>
    <m/>
    <s v="Thaynara Borges"/>
    <n v="-62.11"/>
    <s v="Saída"/>
    <x v="0"/>
  </r>
  <r>
    <x v="184"/>
    <s v="Itaú - Lisboa e Lisboa"/>
    <s v="CONTRATO 9309114969"/>
    <x v="8"/>
    <x v="1"/>
    <x v="98"/>
    <s v="VIVO FIXO"/>
    <m/>
    <m/>
    <s v="Thaynara Borges"/>
    <n v="-88.94"/>
    <s v="Saída"/>
    <x v="0"/>
  </r>
  <r>
    <x v="184"/>
    <s v="Banco do Brasil - Sarah Alves Lisboa"/>
    <s v="Celular"/>
    <x v="8"/>
    <x v="1"/>
    <x v="14"/>
    <s v="VIVO"/>
    <m/>
    <m/>
    <s v="Thaynara Borges"/>
    <n v="-137.37"/>
    <s v="Saída"/>
    <x v="0"/>
  </r>
  <r>
    <x v="184"/>
    <s v="Itaú - Lisboa e Lisboa"/>
    <s v="Honorário de SCB"/>
    <x v="2"/>
    <x v="2"/>
    <x v="68"/>
    <s v="ESPÓLIO DE REGINALDO DE SOUZA LIRA"/>
    <m/>
    <s v="AÇÃO ACIDENTÁRIA (RESTABELECIMENTO DE AUXÍLIO-DOENÇA/CONCESSÃO DE AUXÍLIO-ACIDENTE/AP. POR INVALIDEZ"/>
    <s v="Nathalia Louiz"/>
    <n v="5455.92"/>
    <s v="Entrada"/>
    <x v="1"/>
  </r>
  <r>
    <x v="184"/>
    <s v="Itaú - Lisboa e Lisboa"/>
    <s v="CONTRATO 9621661899"/>
    <x v="8"/>
    <x v="1"/>
    <x v="98"/>
    <s v="VIVO FIXO"/>
    <m/>
    <m/>
    <s v="Thaynara Borges"/>
    <n v="-260.58"/>
    <s v="Saída"/>
    <x v="0"/>
  </r>
  <r>
    <x v="184"/>
    <s v="Itaú - Lisboa e Lisboa"/>
    <s v="Honorário contratual Espólio"/>
    <x v="2"/>
    <x v="2"/>
    <x v="68"/>
    <s v="ESPÓLIO DE REGINALDO DE SOUZA LIRA"/>
    <m/>
    <s v="AÇÃO ACIDENTÁRIA (RESTABELECIMENTO DE AUXÍLIO-DOENÇA/CONCESSÃO DE AUXÍLIO-ACIDENTE/AP. POR INVALIDEZ"/>
    <s v="Nathalia Louiz"/>
    <n v="20114.2"/>
    <s v="Entrada"/>
    <x v="1"/>
  </r>
  <r>
    <x v="185"/>
    <s v="Itaú - Lisboa e Lisboa"/>
    <s v="Pagamento Cartão de Crédito Dra Sarah"/>
    <x v="6"/>
    <x v="1"/>
    <x v="5"/>
    <s v="BANCO ITAU"/>
    <m/>
    <m/>
    <s v="Nathalia Louiz"/>
    <n v="-1346.56"/>
    <s v="Saída"/>
    <x v="0"/>
  </r>
  <r>
    <x v="186"/>
    <s v="Itaú - Lisboa e Lisboa"/>
    <s v="PAGAMENTO DE HONORÁRIOS"/>
    <x v="2"/>
    <x v="2"/>
    <x v="96"/>
    <s v="VALDIR DE PAIVA BRASIL"/>
    <m/>
    <s v="PENSÃO POR MORTE"/>
    <s v="Nathalia Louiz"/>
    <n v="300"/>
    <s v="Entrada"/>
    <x v="2"/>
  </r>
  <r>
    <x v="186"/>
    <s v="Itaú - Lisboa e Lisboa"/>
    <s v="IEL Estagiárias"/>
    <x v="13"/>
    <x v="6"/>
    <x v="21"/>
    <s v="IEL"/>
    <m/>
    <m/>
    <s v="Thaynara Borges"/>
    <n v="-106.73"/>
    <s v="Saída"/>
    <x v="0"/>
  </r>
  <r>
    <x v="186"/>
    <s v="Banco do Brasil - Sarah Alves Lisboa"/>
    <s v="Honorários (3x1500,00) 50% DR GUSTAVO"/>
    <x v="2"/>
    <x v="2"/>
    <x v="247"/>
    <s v="ELISEU FRADIQUE MARÇAL"/>
    <m/>
    <s v="RECISÃO DE CONTRATO"/>
    <s v="Nathalia Louiz"/>
    <n v="1500"/>
    <s v="Entrada"/>
    <x v="1"/>
  </r>
  <r>
    <x v="186"/>
    <s v="Banco do Brasil - Sarah Alves Lisboa"/>
    <s v="Tarifa Bancária"/>
    <x v="4"/>
    <x v="3"/>
    <x v="22"/>
    <s v="BANCO DO BRASIL S/A"/>
    <m/>
    <m/>
    <s v="Thaynara Borges"/>
    <n v="-15.9"/>
    <s v="Saída"/>
    <x v="0"/>
  </r>
  <r>
    <x v="187"/>
    <s v="Itaú - Lisboa e Lisboa"/>
    <s v="40% Sob precatório"/>
    <x v="2"/>
    <x v="2"/>
    <x v="219"/>
    <s v="ROGERIO JOSE DA SILVEIRA"/>
    <m/>
    <s v="APOSENTADORIA ESPECIAL/ ELETRICISTA"/>
    <s v="Nathalia Louiz"/>
    <n v="120222.73"/>
    <s v="Entrada"/>
    <x v="1"/>
  </r>
  <r>
    <x v="187"/>
    <s v="Banco do Brasil - Sarah Alves Lisboa"/>
    <s v="ANUIDADE (3 BENEFICIOS)"/>
    <x v="2"/>
    <x v="2"/>
    <x v="125"/>
    <s v="DARLENE CAIXETA DOS SANTOS"/>
    <m/>
    <s v="BENEFÍCIO POR INCAPACIDADE"/>
    <s v="Nathalia Louiz"/>
    <n v="455.4"/>
    <s v="Entrada"/>
    <x v="1"/>
  </r>
  <r>
    <x v="187"/>
    <s v="Banco do Brasil - Sarah Alves Lisboa"/>
    <s v="Instalação de defletor - Escritório"/>
    <x v="14"/>
    <x v="1"/>
    <x v="248"/>
    <s v="LOURIVALDO SANTOS DE SOUZA"/>
    <m/>
    <m/>
    <s v="Nathalia Louiz"/>
    <n v="-30"/>
    <s v="Saída"/>
    <x v="0"/>
  </r>
  <r>
    <x v="187"/>
    <s v="Itaú - Lisboa e Lisboa"/>
    <s v="30% SOB PRECATÓRIO"/>
    <x v="2"/>
    <x v="2"/>
    <x v="220"/>
    <s v="JOSE RENATO MARTINS"/>
    <m/>
    <s v="APOSENTADORIA POR TEMPO DE CONTRIBUIÇÃO"/>
    <s v="Nathalia Louiz"/>
    <n v="73754.080000000002"/>
    <s v="Entrada"/>
    <x v="1"/>
  </r>
  <r>
    <x v="187"/>
    <s v="Banco do Brasil - Sarah Alves Lisboa"/>
    <s v="Comissão Vanessa"/>
    <x v="28"/>
    <x v="7"/>
    <x v="240"/>
    <s v="TEREZINHA CUSTODIO DE OLIVEIRA"/>
    <m/>
    <s v="PENSÃO POR MORTE"/>
    <s v="Nathalia Louiz"/>
    <n v="-2488.73"/>
    <s v="Saída"/>
    <x v="0"/>
  </r>
  <r>
    <x v="187"/>
    <s v="Itaú - Lisboa e Lisboa"/>
    <s v="3 SALÁRIOS DE BENEFICIO (1000,00 + 5X 710,80)"/>
    <x v="2"/>
    <x v="2"/>
    <x v="197"/>
    <s v="ALDENY TELES DE OLIVEIRA NUNES"/>
    <m/>
    <s v="APOSENTADORIA POR IDADE"/>
    <s v="Nathalia Louiz"/>
    <n v="707.94999999999993"/>
    <s v="Entrada"/>
    <x v="1"/>
  </r>
  <r>
    <x v="188"/>
    <s v="Itaú - Lisboa e Lisboa"/>
    <s v="Distribuição de Lucros"/>
    <x v="22"/>
    <x v="8"/>
    <x v="27"/>
    <s v="Thaynara Borges Pereira"/>
    <m/>
    <m/>
    <s v="Nathalia Louiz"/>
    <n v="-20000"/>
    <s v="Saída"/>
    <x v="0"/>
  </r>
  <r>
    <x v="188"/>
    <s v="Banco do Brasil - Sarah Alves Lisboa"/>
    <s v="PAGAMENTO DE COMISSÃO E AJUDAS DE CUSTO"/>
    <x v="28"/>
    <x v="7"/>
    <x v="249"/>
    <s v="SEBASTIAO PEIXOTO DE OLIVEIRA"/>
    <m/>
    <m/>
    <s v="Nathalia Louiz"/>
    <n v="-1000"/>
    <s v="Saída"/>
    <x v="0"/>
  </r>
  <r>
    <x v="188"/>
    <s v="Itaú - Lisboa e Lisboa"/>
    <s v="Distribuição de Lucros"/>
    <x v="22"/>
    <x v="8"/>
    <x v="7"/>
    <s v="SARAH ALVES LISBOA"/>
    <m/>
    <m/>
    <s v="Nathalia Louiz"/>
    <n v="-30000"/>
    <s v="Saída"/>
    <x v="0"/>
  </r>
  <r>
    <x v="188"/>
    <s v="Banco do Brasil - Sarah Alves Lisboa"/>
    <s v="AJUDA IDA À EDILÂNDIA"/>
    <x v="28"/>
    <x v="7"/>
    <x v="250"/>
    <s v="Maria Eduarda"/>
    <m/>
    <m/>
    <s v="Thaynara Borges"/>
    <n v="-100"/>
    <s v="Saída"/>
    <x v="0"/>
  </r>
  <r>
    <x v="188"/>
    <s v="Banco do Brasil - Sarah Alves Lisboa"/>
    <s v="Pagamento de peças - Iniciais"/>
    <x v="42"/>
    <x v="6"/>
    <x v="235"/>
    <s v="Dra Raffaela Nunes"/>
    <m/>
    <m/>
    <s v="Nathalia Louiz"/>
    <n v="-200"/>
    <s v="Saída"/>
    <x v="0"/>
  </r>
  <r>
    <x v="188"/>
    <s v="Banco do Brasil - Sarah Alves Lisboa"/>
    <s v="Chocolates: Clientes / Escritório"/>
    <x v="11"/>
    <x v="1"/>
    <x v="251"/>
    <s v="ASSAI ATACADISTA"/>
    <m/>
    <m/>
    <s v="Nathalia Louiz"/>
    <n v="-89.14"/>
    <s v="Saída"/>
    <x v="0"/>
  </r>
  <r>
    <x v="188"/>
    <s v="Banco do Brasil - Sarah Alves Lisboa"/>
    <s v="LIMPEZA"/>
    <x v="9"/>
    <x v="1"/>
    <x v="15"/>
    <s v="ELIZANGELA FERREIRA DA SILVA"/>
    <m/>
    <m/>
    <s v="Nathalia Louiz"/>
    <n v="-170"/>
    <s v="Saída"/>
    <x v="0"/>
  </r>
  <r>
    <x v="188"/>
    <s v="Banco do Brasil - Sarah Alves Lisboa"/>
    <s v="Especialização - Dra. Raffaela"/>
    <x v="32"/>
    <x v="6"/>
    <x v="252"/>
    <s v="FASBEN SAO BENTO EDUCACIONAL LTDA"/>
    <m/>
    <m/>
    <s v="Nathalia Louiz"/>
    <n v="-489.3"/>
    <s v="Saída"/>
    <x v="0"/>
  </r>
  <r>
    <x v="188"/>
    <s v="Banco do Brasil - Sarah Alves Lisboa"/>
    <s v="Combustível - Viagem Sarah"/>
    <x v="35"/>
    <x v="4"/>
    <x v="158"/>
    <s v="POSTO ANTONELLI"/>
    <m/>
    <m/>
    <s v="Nathalia Louiz"/>
    <n v="-227.71"/>
    <s v="Saída"/>
    <x v="0"/>
  </r>
  <r>
    <x v="188"/>
    <s v="Banco do Brasil - Sarah Alves Lisboa"/>
    <s v="Pia para banheiro do escritório"/>
    <x v="14"/>
    <x v="1"/>
    <x v="253"/>
    <s v="GEAN CARLOS DE SOUZA"/>
    <m/>
    <m/>
    <s v="Nathalia Louiz"/>
    <n v="-1200"/>
    <s v="Saída"/>
    <x v="0"/>
  </r>
  <r>
    <x v="188"/>
    <s v="Itaú - Lisboa e Lisboa"/>
    <s v="3 SALÁRIOS DE BENEFICIO (Entrada de 1000,00 + 6x de 492,33 no boleto)"/>
    <x v="2"/>
    <x v="2"/>
    <x v="117"/>
    <s v="Maura Cardoso Borges"/>
    <m/>
    <s v="APOSENTADORIA POR IDADE"/>
    <s v="Nathalia Louiz"/>
    <n v="492.33"/>
    <s v="Entrada"/>
    <x v="2"/>
  </r>
  <r>
    <x v="189"/>
    <s v="Cartão de Crédito Dra Thaynara"/>
    <s v="Pagamento Cartão de Crédito Dra Thaynara"/>
    <x v="6"/>
    <x v="1"/>
    <x v="47"/>
    <s v="C6"/>
    <m/>
    <m/>
    <s v="Nathalia Louiz"/>
    <n v="1251.8"/>
    <s v="Entrada"/>
    <x v="1"/>
  </r>
  <r>
    <x v="189"/>
    <s v="Banco do Brasil - Sarah Alves Lisboa"/>
    <s v="Retirada de Lucros"/>
    <x v="22"/>
    <x v="8"/>
    <x v="7"/>
    <s v="SARAH ALVES LISBOA"/>
    <m/>
    <m/>
    <s v="Nathalia Louiz"/>
    <n v="-12000"/>
    <s v="Saída"/>
    <x v="0"/>
  </r>
  <r>
    <x v="189"/>
    <s v="Banco do Brasil - Sarah Alves Lisboa"/>
    <s v="50% parceria"/>
    <x v="28"/>
    <x v="7"/>
    <x v="247"/>
    <s v="ELISEU FRADIQUE MARÇAL"/>
    <m/>
    <s v="RECISÃO DE CONTRATO"/>
    <s v="Nathalia Louiz"/>
    <n v="-750"/>
    <s v="Saída"/>
    <x v="0"/>
  </r>
  <r>
    <x v="189"/>
    <s v="Banco do Brasil - Sarah Alves Lisboa"/>
    <s v="Cartão de Crédito Dra Thaynara"/>
    <x v="6"/>
    <x v="1"/>
    <x v="47"/>
    <s v="C6"/>
    <m/>
    <m/>
    <s v="Thaynara Borges"/>
    <n v="-1251.8"/>
    <s v="Saída"/>
    <x v="0"/>
  </r>
  <r>
    <x v="189"/>
    <s v="Cartão de Crédito Dra Thaynara"/>
    <s v="ASTREA"/>
    <x v="12"/>
    <x v="1"/>
    <x v="47"/>
    <s v="C6"/>
    <m/>
    <m/>
    <s v="Thaynara Borges"/>
    <n v="-653.29999999999995"/>
    <s v="Saída"/>
    <x v="0"/>
  </r>
  <r>
    <x v="189"/>
    <s v="Cartão de Crédito Dra Thaynara"/>
    <s v="Pós graduação - Dra Thaynara"/>
    <x v="32"/>
    <x v="6"/>
    <x v="254"/>
    <s v="ASA*CURSOSESPECCIALJUS"/>
    <m/>
    <m/>
    <s v="Nathalia Louiz"/>
    <n v="-229"/>
    <s v="Saída"/>
    <x v="0"/>
  </r>
  <r>
    <x v="189"/>
    <s v="Cartão de Crédito Dra Thaynara"/>
    <s v="HTM*ALINEDECKER (Curso Liderança)"/>
    <x v="12"/>
    <x v="1"/>
    <x v="47"/>
    <s v="C6"/>
    <m/>
    <m/>
    <s v="Thaynara Borges"/>
    <n v="-249.21"/>
    <s v="Saída"/>
    <x v="0"/>
  </r>
  <r>
    <x v="189"/>
    <s v="Cartão de Crédito Dra Thaynara"/>
    <s v="Cálculo Jurídico"/>
    <x v="12"/>
    <x v="1"/>
    <x v="47"/>
    <s v="C6"/>
    <m/>
    <m/>
    <s v="Thaynara Borges"/>
    <n v="-120.29"/>
    <s v="Saída"/>
    <x v="0"/>
  </r>
  <r>
    <x v="190"/>
    <s v="Banco do Brasil - Sarah Alves Lisboa"/>
    <s v="Reembolso de Certidão Solicitada"/>
    <x v="37"/>
    <x v="10"/>
    <x v="255"/>
    <s v="MARIA DA GLORIA RESENDE PAULA"/>
    <m/>
    <s v="EMBARGOS DE TERCEIRO"/>
    <s v="Nathalia Louiz"/>
    <n v="-139.04"/>
    <s v="Saída"/>
    <x v="0"/>
  </r>
  <r>
    <x v="190"/>
    <s v="Itaú - Lisboa e Lisboa"/>
    <s v="Peças de exaustor - Banheiro (reforma)"/>
    <x v="14"/>
    <x v="1"/>
    <x v="90"/>
    <s v="[$empty$]"/>
    <m/>
    <m/>
    <s v="Nathalia Louiz"/>
    <n v="-136.88999999999999"/>
    <s v="Saída"/>
    <x v="0"/>
  </r>
  <r>
    <x v="190"/>
    <s v="Itaú - Lisboa e Lisboa"/>
    <s v="30% + Saldo devedor 3 beneficios"/>
    <x v="2"/>
    <x v="2"/>
    <x v="125"/>
    <s v="DARLENE CAIXETA DOS SANTOS"/>
    <m/>
    <s v="BENEFÍCIO POR INCAPACIDADE"/>
    <s v="Nathalia Louiz"/>
    <n v="3843.08"/>
    <s v="Entrada"/>
    <x v="1"/>
  </r>
  <r>
    <x v="190"/>
    <s v="Banco do Brasil - Sarah Alves Lisboa"/>
    <s v="Espelho e Janela - Janela Sarah"/>
    <x v="14"/>
    <x v="1"/>
    <x v="256"/>
    <s v="Eduardo S. Oliveira"/>
    <m/>
    <m/>
    <s v="Nathalia Louiz"/>
    <n v="-400"/>
    <s v="Saída"/>
    <x v="0"/>
  </r>
  <r>
    <x v="190"/>
    <s v="Banco do Brasil - Sarah Alves Lisboa"/>
    <s v="Contrato de honorários: 40% + 3 benefícios = 3.962,60 (40%) + 8.484,99 (3 benefícios) = 12.447,59"/>
    <x v="2"/>
    <x v="2"/>
    <x v="257"/>
    <s v="ADILSON GOMES GUIMARAES"/>
    <m/>
    <s v="BENEFICIO POR INCAPACIDADE"/>
    <s v="Nathalia Louiz"/>
    <n v="4155"/>
    <s v="Entrada"/>
    <x v="1"/>
  </r>
  <r>
    <x v="190"/>
    <s v="Itaú - Lisboa e Lisboa"/>
    <s v="3 SALÁRIOS DE BENEFICIOS (R$ 8.269,50 em 8 vezes)"/>
    <x v="2"/>
    <x v="2"/>
    <x v="258"/>
    <s v="COSME DOS SANTOS VAZ"/>
    <m/>
    <s v="APOSENTADORIA POR IDADE"/>
    <s v="Nathalia Louiz"/>
    <n v="1052.19"/>
    <s v="Entrada"/>
    <x v="1"/>
  </r>
  <r>
    <x v="190"/>
    <s v="Itaú - Lisboa e Lisboa"/>
    <s v="Tintas da reforma"/>
    <x v="14"/>
    <x v="1"/>
    <x v="259"/>
    <s v="BEIJA-FLOR TINTAS"/>
    <m/>
    <m/>
    <s v="Nathalia Louiz"/>
    <n v="-290"/>
    <s v="Saída"/>
    <x v="0"/>
  </r>
  <r>
    <x v="191"/>
    <s v="Itaú - Lisboa e Lisboa"/>
    <s v="40% SOB RPV + R$ 6.045,54 (RESTANTE DA ANUIDADE)"/>
    <x v="2"/>
    <x v="2"/>
    <x v="157"/>
    <s v="SERGIO HENRIQUE  MOREIRA LOPES"/>
    <m/>
    <s v="BENEFÍCIO POR INCAPACIDADE"/>
    <s v="Nathalia Louiz"/>
    <n v="15712.94"/>
    <s v="Entrada"/>
    <x v="1"/>
  </r>
  <r>
    <x v="191"/>
    <s v="Banco do Brasil - Sarah Alves Lisboa"/>
    <s v="Extra (Uber) - Limpeza reforma do banheiro"/>
    <x v="9"/>
    <x v="1"/>
    <x v="15"/>
    <s v="ELIZANGELA FERREIRA DA SILVA"/>
    <m/>
    <m/>
    <s v="Nathalia Louiz"/>
    <n v="-50"/>
    <s v="Saída"/>
    <x v="0"/>
  </r>
  <r>
    <x v="191"/>
    <s v="Itaú - Lisboa e Lisboa"/>
    <s v="30% SOB RPV"/>
    <x v="2"/>
    <x v="2"/>
    <x v="215"/>
    <s v="DEA LUCIA DA SILVA DAVID"/>
    <m/>
    <s v="APOSENTADORIA POR IDADE"/>
    <s v="Nathalia Louiz"/>
    <n v="40664.550000000003"/>
    <s v="Entrada"/>
    <x v="1"/>
  </r>
  <r>
    <x v="191"/>
    <s v="Itaú - Lisboa e Lisboa"/>
    <s v="Contrato 40% 40% = R$ 2.831,20 - RPV"/>
    <x v="2"/>
    <x v="2"/>
    <x v="41"/>
    <s v="LUZIMEIRE MARTINS COSTA ALVES"/>
    <m/>
    <s v="BENEFÍCIO POR  INCAPACIDADE"/>
    <s v="Nathalia Louiz"/>
    <n v="2831.2"/>
    <s v="Entrada"/>
    <x v="1"/>
  </r>
  <r>
    <x v="191"/>
    <s v="Itaú - Lisboa e Lisboa"/>
    <s v="Contrato = 30+20% 30%= 3.945,54 20% está pagando boletos"/>
    <x v="2"/>
    <x v="2"/>
    <x v="193"/>
    <s v="NATANNE KELLY REIS DE SOUZA"/>
    <m/>
    <s v="BENEFÍCIO ASSISTENCIAL"/>
    <s v="Nathalia Louiz"/>
    <n v="3945.54"/>
    <s v="Entrada"/>
    <x v="1"/>
  </r>
  <r>
    <x v="191"/>
    <s v="Itaú - Lisboa e Lisboa"/>
    <s v="Valor dos honorários R$ 201,999,94 sendo;  20% de R$ 956.857,42 =191.371,48 20% de 1 anuidade sobre as diferenças, R$ 4.087,87 X 13 = R$ 53.142,31 X 20% = R$ 10.628,46."/>
    <x v="2"/>
    <x v="2"/>
    <x v="260"/>
    <s v="Selma Regina Gebrim Ribeiro"/>
    <m/>
    <s v="Selma Regina Gebrim Ribeiro x INSS"/>
    <s v="Nathalia Louiz"/>
    <n v="201999.94"/>
    <s v="Entrada"/>
    <x v="1"/>
  </r>
  <r>
    <x v="191"/>
    <s v="Itaú - Lisboa e Lisboa"/>
    <s v="Contrato 40% - 40%= 2.503,79 Tem parceria com Dr Gustavo (50%)"/>
    <x v="2"/>
    <x v="2"/>
    <x v="261"/>
    <s v="RAFAELA DAMASIO DE ALMEIDA"/>
    <m/>
    <s v="SALÁRIO MATERNIDADE"/>
    <s v="Nathalia Louiz"/>
    <n v="2503.79"/>
    <s v="Entrada"/>
    <x v="1"/>
  </r>
  <r>
    <x v="191"/>
    <s v="Itaú - Lisboa e Lisboa"/>
    <s v="3 beneficios"/>
    <x v="2"/>
    <x v="2"/>
    <x v="231"/>
    <s v="ELIO DIVINO NUNES DE BARROS"/>
    <m/>
    <s v="APOSENTADORIA POR IDADE"/>
    <s v="Nathalia Louiz"/>
    <n v="3525.48"/>
    <s v="Entrada"/>
    <x v="1"/>
  </r>
  <r>
    <x v="191"/>
    <s v="Itaú - Lisboa e Lisboa"/>
    <s v="Contrato 30% 30%= R$ 6.273,90 - RPV"/>
    <x v="2"/>
    <x v="2"/>
    <x v="196"/>
    <s v="Maria Alves Madureira"/>
    <m/>
    <s v="AUXILIO DOENÇA/ APOSENTADORIA POR INVALIDEZ"/>
    <s v="Nathalia Louiz"/>
    <n v="6273.9"/>
    <s v="Entrada"/>
    <x v="1"/>
  </r>
  <r>
    <x v="191"/>
    <s v="Itaú - Lisboa e Lisboa"/>
    <s v="Contrato 30+20% 30%= R$ 5.558,56 20%= R$ 3.946,80"/>
    <x v="2"/>
    <x v="2"/>
    <x v="175"/>
    <s v="LENY CORREIA DOS SANTOS"/>
    <m/>
    <s v="APOSENTADORIA HÍBRIDA"/>
    <s v="Nathalia Louiz"/>
    <n v="9505.36"/>
    <s v="Entrada"/>
    <x v="1"/>
  </r>
  <r>
    <x v="192"/>
    <s v="Banco do Brasil - Sarah Alves Lisboa"/>
    <s v="30% Sob implantação"/>
    <x v="2"/>
    <x v="2"/>
    <x v="262"/>
    <s v="REGINA CELIA COLLIENNE"/>
    <m/>
    <s v="BENEFÍCIO POR INCAPACIDADE"/>
    <s v="Nathalia Louiz"/>
    <n v="91.08"/>
    <s v="Entrada"/>
    <x v="1"/>
  </r>
  <r>
    <x v="192"/>
    <s v="Banco do Brasil - Sarah Alves Lisboa"/>
    <s v="Parceria 50% DR GUSTAVO"/>
    <x v="28"/>
    <x v="7"/>
    <x v="261"/>
    <s v="RAFAELA DAMASIO DE ALMEIDA"/>
    <m/>
    <s v="SALÁRIO MATERNIDADE"/>
    <s v="Nathalia Louiz"/>
    <n v="-1251.8900000000001"/>
    <s v="Saída"/>
    <x v="0"/>
  </r>
  <r>
    <x v="193"/>
    <s v="Banco do Brasil - Sarah Alves Lisboa"/>
    <s v="Consulta de ROBERT LUCAS FERNANDES LOGRADO (Não virou ação)"/>
    <x v="2"/>
    <x v="2"/>
    <x v="263"/>
    <s v="CARNEIRO E OLIVEIRA ADVOGADOS"/>
    <m/>
    <m/>
    <s v="Nathalia Louiz"/>
    <n v="200"/>
    <s v="Entrada"/>
    <x v="1"/>
  </r>
  <r>
    <x v="193"/>
    <s v="Itaú - Lisboa e Lisboa"/>
    <s v="30% Sob Implantação (2x)"/>
    <x v="2"/>
    <x v="2"/>
    <x v="264"/>
    <s v="MARLENE MARIA DOS SANTOS"/>
    <m/>
    <s v="BENEFÍCIO POR INCAPACIDADE"/>
    <s v="Nathalia Louiz"/>
    <n v="224.85"/>
    <s v="Entrada"/>
    <x v="1"/>
  </r>
  <r>
    <x v="193"/>
    <s v="Itaú - Lisboa e Lisboa"/>
    <s v="FGTS"/>
    <x v="18"/>
    <x v="6"/>
    <x v="133"/>
    <s v="FGTS"/>
    <m/>
    <m/>
    <s v="Thaynara Borges"/>
    <n v="-789.17"/>
    <s v="Saída"/>
    <x v="0"/>
  </r>
  <r>
    <x v="193"/>
    <s v="Itaú - Lisboa e Lisboa"/>
    <s v="INSS"/>
    <x v="19"/>
    <x v="6"/>
    <x v="38"/>
    <s v="RECEITA FEDERAL"/>
    <m/>
    <m/>
    <s v="Thaynara Borges"/>
    <n v="-2885.94"/>
    <s v="Saída"/>
    <x v="0"/>
  </r>
  <r>
    <x v="193"/>
    <s v="Banco do Brasil - Sarah Alves Lisboa"/>
    <s v="Pagamento de peça inicial - Extra"/>
    <x v="42"/>
    <x v="6"/>
    <x v="235"/>
    <s v="Dra Raffaela Nunes"/>
    <m/>
    <m/>
    <s v="Nathalia Louiz"/>
    <n v="-300"/>
    <s v="Saída"/>
    <x v="0"/>
  </r>
  <r>
    <x v="193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93"/>
    <s v="Itaú - Lisboa e Lisboa"/>
    <s v="3 salários de beneficio"/>
    <x v="2"/>
    <x v="2"/>
    <x v="193"/>
    <s v="NATANNE KELLY REIS DE SOUZA"/>
    <m/>
    <s v="BENEFÍCIO ASSISTENCIAL"/>
    <s v="Nathalia Louiz"/>
    <n v="462.7"/>
    <s v="Entrada"/>
    <x v="1"/>
  </r>
  <r>
    <x v="194"/>
    <s v="Itaú - Lisboa e Lisboa"/>
    <s v="Material para obra"/>
    <x v="14"/>
    <x v="1"/>
    <x v="265"/>
    <s v="PORTAL DISTRIBUIDORA"/>
    <m/>
    <m/>
    <s v="Nathalia Louiz"/>
    <n v="-494.38"/>
    <s v="Saída"/>
    <x v="0"/>
  </r>
  <r>
    <x v="194"/>
    <s v="Itaú - Lisboa e Lisboa"/>
    <s v="Honorários sob Precatório recebido"/>
    <x v="2"/>
    <x v="2"/>
    <x v="266"/>
    <s v="IOLANDA ABADIA DE JESUS DIAS"/>
    <m/>
    <s v="PENSÃO POR MORTE"/>
    <s v="Nathalia Louiz"/>
    <n v="66460.899999999994"/>
    <s v="Entrada"/>
    <x v="1"/>
  </r>
  <r>
    <x v="194"/>
    <s v="Itaú - Lisboa e Lisboa"/>
    <s v="IPTU - SALA B74"/>
    <x v="29"/>
    <x v="1"/>
    <x v="71"/>
    <s v="PREFEITURA MUNICIPAL DE GOIÂNIA"/>
    <m/>
    <m/>
    <s v="Nathalia Louiz"/>
    <n v="-125.57"/>
    <s v="Saída"/>
    <x v="0"/>
  </r>
  <r>
    <x v="194"/>
    <s v="Banco do Brasil - Sarah Alves Lisboa"/>
    <s v="Honorários R$5000,00 (Parceria com Dr Luciano R$2.500) - 5 parcelas para cada."/>
    <x v="2"/>
    <x v="2"/>
    <x v="182"/>
    <s v="LUZIA VIEIRA DE JESUS NASCIMENTO"/>
    <m/>
    <s v="aposentadoria"/>
    <s v="Nathalia Louiz"/>
    <n v="500"/>
    <s v="Entrada"/>
    <x v="1"/>
  </r>
  <r>
    <x v="194"/>
    <s v="Banco do Brasil - Sarah Alves Lisboa"/>
    <s v="COMISSÃO POR REUNIÃO - VIAGEM"/>
    <x v="28"/>
    <x v="7"/>
    <x v="267"/>
    <s v="MARIA JOSEFA DA CONCEIÇÃO"/>
    <m/>
    <m/>
    <s v="Nathalia Louiz"/>
    <n v="-200"/>
    <s v="Saída"/>
    <x v="0"/>
  </r>
  <r>
    <x v="194"/>
    <s v="Itaú - Lisboa e Lisboa"/>
    <s v="Água"/>
    <x v="17"/>
    <x v="1"/>
    <x v="34"/>
    <s v="SANEAGO GOIAS S/A"/>
    <m/>
    <m/>
    <s v="Thaynara Borges"/>
    <n v="-155.75"/>
    <s v="Saída"/>
    <x v="0"/>
  </r>
  <r>
    <x v="194"/>
    <s v="Itaú - Lisboa e Lisboa"/>
    <s v="35% SOB RPV"/>
    <x v="2"/>
    <x v="2"/>
    <x v="238"/>
    <s v="TALYTA VASCONCELOS MELO"/>
    <m/>
    <s v="SALÁRIO MATERNIDADE"/>
    <s v="Nathalia Louiz"/>
    <n v="2418.21"/>
    <s v="Entrada"/>
    <x v="1"/>
  </r>
  <r>
    <x v="194"/>
    <s v="Itaú - Lisboa e Lisboa"/>
    <s v="Materiais para obra"/>
    <x v="14"/>
    <x v="1"/>
    <x v="268"/>
    <s v="BEIJA FLOR TINTAS"/>
    <m/>
    <m/>
    <s v="Nathalia Louiz"/>
    <n v="-470"/>
    <s v="Saída"/>
    <x v="0"/>
  </r>
  <r>
    <x v="194"/>
    <s v="Itaú - Lisboa e Lisboa"/>
    <s v="Simples Nacional"/>
    <x v="20"/>
    <x v="7"/>
    <x v="39"/>
    <s v="Simples Nacional"/>
    <m/>
    <m/>
    <s v="Thaynara Borges"/>
    <n v="-2836.64"/>
    <s v="Saída"/>
    <x v="0"/>
  </r>
  <r>
    <x v="195"/>
    <s v="Itaú - Lisboa e Lisboa"/>
    <s v="PLANEJAMENTO"/>
    <x v="2"/>
    <x v="2"/>
    <x v="168"/>
    <s v="JOSE VITORIO DE CARVALHO JUNIOR"/>
    <m/>
    <s v="PLANEJAMENTO PREVIDENCIÁRIO"/>
    <s v="Thaynara Borges"/>
    <n v="99.45"/>
    <s v="Entrada"/>
    <x v="1"/>
  </r>
  <r>
    <x v="195"/>
    <s v="Itaú - Lisboa e Lisboa"/>
    <s v="Alguel sala - Escritório Girassol"/>
    <x v="43"/>
    <x v="1"/>
    <x v="7"/>
    <s v="SARAH ALVES LISBOA"/>
    <m/>
    <m/>
    <s v="Nathalia Louiz"/>
    <n v="-500"/>
    <s v="Saída"/>
    <x v="0"/>
  </r>
  <r>
    <x v="196"/>
    <s v="Itaú - Lisboa e Lisboa"/>
    <s v="Persinas para escritorio"/>
    <x v="14"/>
    <x v="1"/>
    <x v="269"/>
    <s v="CENTERFLEX PERSIANAS E CORTINAS"/>
    <m/>
    <m/>
    <s v="Nathalia Louiz"/>
    <n v="-2300"/>
    <s v="Saída"/>
    <x v="0"/>
  </r>
  <r>
    <x v="196"/>
    <s v="Itaú - Lisboa e Lisboa"/>
    <s v="Prêmio Águia Americana - São Paulo"/>
    <x v="27"/>
    <x v="4"/>
    <x v="237"/>
    <s v="INQS - Instituto Nacional da Qualidade Social"/>
    <m/>
    <m/>
    <s v="Nathalia Louiz"/>
    <n v="-925"/>
    <s v="Saída"/>
    <x v="0"/>
  </r>
  <r>
    <x v="196"/>
    <s v="Banco do Brasil - Sarah Alves Lisboa"/>
    <s v="PARCEIRIA DR SILVIO - Honorários de parceria caso VALENTINA SOUSA FONSECA"/>
    <x v="2"/>
    <x v="2"/>
    <x v="202"/>
    <s v="VALENTINA SOUSA FONSECA"/>
    <m/>
    <s v="SOLICITAR PAGAMENTOS NÃO RECEBIDOS"/>
    <s v="Nathalia Louiz"/>
    <n v="153.6"/>
    <s v="Entrada"/>
    <x v="1"/>
  </r>
  <r>
    <x v="196"/>
    <s v="Itaú - Lisboa e Lisboa"/>
    <s v="HONORÁRIOS DE SCB"/>
    <x v="2"/>
    <x v="2"/>
    <x v="50"/>
    <s v="MARIA JOSE FONSECA ARAUJO MELO ROSETE GOIS"/>
    <m/>
    <s v="REVISÃO DE BENEFÍCIO"/>
    <s v="Nathalia Louiz"/>
    <n v="54081.919999999998"/>
    <s v="Entrada"/>
    <x v="1"/>
  </r>
  <r>
    <x v="197"/>
    <s v="Itaú - Lisboa e Lisboa"/>
    <s v="Energia contrato 0067122721"/>
    <x v="21"/>
    <x v="1"/>
    <x v="94"/>
    <s v="EQUATORIAL GOIAS 0067122721"/>
    <m/>
    <m/>
    <s v="Thaynara Borges"/>
    <n v="-443.3"/>
    <s v="Saída"/>
    <x v="0"/>
  </r>
  <r>
    <x v="197"/>
    <s v="Banco do Brasil - Sarah Alves Lisboa"/>
    <s v="LIMPEZA"/>
    <x v="9"/>
    <x v="1"/>
    <x v="15"/>
    <s v="ELIZANGELA FERREIRA DA SILVA"/>
    <m/>
    <m/>
    <s v="Nathalia Louiz"/>
    <n v="-340"/>
    <s v="Saída"/>
    <x v="0"/>
  </r>
  <r>
    <x v="197"/>
    <s v="Banco do Brasil - Sarah Alves Lisboa"/>
    <s v="Vidros Janela - Reforma"/>
    <x v="14"/>
    <x v="1"/>
    <x v="256"/>
    <s v="Eduardo S. Oliveira"/>
    <m/>
    <m/>
    <s v="Nathalia Louiz"/>
    <n v="-400"/>
    <s v="Saída"/>
    <x v="0"/>
  </r>
  <r>
    <x v="197"/>
    <s v="Itaú - Lisboa e Lisboa"/>
    <s v="Energia contrato 0067122663"/>
    <x v="21"/>
    <x v="1"/>
    <x v="91"/>
    <s v="EQUATORIAL GOIAS 0067122663"/>
    <m/>
    <m/>
    <s v="Thaynara Borges"/>
    <n v="-439.04"/>
    <s v="Saída"/>
    <x v="0"/>
  </r>
  <r>
    <x v="197"/>
    <s v="Banco do Brasil - Sarah Alves Lisboa"/>
    <s v="Comissão por reunião"/>
    <x v="28"/>
    <x v="7"/>
    <x v="117"/>
    <s v="Maura Cardoso Borges"/>
    <m/>
    <m/>
    <s v="Nathalia Louiz"/>
    <n v="-300"/>
    <s v="Saída"/>
    <x v="0"/>
  </r>
  <r>
    <x v="197"/>
    <s v="Banco do Brasil - Sarah Alves Lisboa"/>
    <s v="Pagamento de pecas avulsas - Benefício por incapacidade - Patrícia Godói Pensão por morte - Geralda Nunes"/>
    <x v="28"/>
    <x v="7"/>
    <x v="235"/>
    <s v="Dra Raffaela Nunes"/>
    <m/>
    <m/>
    <s v="Nathalia Louiz"/>
    <n v="-400"/>
    <s v="Saída"/>
    <x v="0"/>
  </r>
  <r>
    <x v="198"/>
    <s v="Itaú - Lisboa e Lisboa"/>
    <s v="REFORMA DO ESCRITÓRIO"/>
    <x v="14"/>
    <x v="1"/>
    <x v="270"/>
    <s v="WILLIAM DUARTE DE SOUZA"/>
    <m/>
    <m/>
    <s v="Nathalia Louiz"/>
    <n v="-5201.21"/>
    <s v="Saída"/>
    <x v="0"/>
  </r>
  <r>
    <x v="198"/>
    <s v="Banco do Brasil - Sarah Alves Lisboa"/>
    <s v="Parcelamento 3 BENEFICIOS"/>
    <x v="2"/>
    <x v="2"/>
    <x v="181"/>
    <s v="MATHEUS HENRIQUE DE CARVALHO MIRANDA"/>
    <m/>
    <s v="PENSÃO POR MORTE - RETROAÇÃO DA DIP"/>
    <s v="Nathalia Louiz"/>
    <n v="563.5"/>
    <s v="Entrada"/>
    <x v="1"/>
  </r>
  <r>
    <x v="198"/>
    <s v="Itaú - Lisboa e Lisboa"/>
    <s v="Pagamento por gestão e execução de processo seletivo"/>
    <x v="34"/>
    <x v="1"/>
    <x v="271"/>
    <s v="FLUIR MULTICLINICA EM SAÚDE"/>
    <m/>
    <m/>
    <s v="Nathalia Louiz"/>
    <n v="-700"/>
    <s v="Saída"/>
    <x v="0"/>
  </r>
  <r>
    <x v="199"/>
    <s v="Itaú - Lisboa e Lisboa"/>
    <s v="Comissão sucumbencia Vanessa"/>
    <x v="28"/>
    <x v="7"/>
    <x v="68"/>
    <s v="ESPÓLIO DE REGINALDO DE SOUZA LIRA"/>
    <m/>
    <s v="AÇÃO ACIDENTÁRIA (RESTABELECIMENTO DE AUXÍLIO-DOENÇA/CONCESSÃO DE AUXÍLIO-ACIDENTE/AP. POR INVALIDEZ"/>
    <s v="Thaynara Borges"/>
    <n v="-3400.55"/>
    <s v="Saída"/>
    <x v="0"/>
  </r>
  <r>
    <x v="199"/>
    <s v="Itaú - Lisboa e Lisboa"/>
    <s v="Comissao parcela anuidade 1/12 Vanessa"/>
    <x v="28"/>
    <x v="7"/>
    <x v="188"/>
    <s v="ISAEL MARCULINO DOS SANTOS"/>
    <m/>
    <s v="APOSENTADORIA POR TEMPO DE CONTRIBUIÇAO/ PORTADOR DE NECESSIDADES ESPECIAIS"/>
    <s v="Thaynara Borges"/>
    <n v="-372.3"/>
    <s v="Saída"/>
    <x v="0"/>
  </r>
  <r>
    <x v="199"/>
    <s v="Itaú - Lisboa e Lisboa"/>
    <s v="Comissão Vanessa"/>
    <x v="28"/>
    <x v="7"/>
    <x v="215"/>
    <s v="DEA LUCIA DA SILVA DAVID"/>
    <m/>
    <s v="APOSENTADORIA POR IDADE"/>
    <s v="Thaynara Borges"/>
    <n v="-25345.39"/>
    <s v="Saída"/>
    <x v="0"/>
  </r>
  <r>
    <x v="199"/>
    <s v="Itaú - Lisboa e Lisboa"/>
    <s v="Retirada"/>
    <x v="22"/>
    <x v="8"/>
    <x v="27"/>
    <s v="Thaynara Borges Pereira"/>
    <m/>
    <m/>
    <s v="Thaynara Borges"/>
    <n v="-5000"/>
    <s v="Saída"/>
    <x v="0"/>
  </r>
  <r>
    <x v="199"/>
    <s v="Itaú - Lisboa e Lisboa"/>
    <s v="Comissão anuidade 2/12 Vanessa"/>
    <x v="28"/>
    <x v="7"/>
    <x v="188"/>
    <s v="ISAEL MARCULINO DOS SANTOS"/>
    <m/>
    <s v="APOSENTADORIA POR TEMPO DE CONTRIBUIÇAO/ PORTADOR DE NECESSIDADES ESPECIAIS"/>
    <s v="Thaynara Borges"/>
    <n v="-360.08"/>
    <s v="Saída"/>
    <x v="0"/>
  </r>
  <r>
    <x v="199"/>
    <s v="Itaú - Lisboa e Lisboa"/>
    <s v="Salário"/>
    <x v="15"/>
    <x v="6"/>
    <x v="166"/>
    <s v="MARIA EDUARDA DE SOUZA"/>
    <m/>
    <m/>
    <s v="Nathalia Louiz"/>
    <n v="-2339.41"/>
    <s v="Saída"/>
    <x v="0"/>
  </r>
  <r>
    <x v="199"/>
    <s v="Banco do Brasil - Sarah Alves Lisboa"/>
    <s v="Comissão para Karine Domingues 30%"/>
    <x v="28"/>
    <x v="7"/>
    <x v="125"/>
    <s v="DARLENE CAIXETA DOS SANTOS"/>
    <m/>
    <s v="BENEFÍCIO POR INCAPACIDADE"/>
    <s v="Thaynara Borges"/>
    <n v="-1026.56"/>
    <s v="Saída"/>
    <x v="0"/>
  </r>
  <r>
    <x v="199"/>
    <s v="Banco do Brasil - Sarah Alves Lisboa"/>
    <s v="Salário"/>
    <x v="15"/>
    <x v="6"/>
    <x v="32"/>
    <s v="Raffaela Nunes"/>
    <m/>
    <m/>
    <s v="Thaynara Borges"/>
    <n v="-3500"/>
    <s v="Saída"/>
    <x v="0"/>
  </r>
  <r>
    <x v="199"/>
    <s v="Itaú - Lisboa e Lisboa"/>
    <s v="Comissão Vanessa"/>
    <x v="28"/>
    <x v="7"/>
    <x v="260"/>
    <s v="Selma Regina Gebrim Ribeiro"/>
    <m/>
    <s v="CONVERSAO DE APOSENTADORIA POR TEMPO DE CONTRIBUIÇAO EM APOSENTADORIA POR INVALIDEZ"/>
    <s v="Thaynara Borges"/>
    <n v="-125902.51"/>
    <s v="Saída"/>
    <x v="0"/>
  </r>
  <r>
    <x v="199"/>
    <s v="Itaú - Lisboa e Lisboa"/>
    <s v="Retirada"/>
    <x v="22"/>
    <x v="8"/>
    <x v="7"/>
    <s v="Sarah Alves Lisboa"/>
    <m/>
    <m/>
    <s v="Thaynara Borges"/>
    <n v="-6148.98"/>
    <s v="Saída"/>
    <x v="0"/>
  </r>
  <r>
    <x v="199"/>
    <s v="Banco do Brasil - Sarah Alves Lisboa"/>
    <s v="Salário"/>
    <x v="15"/>
    <x v="6"/>
    <x v="69"/>
    <s v="Nathalia Louiz Alves Vigilato"/>
    <m/>
    <m/>
    <s v="Nathalia Louiz"/>
    <n v="-1518"/>
    <s v="Saída"/>
    <x v="0"/>
  </r>
  <r>
    <x v="199"/>
    <s v="Itaú - Lisboa e Lisboa"/>
    <s v="Comissão Implantação Vanessa"/>
    <x v="28"/>
    <x v="7"/>
    <x v="188"/>
    <s v="ISAEL MARCULINO DOS SANTOS"/>
    <m/>
    <s v="APOSENTADORIA POR TEMPO DE CONTRIBUIÇAO/ PORTADOR DE NECESSIDADES ESPECIAIS"/>
    <s v="Thaynara Borges"/>
    <n v="-2708.37"/>
    <s v="Saída"/>
    <x v="0"/>
  </r>
  <r>
    <x v="199"/>
    <s v="Itaú - Lisboa e Lisboa"/>
    <s v="Salário"/>
    <x v="15"/>
    <x v="6"/>
    <x v="37"/>
    <s v="Nina Araujo"/>
    <m/>
    <m/>
    <s v="Thaynara Borges"/>
    <n v="-3231.22"/>
    <s v="Saída"/>
    <x v="0"/>
  </r>
  <r>
    <x v="199"/>
    <s v="Itaú - Lisboa e Lisboa"/>
    <s v="Comissão principal Vanessa"/>
    <x v="28"/>
    <x v="7"/>
    <x v="68"/>
    <s v="ESPÓLIO DE REGINALDO DE SOUZA LIRA"/>
    <m/>
    <s v="AÇÃO ACIDENTÁRIA (RESTABELECIMENTO DE AUXÍLIO-DOENÇA/CONCESSÃO DE AUXÍLIO-ACIDENTE/AP. POR INVALIDEZ"/>
    <s v="Thaynara Borges"/>
    <n v="-12536.77"/>
    <s v="Saída"/>
    <x v="0"/>
  </r>
  <r>
    <x v="199"/>
    <s v="Itaú - Lisboa e Lisboa"/>
    <s v="PRÓ-LABORE"/>
    <x v="23"/>
    <x v="8"/>
    <x v="7"/>
    <s v="Sarah Alves Lisboa"/>
    <m/>
    <m/>
    <s v="Thaynara Borges"/>
    <n v="-1351.02"/>
    <s v="Saída"/>
    <x v="0"/>
  </r>
  <r>
    <x v="199"/>
    <s v="Itaú - Lisboa e Lisboa"/>
    <s v="Comissão Vanessa"/>
    <x v="28"/>
    <x v="7"/>
    <x v="219"/>
    <s v="ROGERIO JOSE DA SILVEIRA"/>
    <m/>
    <s v="APOSENTADORIA ESPECIAL/ ELETRICISTA"/>
    <s v="Thaynara Borges"/>
    <n v="-74932.41"/>
    <s v="Saída"/>
    <x v="0"/>
  </r>
  <r>
    <x v="199"/>
    <s v="Itaú - Lisboa e Lisboa"/>
    <s v="Salário"/>
    <x v="15"/>
    <x v="6"/>
    <x v="221"/>
    <s v="SAMARA ALMEIDA BOGEA"/>
    <m/>
    <m/>
    <s v="Nathalia Louiz"/>
    <n v="-2297.77"/>
    <s v="Saída"/>
    <x v="0"/>
  </r>
  <r>
    <x v="199"/>
    <s v="Banco do Brasil - Sarah Alves Lisboa"/>
    <s v="30% sob implantação"/>
    <x v="2"/>
    <x v="2"/>
    <x v="272"/>
    <s v="SIRLEY PAULINO DE LIMA"/>
    <m/>
    <s v="APOSENTADORIA RURAL"/>
    <s v="Nathalia Louiz"/>
    <n v="910.8"/>
    <s v="Entrada"/>
    <x v="1"/>
  </r>
  <r>
    <x v="199"/>
    <s v="Itaú - Lisboa e Lisboa"/>
    <s v="Comissão entrada anuidade Vanessa"/>
    <x v="28"/>
    <x v="7"/>
    <x v="188"/>
    <s v="ISAEL MARCULINO DOS SANTOS"/>
    <m/>
    <s v="APOSENTADORIA POR TEMPO DE CONTRIBUIÇAO/ PORTADOR DE NECESSIDADES ESPECIAIS"/>
    <s v="Thaynara Borges"/>
    <n v="-1400"/>
    <s v="Saída"/>
    <x v="0"/>
  </r>
  <r>
    <x v="199"/>
    <s v="Banco do Brasil - Sarah Alves Lisboa"/>
    <s v="Comissão para Carneiro e Oliveira 50%"/>
    <x v="28"/>
    <x v="7"/>
    <x v="238"/>
    <s v="TALYTA VASCONCELOS MELO"/>
    <m/>
    <s v="SALÁRIO MATERNIDADE"/>
    <s v="Thaynara Borges"/>
    <n v="-1076.58"/>
    <s v="Saída"/>
    <x v="0"/>
  </r>
  <r>
    <x v="199"/>
    <s v="Banco do Brasil - Sarah Alves Lisboa"/>
    <s v="3 salários de beneficio (restante)"/>
    <x v="2"/>
    <x v="2"/>
    <x v="193"/>
    <s v="NATANNE KELLY REIS DE SOUZA"/>
    <m/>
    <s v="BENEFÍCIO ASSISTENCIAL"/>
    <s v="Nathalia Louiz"/>
    <n v="3643.2"/>
    <s v="Entrada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5">
  <r>
    <x v="0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0"/>
    <s v="Lisboa e Lisboa"/>
    <s v="CONTABILIDADE"/>
    <x v="1"/>
    <x v="1"/>
    <s v="CARLOS ALBERTO GRACIANO RODRIGUES"/>
    <s v="CARLOS ALBERTO GRACIANO RODRIGUES"/>
    <m/>
    <m/>
    <s v="Thaynara Borges"/>
    <n v="-1412"/>
    <s v="Saída"/>
    <x v="0"/>
  </r>
  <r>
    <x v="0"/>
    <s v="Thaynara Borges Pereira"/>
    <s v="Parcelamento em 7x"/>
    <x v="2"/>
    <x v="2"/>
    <s v="MARIA DA SILVA NOGUEIRA"/>
    <s v="MARIA DA SILVA NOGUEIRA"/>
    <m/>
    <s v="Maria da Silva Nogueira x Nathalia dos Santos Nogueira"/>
    <s v="Thaynara Borges"/>
    <n v="250"/>
    <s v="Entrada"/>
    <x v="1"/>
  </r>
  <r>
    <x v="0"/>
    <s v="Lisboa e Lisboa"/>
    <s v="Honorário de implantação sobre 1 competência"/>
    <x v="2"/>
    <x v="2"/>
    <s v="ADOLFA MARIA DE JESUS ALMEIDA"/>
    <s v="ADOLFA MARIA DE JESUS ALMEIDA"/>
    <m/>
    <s v="BENEFÍCIO POR INCAPACIDADE"/>
    <s v="Thaynara Borges"/>
    <n v="423.6"/>
    <s v="Entrada"/>
    <x v="1"/>
  </r>
  <r>
    <x v="0"/>
    <s v="Lisboa e Lisboa"/>
    <s v="Serviços TI"/>
    <x v="3"/>
    <x v="1"/>
    <s v="Rhuan Carlos Batista"/>
    <s v="Rhuan Carlos Batista"/>
    <m/>
    <m/>
    <s v="Thaynara Borges"/>
    <n v="-60"/>
    <s v="Saída"/>
    <x v="0"/>
  </r>
  <r>
    <x v="1"/>
    <s v="Lisboa e Lisboa"/>
    <s v="PLANO ADAPT 3"/>
    <x v="4"/>
    <x v="3"/>
    <s v="BANCO ITAU"/>
    <s v="BANCO ITAU"/>
    <m/>
    <m/>
    <s v="Thaynara Borges"/>
    <n v="-261.75"/>
    <s v="Saída"/>
    <x v="0"/>
  </r>
  <r>
    <x v="2"/>
    <s v="Thaynara Borges Pereira"/>
    <s v="Última parcela acordo - parceria Dr. Gustavo"/>
    <x v="2"/>
    <x v="2"/>
    <s v="ODORICO CANASSA BIANCHINI JUNIOR"/>
    <s v="ODORICO CANASSA BIANCHINI JUNIOR"/>
    <m/>
    <m/>
    <s v="Thaynara Borges"/>
    <n v="450"/>
    <s v="Entrada"/>
    <x v="1"/>
  </r>
  <r>
    <x v="2"/>
    <s v="Sarah Alves Lisboa"/>
    <s v="Pedágios Edilândia"/>
    <x v="5"/>
    <x v="4"/>
    <s v="Sarah Alves Lisboa"/>
    <s v="Sarah Alves Lisboa"/>
    <m/>
    <m/>
    <s v="Thaynara Borges"/>
    <n v="-36.119999999999997"/>
    <s v="Saída"/>
    <x v="0"/>
  </r>
  <r>
    <x v="2"/>
    <s v="Thaynara Borges Pereira"/>
    <s v="30% de uma competência"/>
    <x v="2"/>
    <x v="2"/>
    <s v="EDSON RAEL DE OLIVEIRA"/>
    <s v="EDSON RAEL DE OLIVEIRA"/>
    <m/>
    <s v="BENEFÍCIO POR INCAPACIDADE"/>
    <s v="Thaynara Borges"/>
    <n v="268.3"/>
    <s v="Entrada"/>
    <x v="1"/>
  </r>
  <r>
    <x v="3"/>
    <s v="Lisboa e Lisboa"/>
    <s v="Cartão de Crédito"/>
    <x v="6"/>
    <x v="1"/>
    <s v="Itau Cartões"/>
    <s v="BANCO ITAU"/>
    <m/>
    <m/>
    <s v="Thaynara Borges"/>
    <n v="-1924.77"/>
    <s v="Saída"/>
    <x v="0"/>
  </r>
  <r>
    <x v="3"/>
    <s v="Lisboa e Lisboa"/>
    <s v="2 Benefícios parcelados em 6x"/>
    <x v="2"/>
    <x v="2"/>
    <s v="ISABEL PEREIRA SOUSA"/>
    <s v="ISABEL PEREIRA SOUSA"/>
    <m/>
    <s v="APOSENTADORIA POR IDADE"/>
    <s v="Thaynara Borges"/>
    <n v="471"/>
    <s v="Entrada"/>
    <x v="1"/>
  </r>
  <r>
    <x v="3"/>
    <s v="Lisboa e Lisboa"/>
    <s v="Anuidade"/>
    <x v="2"/>
    <x v="2"/>
    <s v="LENIR MARIA DOS SANTOS LIMA"/>
    <s v="LENIR MARIA DOS SANTOS LIMA"/>
    <m/>
    <s v="LENIR MARIA DOS SANTOS LIMA x INSS"/>
    <s v="Thaynara Borges"/>
    <n v="284.39999999999998"/>
    <s v="Entrada"/>
    <x v="1"/>
  </r>
  <r>
    <x v="4"/>
    <s v="Thaynara Borges Pereira"/>
    <s v="Parcela 3 e 4 - 3 benefícios"/>
    <x v="2"/>
    <x v="2"/>
    <s v="ANDREZA CESARIA DA SILVA RODRIGUES"/>
    <s v="ANDREZA CESARIA DA SILVA RODRIGUES"/>
    <m/>
    <s v="APOSENTADORIA POR IDADE"/>
    <s v="Thaynara Borges"/>
    <n v="1059"/>
    <s v="Entrada"/>
    <x v="1"/>
  </r>
  <r>
    <x v="4"/>
    <s v="Sarah Alves Lisboa"/>
    <s v="Estacionamento - ida ao banco"/>
    <x v="7"/>
    <x v="5"/>
    <s v="NATALIA ALVES DA SILVA"/>
    <s v="NATALIA ALVES DA SILVA"/>
    <m/>
    <s v="SALÁRIO MATERNIDADE"/>
    <s v="Thaynara Borges"/>
    <n v="-10"/>
    <s v="Saída"/>
    <x v="0"/>
  </r>
  <r>
    <x v="4"/>
    <s v="Lisboa e Lisboa"/>
    <s v="Celular escritório"/>
    <x v="8"/>
    <x v="1"/>
    <s v="VIVO"/>
    <s v="VIVO"/>
    <m/>
    <m/>
    <s v="Thaynara Borges"/>
    <n v="-130.37"/>
    <s v="Saída"/>
    <x v="0"/>
  </r>
  <r>
    <x v="4"/>
    <s v="Thaynara Borges Pereira"/>
    <s v="Limpeza"/>
    <x v="9"/>
    <x v="1"/>
    <s v="ELIZANGELA FERREIRA DA SILVA"/>
    <s v="ELIZANGELA FERREIRA DA SILVA"/>
    <m/>
    <m/>
    <s v="Thaynara Borges"/>
    <n v="-340"/>
    <s v="Saída"/>
    <x v="0"/>
  </r>
  <r>
    <x v="4"/>
    <s v="Lisboa e Lisboa"/>
    <s v="Condomínio"/>
    <x v="10"/>
    <x v="1"/>
    <s v="ATON BUSINESS STYLE"/>
    <s v="ATON BUSINESS STYLE"/>
    <m/>
    <m/>
    <s v="Thaynara Borges"/>
    <n v="-2977.01"/>
    <s v="Saída"/>
    <x v="0"/>
  </r>
  <r>
    <x v="5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5"/>
    <s v="Sarah Alves Lisboa"/>
    <s v="Lanche"/>
    <x v="11"/>
    <x v="1"/>
    <s v="ISABELLA ALVIM BIACHINI"/>
    <s v="ISABELLA ALVIM BIACHINI"/>
    <m/>
    <m/>
    <s v="Thaynara Borges"/>
    <n v="-67.64"/>
    <s v="Saída"/>
    <x v="0"/>
  </r>
  <r>
    <x v="5"/>
    <s v="Lisboa e Lisboa"/>
    <s v="Telefone e internet"/>
    <x v="8"/>
    <x v="1"/>
    <s v="VIVO"/>
    <s v="VIVO"/>
    <m/>
    <m/>
    <s v="Thaynara Borges"/>
    <n v="-371.57"/>
    <s v="Saída"/>
    <x v="0"/>
  </r>
  <r>
    <x v="6"/>
    <s v="Lisboa e Lisboa"/>
    <s v="Publicações Renio"/>
    <x v="12"/>
    <x v="1"/>
    <s v="PRO JURIDICO"/>
    <s v="PRO JURIDICO"/>
    <m/>
    <m/>
    <s v="Thaynara Borges"/>
    <n v="-100"/>
    <s v="Saída"/>
    <x v="0"/>
  </r>
  <r>
    <x v="6"/>
    <s v="Lisboa e Lisboa"/>
    <s v="Parcela 2 de 2"/>
    <x v="2"/>
    <x v="2"/>
    <s v="ANTONIO MOREIRA DOS SANTOS"/>
    <s v="ANTONIO MOREIRA DOS SANTOS"/>
    <m/>
    <s v="DIVÓRCIO"/>
    <s v="Thaynara Borges"/>
    <n v="600"/>
    <s v="Entrada"/>
    <x v="1"/>
  </r>
  <r>
    <x v="6"/>
    <s v="Lisboa e Lisboa"/>
    <s v="Seguros estagiárias"/>
    <x v="13"/>
    <x v="6"/>
    <s v="IEL"/>
    <s v="IEL"/>
    <m/>
    <m/>
    <s v="Thaynara Borges"/>
    <n v="-300"/>
    <s v="Saída"/>
    <x v="0"/>
  </r>
  <r>
    <x v="6"/>
    <s v="Sarah Alves Lisboa"/>
    <s v="Tarifa Bancária"/>
    <x v="4"/>
    <x v="3"/>
    <s v="BANCO DO BRASIL S/A"/>
    <s v="BANCO DO BRASIL S/A"/>
    <m/>
    <m/>
    <s v="Thaynara Borges"/>
    <n v="-14.55"/>
    <s v="Saída"/>
    <x v="0"/>
  </r>
  <r>
    <x v="7"/>
    <s v="Lisboa e Lisboa"/>
    <s v="Parcela Honorários Parceria"/>
    <x v="2"/>
    <x v="2"/>
    <s v="SONIA MARIA DA SILVA"/>
    <s v="SONIA MARIA DA SILVA"/>
    <m/>
    <s v="Defesa Cível - Parceria Dr Silvio"/>
    <s v="Thaynara Borges"/>
    <n v="450"/>
    <s v="Entrada"/>
    <x v="2"/>
  </r>
  <r>
    <x v="8"/>
    <s v="Lisboa e Lisboa"/>
    <s v="30% sobre os atrasados"/>
    <x v="2"/>
    <x v="2"/>
    <s v="NATALIA ALVES DA SILVA"/>
    <s v="NATALIA ALVES DA SILVA"/>
    <m/>
    <s v="SALÁRIO MATERNIDADE"/>
    <s v="Thaynara Borges"/>
    <n v="2464.31"/>
    <s v="Entrada"/>
    <x v="1"/>
  </r>
  <r>
    <x v="9"/>
    <s v="Thaynara Borges Pereira"/>
    <s v="Material e troca de todas as tomadas do escritório"/>
    <x v="14"/>
    <x v="1"/>
    <s v="Luiz Antonio Sousa de Morais"/>
    <s v="Luiz Antonio Sousa de Morais"/>
    <m/>
    <m/>
    <s v="Thaynara Borges"/>
    <n v="-1083"/>
    <s v="Saída"/>
    <x v="0"/>
  </r>
  <r>
    <x v="9"/>
    <s v="Lisboa e Lisboa"/>
    <s v="30% sobre os atrasados + 20% anuidade + Imposto (líquido, tirando Giuliano e Vanessa)"/>
    <x v="2"/>
    <x v="2"/>
    <s v="ANA MARIA DE JESUS"/>
    <s v="ANA MARIA DE JESUS"/>
    <m/>
    <s v="PENSAO POR MORTE"/>
    <s v="Thaynara Borges"/>
    <n v="6691.29"/>
    <s v="Entrada"/>
    <x v="1"/>
  </r>
  <r>
    <x v="9"/>
    <s v="Lisboa e Lisboa"/>
    <s v="Sucumbencia líquida (tirando Giuliano e Vanessa)"/>
    <x v="2"/>
    <x v="2"/>
    <s v="ANA MARIA DE JESUS"/>
    <s v="ANA MARIA DE JESUS"/>
    <m/>
    <s v="PENSAO POR MORTE"/>
    <s v="Thaynara Borges"/>
    <n v="1331.36"/>
    <s v="Entrada"/>
    <x v="1"/>
  </r>
  <r>
    <x v="9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10"/>
    <s v="Lisboa e Lisboa"/>
    <s v="Parceria Dra Flavia"/>
    <x v="2"/>
    <x v="2"/>
    <s v="JULIANI DOMINGOS DOS REIS"/>
    <s v="JULIANI DOMINGOS DOS REIS"/>
    <m/>
    <s v="AÇÃO DE GUARDA"/>
    <s v="Thaynara Borges"/>
    <n v="150"/>
    <s v="Entrada"/>
    <x v="1"/>
  </r>
  <r>
    <x v="10"/>
    <s v="Lisboa e Lisboa"/>
    <s v="Parceria Dra Flavia"/>
    <x v="2"/>
    <x v="2"/>
    <s v="JULIANI DOMINGOS DOS REIS"/>
    <s v="JULIANI DOMINGOS DOS REIS"/>
    <m/>
    <s v="AÇÃO DE GUARDA"/>
    <s v="Thaynara Borges"/>
    <n v="150"/>
    <s v="Entrada"/>
    <x v="1"/>
  </r>
  <r>
    <x v="11"/>
    <s v="Thaynara Borges Pereira"/>
    <s v="Gastos com cartão de crédito"/>
    <x v="6"/>
    <x v="1"/>
    <s v="Thaynara Borges Pereira"/>
    <s v="C6"/>
    <m/>
    <m/>
    <s v="Thaynara Borges"/>
    <n v="-1012.15"/>
    <s v="Saída"/>
    <x v="0"/>
  </r>
  <r>
    <x v="11"/>
    <s v="Thaynara Borges Pereira"/>
    <s v="Parceria com Dr. Silvio"/>
    <x v="2"/>
    <x v="2"/>
    <s v="LEONARDO MATEUS BATISTA DE OLIVEIRA"/>
    <s v="LEONARDO MATEUS BATISTA DE OLIVEIRA"/>
    <m/>
    <m/>
    <s v="Thaynara Borges"/>
    <n v="150"/>
    <s v="Entrada"/>
    <x v="1"/>
  </r>
  <r>
    <x v="11"/>
    <s v="Lisboa e Lisboa"/>
    <s v="Publicações"/>
    <x v="12"/>
    <x v="1"/>
    <s v="AVISO URGENTE T I LTDA"/>
    <s v="AVISO URGENTE T I LTDA"/>
    <m/>
    <m/>
    <s v="Thaynara Borges"/>
    <n v="-507.3"/>
    <s v="Saída"/>
    <x v="0"/>
  </r>
  <r>
    <x v="12"/>
    <s v="Lisboa e Lisboa"/>
    <s v="Anuidade - parceria com Dr Fernando"/>
    <x v="2"/>
    <x v="2"/>
    <s v="ELVIO DE OLIVEIRA SOARES"/>
    <s v="ELVIO DE OLIVEIRA SOARES"/>
    <m/>
    <s v="APOSENTADORIA POR IDADE"/>
    <s v="Thaynara Borges"/>
    <n v="211.8"/>
    <s v="Entrada"/>
    <x v="1"/>
  </r>
  <r>
    <x v="12"/>
    <s v="Sarah Alves Lisboa"/>
    <s v="Sucumbencia liquida (tirando Vanessa)"/>
    <x v="2"/>
    <x v="2"/>
    <s v="UBIRACI LOSI"/>
    <s v="UBIRACI LOSI"/>
    <m/>
    <s v="CONCESSÃO DA APOSENTADORIA POR IDADE RURAL"/>
    <s v="Thaynara Borges"/>
    <n v="386.8"/>
    <s v="Entrada"/>
    <x v="1"/>
  </r>
  <r>
    <x v="13"/>
    <s v="Thaynara Borges Pereira"/>
    <s v="2º Parcela 13º salário"/>
    <x v="15"/>
    <x v="6"/>
    <s v="Raffaela Nunes"/>
    <s v="Raffaela Nunes"/>
    <m/>
    <m/>
    <s v="Thaynara Borges"/>
    <n v="-1100"/>
    <s v="Saída"/>
    <x v="0"/>
  </r>
  <r>
    <x v="13"/>
    <s v="Lisboa e Lisboa"/>
    <s v="13º CONTADOR"/>
    <x v="1"/>
    <x v="1"/>
    <s v="CARLOS ALBERTO GRACIANO RODRIGUES"/>
    <s v="CARLOS ALBERTO GRACIANO RODRIGUES"/>
    <m/>
    <m/>
    <s v="Thaynara Borges"/>
    <n v="-1412"/>
    <s v="Saída"/>
    <x v="0"/>
  </r>
  <r>
    <x v="13"/>
    <s v="Thaynara Borges Pereira"/>
    <s v="CESTA DE NATAL PARA JAINY"/>
    <x v="16"/>
    <x v="4"/>
    <s v="A mesma (Pessoa de contato de: Alci Ferraz de Aguiar Barbosa)"/>
    <s v="A mesma (Pessoa de contato de: Alci Ferraz de Aguiar Barbosa)"/>
    <m/>
    <m/>
    <s v="Thaynara Borges"/>
    <n v="-165"/>
    <s v="Saída"/>
    <x v="0"/>
  </r>
  <r>
    <x v="14"/>
    <s v="Lisboa e Lisboa"/>
    <s v="Água"/>
    <x v="17"/>
    <x v="1"/>
    <s v="SANEAGO GOIAS S/A"/>
    <s v="SANEAGO GOIAS S/A"/>
    <m/>
    <m/>
    <s v="Thaynara Borges"/>
    <n v="-106.3"/>
    <s v="Saída"/>
    <x v="0"/>
  </r>
  <r>
    <x v="14"/>
    <s v="Lisboa e Lisboa"/>
    <s v="FGTS"/>
    <x v="18"/>
    <x v="6"/>
    <s v="Ministério do Trabalho e Emprego"/>
    <s v="Ministério do Trabalho e Emprego"/>
    <m/>
    <m/>
    <s v="Thaynara Borges"/>
    <n v="-392.19"/>
    <s v="Saída"/>
    <x v="0"/>
  </r>
  <r>
    <x v="14"/>
    <s v="Lisboa e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1"/>
  </r>
  <r>
    <x v="14"/>
    <s v="Lisboa e Lisboa"/>
    <s v="2ª Parcela 13º salário"/>
    <x v="15"/>
    <x v="6"/>
    <s v="Nina Araujo"/>
    <s v="Nina Araujo"/>
    <m/>
    <m/>
    <s v="Thaynara Borges"/>
    <n v="-1378.81"/>
    <s v="Saída"/>
    <x v="0"/>
  </r>
  <r>
    <x v="14"/>
    <s v="Lisboa e Lisboa"/>
    <s v="INSS 13º Salário"/>
    <x v="19"/>
    <x v="6"/>
    <s v="Receita Federal"/>
    <s v="Receita Federal"/>
    <m/>
    <m/>
    <s v="Thaynara Borges"/>
    <n v="-864.45"/>
    <s v="Saída"/>
    <x v="0"/>
  </r>
  <r>
    <x v="14"/>
    <s v="Lisboa e Lisboa"/>
    <s v="Simples Nacional"/>
    <x v="20"/>
    <x v="7"/>
    <s v="Simples Nacional"/>
    <s v="Simples Nacional"/>
    <m/>
    <m/>
    <s v="Thaynara Borges"/>
    <n v="-1623.52"/>
    <s v="Saída"/>
    <x v="0"/>
  </r>
  <r>
    <x v="14"/>
    <s v="Lisboa e Lisboa"/>
    <s v="INSS"/>
    <x v="19"/>
    <x v="6"/>
    <s v="Receita Federal"/>
    <s v="Receita Federal"/>
    <m/>
    <m/>
    <s v="Thaynara Borges"/>
    <n v="-1980.52"/>
    <s v="Saída"/>
    <x v="0"/>
  </r>
  <r>
    <x v="14"/>
    <s v="Thaynara Borges Pereira"/>
    <s v="Limpeza"/>
    <x v="9"/>
    <x v="1"/>
    <s v="ELIZANGELA FERREIRA DA SILVA"/>
    <s v="ELIZANGELA FERREIRA DA SILVA"/>
    <m/>
    <m/>
    <s v="Thaynara Borges"/>
    <n v="-340"/>
    <s v="Saída"/>
    <x v="0"/>
  </r>
  <r>
    <x v="15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16"/>
    <s v="Sarah Alves Lisboa"/>
    <s v="30% sobre 1 competencia tirando 20% da Dra Nubia (indicação)"/>
    <x v="2"/>
    <x v="2"/>
    <s v="LUZIMEIRE MARTINS COSTA ALVES"/>
    <s v="LUZIMEIRE MARTINS COSTA ALVES"/>
    <m/>
    <s v="BENEFÍCIO POR INCAPACIDADE"/>
    <s v="Thaynara Borges"/>
    <n v="338.88"/>
    <s v="Entrada"/>
    <x v="1"/>
  </r>
  <r>
    <x v="16"/>
    <s v="Sarah Alves Lisboa"/>
    <s v="Parcelas anuidade"/>
    <x v="2"/>
    <x v="2"/>
    <s v="JOSE NILTON FERREIRA DE SOUZA"/>
    <s v="JOSE NILTON FERREIRA DE SOUZA"/>
    <m/>
    <s v="APOSENTADORIA POR IDADE"/>
    <s v="Thaynara Borges"/>
    <n v="282.39999999999998"/>
    <s v="Entrada"/>
    <x v="1"/>
  </r>
  <r>
    <x v="16"/>
    <s v="Lisboa e Lisboa"/>
    <s v="3 Benefícios parcelados"/>
    <x v="2"/>
    <x v="2"/>
    <s v="ANA ELIA DE SOUZA MANSE"/>
    <s v="ANA ELIA DE SOUZA MANSE"/>
    <m/>
    <s v="PENSÃO POR MORTE"/>
    <s v="Thaynara Borges"/>
    <n v="400"/>
    <s v="Entrada"/>
    <x v="1"/>
  </r>
  <r>
    <x v="16"/>
    <s v="Sarah Alves Lisboa"/>
    <s v="30% SOBRE IMPLANTAÇÃO"/>
    <x v="2"/>
    <x v="2"/>
    <s v="FRANCISCA DA COSTA GOMES OLIVEIRA"/>
    <s v="FRANCISCA DA COSTA GOMES OLIVEIRA"/>
    <m/>
    <s v="AUXILIO DOENÇA"/>
    <s v="Thaynara Borges"/>
    <n v="1962"/>
    <s v="Entrada"/>
    <x v="1"/>
  </r>
  <r>
    <x v="16"/>
    <s v="Lisboa e Lisboa"/>
    <s v="ENERGIA"/>
    <x v="21"/>
    <x v="1"/>
    <s v="EQUATORIAL GOIAS"/>
    <s v="EQUATORIAL GOIAS"/>
    <m/>
    <m/>
    <s v="Thaynara Borges"/>
    <n v="-1168.73"/>
    <s v="Saída"/>
    <x v="0"/>
  </r>
  <r>
    <x v="17"/>
    <s v="Thaynara Borges Pereira"/>
    <s v="Retirada de lucros"/>
    <x v="22"/>
    <x v="8"/>
    <s v="Thaynara Borges Pereira"/>
    <s v="Thaynara Borges Pereira"/>
    <m/>
    <m/>
    <s v="Thaynara Borges"/>
    <n v="-8743.32"/>
    <s v="Saída"/>
    <x v="0"/>
  </r>
  <r>
    <x v="17"/>
    <s v="Thaynara Borges Pereira"/>
    <s v="Retirada de lucros"/>
    <x v="22"/>
    <x v="8"/>
    <s v="Sarah Alves Lisboa"/>
    <s v="Sarah Alves Lisboa"/>
    <m/>
    <m/>
    <s v="Thaynara Borges"/>
    <n v="-13743.32"/>
    <s v="Saída"/>
    <x v="0"/>
  </r>
  <r>
    <x v="18"/>
    <s v="Lisboa e Lisboa"/>
    <s v="Bolsa estágio"/>
    <x v="13"/>
    <x v="6"/>
    <s v="ISABELLA ALVIM BIACHINI"/>
    <s v="ISABELLA ALVIM BIACHINI"/>
    <m/>
    <m/>
    <s v="Thaynara Borges"/>
    <n v="-1200"/>
    <s v="Saída"/>
    <x v="0"/>
  </r>
  <r>
    <x v="18"/>
    <s v="Lisboa e Lisboa"/>
    <s v="Salário"/>
    <x v="15"/>
    <x v="6"/>
    <s v="Nina Araujo"/>
    <s v="Nina Araujo"/>
    <m/>
    <m/>
    <s v="Thaynara Borges"/>
    <n v="-3191.28"/>
    <s v="Saída"/>
    <x v="0"/>
  </r>
  <r>
    <x v="18"/>
    <s v="Lisboa e Lisboa"/>
    <s v="Pró-labore"/>
    <x v="23"/>
    <x v="8"/>
    <s v="Sarah Alves Lisboa"/>
    <s v="Sarah Alves Lisboa"/>
    <m/>
    <m/>
    <s v="Thaynara Borges"/>
    <n v="-1256.68"/>
    <s v="Saída"/>
    <x v="0"/>
  </r>
  <r>
    <x v="18"/>
    <s v="Thaynara Borges Pereira"/>
    <s v="Salário"/>
    <x v="15"/>
    <x v="6"/>
    <s v="Raffaela Nunes"/>
    <s v="Raffaela Nunes"/>
    <m/>
    <m/>
    <s v="Thaynara Borges"/>
    <n v="-2200"/>
    <s v="Saída"/>
    <x v="0"/>
  </r>
  <r>
    <x v="18"/>
    <s v="Lisboa e Lisboa"/>
    <s v="Pró-labore"/>
    <x v="23"/>
    <x v="8"/>
    <s v="Thaynara Borges Pereira"/>
    <s v="Thaynara Borges Pereira"/>
    <m/>
    <m/>
    <s v="Thaynara Borges"/>
    <n v="-1256.68"/>
    <s v="Saída"/>
    <x v="0"/>
  </r>
  <r>
    <x v="18"/>
    <s v="Lisboa e Lisboa"/>
    <s v="Bolsa estágio"/>
    <x v="13"/>
    <x v="6"/>
    <s v="Laura Barbosa Marques"/>
    <s v="Laura Barbosa Marques"/>
    <m/>
    <m/>
    <s v="Thaynara Borges"/>
    <n v="-1200"/>
    <s v="Saída"/>
    <x v="0"/>
  </r>
  <r>
    <x v="19"/>
    <s v="Cartão de Crédito Dra Thaynara"/>
    <s v="Pagamento Cartão de Crédito Dra Thaynara"/>
    <x v="6"/>
    <x v="1"/>
    <s v="C6"/>
    <s v="C6"/>
    <m/>
    <m/>
    <s v="Thaynara Borges"/>
    <n v="1012.15"/>
    <s v="Entrada"/>
    <x v="3"/>
  </r>
  <r>
    <x v="19"/>
    <s v="Cartão de Crédito Dr Ivanildo"/>
    <s v="São Jorge - ultima parcela vaso sanitario Sarah"/>
    <x v="24"/>
    <x v="0"/>
    <s v="BANCO ITAU"/>
    <s v="BANCO ITAU"/>
    <m/>
    <m/>
    <s v="Thaynara Borges"/>
    <n v="-233.15"/>
    <s v="Saída"/>
    <x v="0"/>
  </r>
  <r>
    <x v="19"/>
    <s v="Cartão de Crédito Dr Ivanildo"/>
    <s v="Presente de fim de ano para Dra Flavia"/>
    <x v="16"/>
    <x v="4"/>
    <s v="BANCO ITAU"/>
    <s v="BANCO ITAU"/>
    <m/>
    <m/>
    <s v="Thaynara Borges"/>
    <n v="-126.7"/>
    <s v="Saída"/>
    <x v="0"/>
  </r>
  <r>
    <x v="19"/>
    <s v="Cartão de Crédito Dr Ivanildo"/>
    <s v="Lanches"/>
    <x v="11"/>
    <x v="1"/>
    <s v="BANCO ITAU"/>
    <s v="BANCO ITAU"/>
    <m/>
    <m/>
    <s v="Thaynara Borges"/>
    <n v="-26"/>
    <s v="Saída"/>
    <x v="0"/>
  </r>
  <r>
    <x v="19"/>
    <s v="Cartão de Crédito Dra Thaynara"/>
    <s v="ASTREA"/>
    <x v="12"/>
    <x v="1"/>
    <s v="C6"/>
    <s v="C6"/>
    <m/>
    <m/>
    <s v="Thaynara Borges"/>
    <n v="-456.75"/>
    <s v="Saída"/>
    <x v="0"/>
  </r>
  <r>
    <x v="19"/>
    <s v="Cartão de Crédito Dr Ivanildo"/>
    <s v="Almoço de confraternização final de ano"/>
    <x v="11"/>
    <x v="1"/>
    <s v="BANCO ITAU"/>
    <s v="BANCO ITAU"/>
    <m/>
    <m/>
    <s v="Thaynara Borges"/>
    <n v="-1212.29"/>
    <s v="Saída"/>
    <x v="0"/>
  </r>
  <r>
    <x v="19"/>
    <s v="Cartão de Crédito Dr Ivanildo"/>
    <s v="Jusbrasil"/>
    <x v="12"/>
    <x v="1"/>
    <s v="BANCO ITAU"/>
    <s v="BANCO ITAU"/>
    <m/>
    <m/>
    <s v="Thaynara Borges"/>
    <n v="-58.9"/>
    <s v="Saída"/>
    <x v="0"/>
  </r>
  <r>
    <x v="19"/>
    <s v="Cartão de Crédito Dra Sarah"/>
    <s v="DELL - Notebook (será estornado)"/>
    <x v="24"/>
    <x v="0"/>
    <s v="BANCO ITAU"/>
    <s v="BANCO ITAU"/>
    <m/>
    <m/>
    <s v="Thaynara Borges"/>
    <n v="-308.25"/>
    <s v="Saída"/>
    <x v="0"/>
  </r>
  <r>
    <x v="19"/>
    <s v="Cartão de Crédito Dra Thaynara"/>
    <s v="Cálculo Jurídico"/>
    <x v="12"/>
    <x v="1"/>
    <s v="C6"/>
    <s v="C6"/>
    <m/>
    <m/>
    <s v="Thaynara Borges"/>
    <n v="-120.29"/>
    <s v="Saída"/>
    <x v="0"/>
  </r>
  <r>
    <x v="19"/>
    <s v="Cartão de Crédito Dra Thaynara"/>
    <s v="ASA*TRINDADE AMADO PRO (Curso de atualização previdenciária)"/>
    <x v="12"/>
    <x v="1"/>
    <s v="C6"/>
    <s v="C6"/>
    <m/>
    <m/>
    <s v="Thaynara Borges"/>
    <n v="-59.9"/>
    <s v="Saída"/>
    <x v="0"/>
  </r>
  <r>
    <x v="19"/>
    <s v="Cartão de Crédito Dr Ivanildo"/>
    <s v="Prévius"/>
    <x v="12"/>
    <x v="1"/>
    <s v="BANCO ITAU"/>
    <s v="BANCO ITAU"/>
    <m/>
    <m/>
    <s v="Thaynara Borges"/>
    <n v="-80.91"/>
    <s v="Saída"/>
    <x v="0"/>
  </r>
  <r>
    <x v="19"/>
    <s v="Cartão de Crédito Dr Ivanildo"/>
    <s v="kabum - última parcela do origem (servidor)"/>
    <x v="25"/>
    <x v="0"/>
    <s v="BANCO ITAU"/>
    <s v="BANCO ITAU"/>
    <m/>
    <m/>
    <s v="Thaynara Borges"/>
    <n v="-292.89"/>
    <s v="Saída"/>
    <x v="0"/>
  </r>
  <r>
    <x v="19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19"/>
    <s v="Cartão de Crédito Dr Ivanildo"/>
    <s v="Jusbrasil"/>
    <x v="12"/>
    <x v="1"/>
    <s v="BANCO ITAU"/>
    <s v="BANCO ITAU"/>
    <m/>
    <m/>
    <s v="Thaynara Borges"/>
    <n v="-58.9"/>
    <s v="Saída"/>
    <x v="0"/>
  </r>
  <r>
    <x v="19"/>
    <s v="Cartão de Crédito Dr Ivanildo"/>
    <s v="Google One"/>
    <x v="12"/>
    <x v="1"/>
    <s v="BANCO ITAU"/>
    <s v="BANCO ITAU"/>
    <m/>
    <m/>
    <s v="Thaynara Borges"/>
    <n v="-38.99"/>
    <s v="Saída"/>
    <x v="0"/>
  </r>
  <r>
    <x v="19"/>
    <s v="Cartão de Crédito Dr Ivanildo"/>
    <s v="Bolo aniversario Sarah e Nina"/>
    <x v="11"/>
    <x v="1"/>
    <s v="BANCO ITAU"/>
    <s v="BANCO ITAU"/>
    <m/>
    <m/>
    <s v="Thaynara Borges"/>
    <n v="-170.99"/>
    <s v="Saída"/>
    <x v="0"/>
  </r>
  <r>
    <x v="19"/>
    <s v="Cartão de Crédito Dra Sarah"/>
    <s v="Pagamento Cartão de Crédito Dra Sarah"/>
    <x v="6"/>
    <x v="1"/>
    <s v="BANCO ITAU"/>
    <s v="BANCO ITAU"/>
    <m/>
    <m/>
    <s v="Thaynara Borges"/>
    <n v="308.25"/>
    <s v="Entrada"/>
    <x v="3"/>
  </r>
  <r>
    <x v="19"/>
    <s v="Cartão de Crédito Dr Ivanildo"/>
    <s v="Cestas de fim de ano para equipe"/>
    <x v="11"/>
    <x v="1"/>
    <s v="BANCO ITAU"/>
    <s v="BANCO ITAU"/>
    <m/>
    <m/>
    <s v="Thaynara Borges"/>
    <n v="-725"/>
    <s v="Saída"/>
    <x v="0"/>
  </r>
  <r>
    <x v="19"/>
    <s v="Cartão de Crédito Dr Ivanildo"/>
    <s v="Pagamento Cartão de Crédito Dr Ivanildo"/>
    <x v="6"/>
    <x v="1"/>
    <s v="BANCO ITAU"/>
    <s v="BANCO ITAU"/>
    <m/>
    <m/>
    <s v="Thaynara Borges"/>
    <n v="3379.88"/>
    <s v="Entrada"/>
    <x v="3"/>
  </r>
  <r>
    <x v="19"/>
    <s v="Cartão de Crédito Dr Ivanildo"/>
    <s v="Previdenciarista"/>
    <x v="12"/>
    <x v="1"/>
    <s v="BANCO ITAU"/>
    <s v="BANCO ITAU"/>
    <m/>
    <m/>
    <s v="Thaynara Borges"/>
    <n v="-99.9"/>
    <s v="Saída"/>
    <x v="0"/>
  </r>
  <r>
    <x v="19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19"/>
    <s v="Cartão de Crédito Dr Ivanildo"/>
    <s v="Google One"/>
    <x v="12"/>
    <x v="1"/>
    <s v="BANCO ITAU"/>
    <s v="BANCO ITAU"/>
    <m/>
    <m/>
    <s v="Thaynara Borges"/>
    <n v="-11.99"/>
    <s v="Saída"/>
    <x v="0"/>
  </r>
  <r>
    <x v="19"/>
    <s v="Cartão de Crédito Dra Thaynara"/>
    <s v="GOOGLE GSUITE_PREVLEX."/>
    <x v="12"/>
    <x v="1"/>
    <s v="C6"/>
    <s v="C6"/>
    <m/>
    <m/>
    <s v="Thaynara Borges"/>
    <n v="-126"/>
    <s v="Saída"/>
    <x v="0"/>
  </r>
  <r>
    <x v="19"/>
    <s v="Cartão de Crédito Dr Ivanildo"/>
    <s v="Salgados aniversario Sarah e Nina"/>
    <x v="11"/>
    <x v="1"/>
    <s v="BANCO ITAU"/>
    <s v="BANCO ITAU"/>
    <m/>
    <m/>
    <s v="Thaynara Borges"/>
    <n v="-170.6"/>
    <s v="Saída"/>
    <x v="0"/>
  </r>
  <r>
    <x v="19"/>
    <s v="Cartão de Crédito Dr Ivanildo"/>
    <s v="Lanches"/>
    <x v="11"/>
    <x v="1"/>
    <s v="BANCO ITAU"/>
    <s v="BANCO ITAU"/>
    <m/>
    <m/>
    <s v="Thaynara Borges"/>
    <n v="-52.77"/>
    <s v="Saída"/>
    <x v="0"/>
  </r>
  <r>
    <x v="20"/>
    <s v="Lisboa e Lisboa"/>
    <s v="Assessoria Contábil"/>
    <x v="1"/>
    <x v="1"/>
    <s v="CARLOS ALBERTO GRACIANO RODRIGUES"/>
    <s v="CARLOS ALBERTO GRACIANO RODRIGUES"/>
    <m/>
    <m/>
    <s v="Thaynara Borges"/>
    <n v="-1412"/>
    <s v="Saída"/>
    <x v="0"/>
  </r>
  <r>
    <x v="20"/>
    <s v="Sarah Alves Lisboa"/>
    <s v="50% sobre implantação (líquido, tirando 10% da Jainy)"/>
    <x v="2"/>
    <x v="2"/>
    <s v="MARIA DAS GRAÇAS MOREIRA DA SILVA"/>
    <s v="MARIA DAS GRAÇAS MOREIRA DA SILVA"/>
    <m/>
    <s v="APOSENTADORIA RURAL"/>
    <s v="Thaynara Borges"/>
    <n v="2385"/>
    <s v="Entrada"/>
    <x v="1"/>
  </r>
  <r>
    <x v="20"/>
    <s v="Sarah Alves Lisboa"/>
    <s v="50% sobre a implantação"/>
    <x v="2"/>
    <x v="2"/>
    <s v="JOSELINA ROSA DE SANTANA"/>
    <s v="JOSELINA ROSA DE SANTANA"/>
    <m/>
    <s v="APOSENTADORIA RURAL"/>
    <s v="Thaynara Borges"/>
    <n v="1945"/>
    <s v="Entrada"/>
    <x v="1"/>
  </r>
  <r>
    <x v="20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20"/>
    <s v="Lisboa e Lisboa"/>
    <s v="30% sobre a implantação"/>
    <x v="2"/>
    <x v="2"/>
    <s v="MARIA JOSE FONSECA ARAUJO MELO ROSETE GOIS"/>
    <s v="MARIA JOSE FONSECA ARAUJO MELO ROSETE GOIS"/>
    <m/>
    <s v="REVISÃO DE BENEFÍCIO"/>
    <s v="Thaynara Borges"/>
    <n v="3692.45"/>
    <s v="Entrada"/>
    <x v="1"/>
  </r>
  <r>
    <x v="20"/>
    <s v="Thaynara Borges Pereira"/>
    <s v="Parcelamento em 7x"/>
    <x v="2"/>
    <x v="2"/>
    <s v="MARIA DA SILVA NOGUEIRA"/>
    <s v="MARIA DA SILVA NOGUEIRA"/>
    <m/>
    <s v="Maria da Silva Nogueira x Nathalia dos Santos Nogueira"/>
    <s v="Thaynara Borges"/>
    <n v="250"/>
    <s v="Entrada"/>
    <x v="1"/>
  </r>
  <r>
    <x v="21"/>
    <s v="Lisboa e Lisboa"/>
    <s v="Plano mensal - conta corrente"/>
    <x v="4"/>
    <x v="3"/>
    <s v="BANCO ITAU"/>
    <s v="BANCO ITAU"/>
    <m/>
    <m/>
    <s v="Thaynara Borges"/>
    <n v="-261.75"/>
    <s v="Saída"/>
    <x v="0"/>
  </r>
  <r>
    <x v="21"/>
    <s v="Sarah Alves Lisboa"/>
    <s v="30% sobre o 1º pagamento"/>
    <x v="2"/>
    <x v="2"/>
    <s v="ANTÔNIO BARBOSA DA SILVA FILHO"/>
    <s v="ANTÔNIO BARBOSA DA SILVA FILHO"/>
    <m/>
    <s v="BENEFÍCIO POR INCAPACIDADE"/>
    <s v="Thaynara Borges"/>
    <n v="560"/>
    <s v="Entrada"/>
    <x v="1"/>
  </r>
  <r>
    <x v="22"/>
    <s v="Sarah Alves Lisboa"/>
    <s v="GRU"/>
    <x v="7"/>
    <x v="5"/>
    <s v="Jose Francisco Rodrigues da Silva"/>
    <s v="Jose Francisco Rodrigues da Silva"/>
    <m/>
    <s v="AUXILIO DOENÇA/ APOSENTADORIA POR INVALIDEZ"/>
    <s v="Thaynara Borges"/>
    <n v="-21.73"/>
    <s v="Saída"/>
    <x v="0"/>
  </r>
  <r>
    <x v="22"/>
    <s v="Lisboa e Lisboa"/>
    <s v="30% sobre os atrasados (valor liquido 50% Fernando)"/>
    <x v="2"/>
    <x v="2"/>
    <s v="MARCOS ANTONIO LOURENÇO DE TOLEDO"/>
    <s v="MARCOS ANTONIO LOURENÇO DE TOLEDO"/>
    <m/>
    <s v="AUXILIO DOENÇA"/>
    <s v="Thaynara Borges"/>
    <n v="1507.81"/>
    <s v="Entrada"/>
    <x v="2"/>
  </r>
  <r>
    <x v="22"/>
    <s v="Lisboa e Lisboa"/>
    <s v="Sucumbência líquida (70% da Vanessa)"/>
    <x v="2"/>
    <x v="2"/>
    <s v="LEILA DIAS MARTINS"/>
    <s v="LEILA DIAS MARTINS"/>
    <m/>
    <s v="SUSPENÇAO DE ALTA MEDICA CONCEDIDA EM APOSENTADORIA POR INVALIDEZ"/>
    <s v="Thaynara Borges"/>
    <n v="361.22"/>
    <s v="Entrada"/>
    <x v="2"/>
  </r>
  <r>
    <x v="22"/>
    <s v="Lisboa e Lisboa"/>
    <s v="30% sobre os atrasados (líquidos, 70% da Vanessa)"/>
    <x v="2"/>
    <x v="2"/>
    <s v="LEILA DIAS MARTINS"/>
    <s v="LEILA DIAS MARTINS"/>
    <m/>
    <s v="SUSPENÇAO DE ALTA MEDICA CONCEDIDA EM APOSENTADORIA POR INVALIDEZ"/>
    <s v="Thaynara Borges"/>
    <n v="1083.6400000000001"/>
    <s v="Entrada"/>
    <x v="2"/>
  </r>
  <r>
    <x v="22"/>
    <s v="Thaynara Borges Pereira"/>
    <s v="Jarra para cafeteira"/>
    <x v="26"/>
    <x v="1"/>
    <s v="Mercado Livre"/>
    <s v="Mercado Livre"/>
    <m/>
    <m/>
    <s v="Thaynara Borges"/>
    <n v="-70.22"/>
    <s v="Saída"/>
    <x v="0"/>
  </r>
  <r>
    <x v="22"/>
    <s v="Lisboa e Lisboa"/>
    <s v="2 Benefícios parcelados em 6x"/>
    <x v="2"/>
    <x v="2"/>
    <s v="ISABEL PEREIRA SOUSA"/>
    <s v="ISABEL PEREIRA SOUSA"/>
    <m/>
    <s v="APOSENTADORIA POR IDADE"/>
    <s v="Thaynara Borges"/>
    <n v="470.66"/>
    <s v="Entrada"/>
    <x v="1"/>
  </r>
  <r>
    <x v="22"/>
    <s v="Sarah Alves Lisboa"/>
    <s v="GRU"/>
    <x v="7"/>
    <x v="5"/>
    <s v="FABIANO MAGNO CESAR"/>
    <s v="FABIANO MAGNO CESAR"/>
    <m/>
    <s v="AUXILIO DOENÇA"/>
    <s v="Thaynara Borges"/>
    <n v="-21.73"/>
    <s v="Saída"/>
    <x v="0"/>
  </r>
  <r>
    <x v="22"/>
    <s v="Lisboa e Lisboa"/>
    <s v="Condomínio"/>
    <x v="10"/>
    <x v="1"/>
    <s v="ATON BUSINESS STYLE"/>
    <s v="ATON BUSINESS STYLE"/>
    <m/>
    <m/>
    <s v="Thaynara Borges"/>
    <n v="-2967.49"/>
    <s v="Saída"/>
    <x v="0"/>
  </r>
  <r>
    <x v="22"/>
    <s v="Sarah Alves Lisboa"/>
    <s v="GRU"/>
    <x v="7"/>
    <x v="5"/>
    <s v="MARCOS ANTONIO LOURENÇO DE TOLEDO"/>
    <s v="MARCOS ANTONIO LOURENÇO DE TOLEDO"/>
    <m/>
    <s v="AUXILIO DOENÇA"/>
    <s v="Thaynara Borges"/>
    <n v="-21.73"/>
    <s v="Saída"/>
    <x v="0"/>
  </r>
  <r>
    <x v="22"/>
    <s v="Sarah Alves Lisboa"/>
    <s v="Limpeza"/>
    <x v="9"/>
    <x v="1"/>
    <s v="ELIZANGELA FERREIRA DA SILVA"/>
    <s v="ELIZANGELA FERREIRA DA SILVA"/>
    <m/>
    <m/>
    <s v="Thaynara Borges"/>
    <n v="-170"/>
    <s v="Saída"/>
    <x v="0"/>
  </r>
  <r>
    <x v="22"/>
    <s v="Lisboa e Lisboa"/>
    <s v="Cartão de Crédito Dr Ivanilldo"/>
    <x v="6"/>
    <x v="1"/>
    <s v="BANCO ITAU"/>
    <s v="BANCO ITAU"/>
    <m/>
    <m/>
    <s v="Thaynara Borges"/>
    <n v="-3379.88"/>
    <s v="Saída"/>
    <x v="3"/>
  </r>
  <r>
    <x v="23"/>
    <s v="Lisboa e Lisboa"/>
    <s v="Banner"/>
    <x v="3"/>
    <x v="1"/>
    <s v="Rhuan Carlos Batista"/>
    <s v="Rhuan Carlos Batista"/>
    <m/>
    <m/>
    <s v="Thaynara Borges"/>
    <n v="-30"/>
    <s v="Saída"/>
    <x v="0"/>
  </r>
  <r>
    <x v="23"/>
    <s v="Sarah Alves Lisboa"/>
    <s v="30% sobre implantação"/>
    <x v="2"/>
    <x v="2"/>
    <s v="GERENIAS GOMES DA SILVA"/>
    <s v="GERENIAS GOMES DA SILVA"/>
    <m/>
    <s v="BENEFÍCIO POR INCAPACIDADE"/>
    <s v="Thaynara Borges"/>
    <n v="1523.1"/>
    <s v="Entrada"/>
    <x v="1"/>
  </r>
  <r>
    <x v="23"/>
    <s v="Thaynara Borges Pereira"/>
    <s v="Honorários 25% sobre a parte encontrada (tirando parte da Vanessa)"/>
    <x v="2"/>
    <x v="2"/>
    <s v="PABLO CASSIO MENDES"/>
    <s v="PABLO CASSIO MENDES"/>
    <m/>
    <s v="INDENIZACAO POR DANOS MORAIS E MATERIAIS"/>
    <s v="Thaynara Borges"/>
    <n v="201.46"/>
    <s v="Entrada"/>
    <x v="1"/>
  </r>
  <r>
    <x v="23"/>
    <s v="Thaynara Borges Pereira"/>
    <s v="Parceria com Dr. Silvio"/>
    <x v="2"/>
    <x v="2"/>
    <s v="ANTONIO PEREIRA SOBRINHO"/>
    <s v="ANTONIO PEREIRA SOBRINHO"/>
    <m/>
    <m/>
    <s v="Thaynara Borges"/>
    <n v="354"/>
    <s v="Entrada"/>
    <x v="1"/>
  </r>
  <r>
    <x v="24"/>
    <s v="Lisboa e Lisboa"/>
    <s v="Telefone fixo e internet"/>
    <x v="8"/>
    <x v="1"/>
    <s v="VIVO"/>
    <s v="VIVO"/>
    <m/>
    <m/>
    <s v="Thaynara Borges"/>
    <n v="-367.84"/>
    <s v="Saída"/>
    <x v="0"/>
  </r>
  <r>
    <x v="24"/>
    <s v="Lisboa e Lisboa"/>
    <s v="Parcelas - honorários 3 benefícios"/>
    <x v="2"/>
    <x v="2"/>
    <s v="JOÃO BAREICHA FERREIRA GALVÃO"/>
    <s v="JOÃO BAREICHA FERREIRA GALVÃO"/>
    <m/>
    <s v="APOSENTADORIA"/>
    <s v="Thaynara Borges"/>
    <n v="1589.62"/>
    <s v="Entrada"/>
    <x v="1"/>
  </r>
  <r>
    <x v="25"/>
    <s v="Sarah Alves Lisboa"/>
    <s v="Celular"/>
    <x v="8"/>
    <x v="1"/>
    <s v="VIVO"/>
    <s v="VIVO"/>
    <m/>
    <m/>
    <s v="Thaynara Borges"/>
    <n v="-130.37"/>
    <s v="Saída"/>
    <x v="0"/>
  </r>
  <r>
    <x v="25"/>
    <s v="Lisboa e Lisboa"/>
    <s v="Cartão de Crédito Dra Sarah"/>
    <x v="6"/>
    <x v="1"/>
    <s v="BANCO ITAU"/>
    <s v="BANCO ITAU"/>
    <m/>
    <m/>
    <s v="Thaynara Borges"/>
    <n v="-308.25"/>
    <s v="Saída"/>
    <x v="3"/>
  </r>
  <r>
    <x v="26"/>
    <s v="Sarah Alves Lisboa"/>
    <s v="Tarifa Bancária"/>
    <x v="4"/>
    <x v="3"/>
    <s v="BANCO DO BRASIL S/A"/>
    <s v="BANCO DO BRASIL S/A"/>
    <m/>
    <m/>
    <s v="Thaynara Borges"/>
    <n v="-14.55"/>
    <s v="Saída"/>
    <x v="0"/>
  </r>
  <r>
    <x v="26"/>
    <s v="Lisboa e Lisboa"/>
    <s v="30% sobre os atrasados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12957.89"/>
    <s v="Entrada"/>
    <x v="1"/>
  </r>
  <r>
    <x v="26"/>
    <s v="Lisboa e Lisboa"/>
    <s v="Publicações Renio"/>
    <x v="12"/>
    <x v="1"/>
    <s v="PRO JURIDICO"/>
    <s v="PRO JURIDICO"/>
    <m/>
    <m/>
    <s v="Thaynara Borges"/>
    <n v="-100"/>
    <s v="Saída"/>
    <x v="0"/>
  </r>
  <r>
    <x v="26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6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26"/>
    <s v="Lisboa e Lisboa"/>
    <s v="IEL Estagiárias"/>
    <x v="13"/>
    <x v="6"/>
    <s v="IEL"/>
    <s v="IEL"/>
    <m/>
    <m/>
    <s v="Thaynara Borges"/>
    <n v="-200"/>
    <s v="Saída"/>
    <x v="0"/>
  </r>
  <r>
    <x v="26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6"/>
    <s v="Lisboa e Lisboa"/>
    <s v="50% dos atrasados (líquido, 10% da jainy)"/>
    <x v="2"/>
    <x v="2"/>
    <s v="MARIA DAS GRAÇAS MOREIRA DA SILVA"/>
    <s v="MARIA DAS GRAÇAS MOREIRA DA SILVA"/>
    <m/>
    <s v="APOSENTADORIA RURAL"/>
    <s v="Thaynara Borges"/>
    <n v="3438"/>
    <s v="Entrada"/>
    <x v="1"/>
  </r>
  <r>
    <x v="26"/>
    <s v="Lisboa e Lisboa"/>
    <s v="30% dos atrasados + 20% anuidade"/>
    <x v="2"/>
    <x v="2"/>
    <s v="MARIA APARECIDA DA COSTA DIAS"/>
    <s v="MARIA APARECIDA DA COSTA DIAS"/>
    <m/>
    <s v="AUXÍLIO DOENÇA RURAL"/>
    <s v="Thaynara Borges"/>
    <n v="11829.76"/>
    <s v="Entrada"/>
    <x v="1"/>
  </r>
  <r>
    <x v="26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6"/>
    <s v="Sarah Alves Lisboa"/>
    <s v="30% SOBRE A IMPLANTAÇÃO"/>
    <x v="2"/>
    <x v="2"/>
    <s v="ANA PEREIRA DA SILVA JESUS"/>
    <s v="ANA PEREIRA DA SILVA JESUS"/>
    <m/>
    <s v="AMPARA AO IDOSO"/>
    <s v="Thaynara Borges"/>
    <n v="1272.3"/>
    <s v="Entrada"/>
    <x v="1"/>
  </r>
  <r>
    <x v="27"/>
    <s v="Lisboa e Lisboa"/>
    <s v="Parcela Honorários Parceria"/>
    <x v="2"/>
    <x v="2"/>
    <s v="SONIA MARIA DA SILVA"/>
    <s v="SONIA MARIA DA SILVA"/>
    <m/>
    <s v="Defesa Cível - Parceria Dr Silvio"/>
    <s v="Thaynara Borges"/>
    <n v="450"/>
    <s v="Entrada"/>
    <x v="2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9"/>
    <s v="Lisboa e Lisboa"/>
    <s v="CONSULTA"/>
    <x v="2"/>
    <x v="2"/>
    <s v="DJEROWILSON ARAÚJO GONÇALVES"/>
    <s v="DJEROWILSON ARAÚJO GONÇALVES"/>
    <m/>
    <s v="ANÁLISE"/>
    <s v="Nathalia Louiz"/>
    <n v="400"/>
    <s v="Entrada"/>
    <x v="1"/>
  </r>
  <r>
    <x v="29"/>
    <s v="Sarah Alves Lisboa"/>
    <s v="Honorário de implantação"/>
    <x v="2"/>
    <x v="2"/>
    <s v="AMARILDO DE MOURA"/>
    <s v="AMARILDO DE MOURA"/>
    <m/>
    <s v="APOSENTADORIA"/>
    <s v="Thaynara Borges"/>
    <n v="1125"/>
    <s v="Entrada"/>
    <x v="1"/>
  </r>
  <r>
    <x v="30"/>
    <s v="Sarah Alves Lisboa"/>
    <s v="Cartão de Crédito Dra Thaynara"/>
    <x v="6"/>
    <x v="1"/>
    <s v="C6"/>
    <s v="C6"/>
    <m/>
    <m/>
    <s v="Thaynara Borges"/>
    <n v="-1012.15"/>
    <s v="Saída"/>
    <x v="3"/>
  </r>
  <r>
    <x v="30"/>
    <s v="Lisboa e Lisboa"/>
    <s v="Publicações aviso urgente"/>
    <x v="12"/>
    <x v="1"/>
    <s v="AVISO URGENTE T I LTDA"/>
    <s v="AVISO URGENTE T I LTDA"/>
    <m/>
    <m/>
    <s v="Thaynara Borges"/>
    <n v="-507.3"/>
    <s v="Saída"/>
    <x v="0"/>
  </r>
  <r>
    <x v="31"/>
    <s v="Sarah Alves Lisboa"/>
    <s v="SSD para computador da Nina"/>
    <x v="14"/>
    <x v="1"/>
    <s v="LISBOA E LISBOA ADVOGADOS ASSOCIADOS"/>
    <s v="LISBOA E LISBOA ADVOGADOS ASSOCIADOS"/>
    <m/>
    <m/>
    <s v="Nathalia Louiz"/>
    <n v="-244.32"/>
    <s v="Saída"/>
    <x v="0"/>
  </r>
  <r>
    <x v="32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33"/>
    <s v="Lisboa e Lisboa"/>
    <s v="Simples Nacional"/>
    <x v="20"/>
    <x v="7"/>
    <s v="Simples Nacional"/>
    <s v="Simples Nacional"/>
    <m/>
    <m/>
    <s v="Thaynara Borges"/>
    <n v="-3049.39"/>
    <s v="Saída"/>
    <x v="0"/>
  </r>
  <r>
    <x v="33"/>
    <s v="Thaynara Borges Pereira"/>
    <s v="Parceria com Dr. Silvio"/>
    <x v="2"/>
    <x v="2"/>
    <s v="ANTONIO PEREIRA SOBRINHO"/>
    <s v="ANTONIO PEREIRA SOBRINHO"/>
    <m/>
    <m/>
    <s v="Thaynara Borges"/>
    <n v="354"/>
    <s v="Entrada"/>
    <x v="2"/>
  </r>
  <r>
    <x v="33"/>
    <s v="Lisboa e Lisboa"/>
    <s v="Água"/>
    <x v="17"/>
    <x v="1"/>
    <s v="SANEAGO GOIAS S/A"/>
    <s v="SANEAGO GOIAS S/A"/>
    <m/>
    <m/>
    <s v="Thaynara Borges"/>
    <n v="-61.14"/>
    <s v="Saída"/>
    <x v="0"/>
  </r>
  <r>
    <x v="33"/>
    <s v="Lisboa e Lisboa"/>
    <s v="Anuidade - parceria com Dr Fernando"/>
    <x v="2"/>
    <x v="2"/>
    <s v="ELVIO DE OLIVEIRA SOARES"/>
    <s v="ELVIO DE OLIVEIRA SOARES"/>
    <m/>
    <s v="APOSENTADORIA POR IDADE"/>
    <s v="Thaynara Borges"/>
    <n v="211.8"/>
    <s v="Entrada"/>
    <x v="1"/>
  </r>
  <r>
    <x v="33"/>
    <s v="Lisboa e Lisboa"/>
    <s v="FGTS"/>
    <x v="18"/>
    <x v="6"/>
    <s v="Ministério do Trabalho e Emprego"/>
    <s v="Ministério do Trabalho e Emprego"/>
    <m/>
    <m/>
    <s v="Thaynara Borges"/>
    <n v="-415.96"/>
    <s v="Saída"/>
    <x v="0"/>
  </r>
  <r>
    <x v="33"/>
    <s v="Sarah Alves Lisboa"/>
    <s v="PIX para Gasolina - Sarah (Pleiteio de Cliente)"/>
    <x v="27"/>
    <x v="4"/>
    <s v="LISBOA E LISBOA ADVOGADOS ASSOCIADOS"/>
    <s v="LISBOA E LISBOA ADVOGADOS ASSOCIADOS"/>
    <s v="Enviado da conta BB Sarah para a conta Itaú Sarah"/>
    <m/>
    <s v="Nathalia Louiz"/>
    <n v="-70"/>
    <s v="Saída"/>
    <x v="0"/>
  </r>
  <r>
    <x v="33"/>
    <s v="Sarah Alves Lisboa"/>
    <s v="PIX PARA XEROX (Plenteio de cliente)"/>
    <x v="27"/>
    <x v="4"/>
    <s v="LISBOA E LISBOA ADVOGADOS ASSOCIADOS"/>
    <s v="LISBOA E LISBOA ADVOGADOS ASSOCIADOS"/>
    <s v="Enviado da conta BB Sarah para a conta Itaú Sarah"/>
    <m/>
    <s v="Nathalia Louiz"/>
    <n v="-30"/>
    <s v="Saída"/>
    <x v="0"/>
  </r>
  <r>
    <x v="33"/>
    <s v="Lisboa e Lisboa"/>
    <s v="INSS"/>
    <x v="19"/>
    <x v="6"/>
    <s v="Receita Federal"/>
    <s v="Receita Federal"/>
    <m/>
    <m/>
    <s v="Thaynara Borges"/>
    <n v="-1980.52"/>
    <s v="Saída"/>
    <x v="0"/>
  </r>
  <r>
    <x v="34"/>
    <s v="Sarah Alves Lisboa"/>
    <s v="Indicação para Dra. Karine Domingues"/>
    <x v="2"/>
    <x v="2"/>
    <s v="KESIA DA SILVA RIBEIRO"/>
    <s v="KESIA DA SILVA RIBEIRO"/>
    <m/>
    <m/>
    <s v="Thaynara Borges"/>
    <n v="270"/>
    <s v="Entrada"/>
    <x v="1"/>
  </r>
  <r>
    <x v="34"/>
    <s v="Lisboa e Lisboa"/>
    <s v="20% pela parceria com Dra. Nubia"/>
    <x v="2"/>
    <x v="2"/>
    <s v="GILNETH VIDAL DOS SANTOS"/>
    <s v="GILNETH VIDAL DOS SANTOS"/>
    <m/>
    <s v="ANALISAR PROCESSOS"/>
    <s v="Thaynara Borges"/>
    <n v="120"/>
    <s v="Entrada"/>
    <x v="2"/>
  </r>
  <r>
    <x v="34"/>
    <s v="Lisboa e Lisboa"/>
    <s v="Sucumbencia liquida, tirando Giuliano e Vanessa"/>
    <x v="2"/>
    <x v="2"/>
    <s v="LUCILENE DOMINGUES DE OLIVEIRA"/>
    <s v="LUCILENE DOMINGUES DE OLIVEIRA"/>
    <m/>
    <s v="PENSAO POR MORTE"/>
    <s v="Thaynara Borges"/>
    <n v="3674.98"/>
    <s v="Entrada"/>
    <x v="1"/>
  </r>
  <r>
    <x v="34"/>
    <s v="Sarah Alves Lisboa"/>
    <s v="Indicação para Dra. Karine Domingues"/>
    <x v="2"/>
    <x v="2"/>
    <s v="KESIA DA SILVA RIBEIRO"/>
    <s v="KESIA DA SILVA RIBEIRO"/>
    <m/>
    <m/>
    <s v="Thaynara Borges"/>
    <n v="270"/>
    <s v="Entrada"/>
    <x v="1"/>
  </r>
  <r>
    <x v="35"/>
    <s v="Sarah Alves Lisboa"/>
    <s v="30%  sobre atrasados"/>
    <x v="2"/>
    <x v="2"/>
    <s v="Jose Francisco Rodrigues da Silva"/>
    <s v="Jose Francisco Rodrigues da Silva"/>
    <s v="BB da Sarah"/>
    <s v="AUXILIO DOENÇA/ APOSENTADORIA POR INVALIDEZ"/>
    <s v="Thaynara Borges"/>
    <n v="616.44000000000005"/>
    <s v="Entrada"/>
    <x v="1"/>
  </r>
  <r>
    <x v="36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36"/>
    <s v="Lisboa e Lisboa"/>
    <s v="MANUTENÇÃO DO ESCRITORIO (vazamentos hidráulicos)"/>
    <x v="14"/>
    <x v="1"/>
    <s v="LISBOA E LISBOA ADVOGADOS ASSOCIADOS"/>
    <s v="LISBOA E LISBOA ADVOGADOS ASSOCIADOS"/>
    <s v="PIX para IDEAL DEDETIZADORA E DESENTUPIDORA"/>
    <m/>
    <s v="Nathalia Louiz"/>
    <n v="-150"/>
    <s v="Saída"/>
    <x v="0"/>
  </r>
  <r>
    <x v="37"/>
    <s v="Lisboa e Lisboa"/>
    <s v="CUSTAS EXECUÇÃO ESPÓLIO REGINALDO"/>
    <x v="7"/>
    <x v="5"/>
    <s v="ESPÓLIO DE REGINALDO DE SOUZA LIRA"/>
    <s v="ESPÓLIO DE REGINALDO DE SOUZA LIRA"/>
    <m/>
    <s v="ESPÓLIO DE REGINALDO DE SOUZA LIRA x A DEFINIR"/>
    <s v="Nathalia Louiz"/>
    <n v="-132.99"/>
    <s v="Saída"/>
    <x v="0"/>
  </r>
  <r>
    <x v="37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38"/>
    <s v="Sarah Alves Lisboa"/>
    <s v="Parcelas anuidade"/>
    <x v="2"/>
    <x v="2"/>
    <s v="JOSE NILTON FERREIRA DE SOUZA"/>
    <s v="JOSE NILTON FERREIRA DE SOUZA"/>
    <m/>
    <s v="APOSENTADORIA POR IDADE"/>
    <s v="Thaynara Borges"/>
    <n v="282.39999999999998"/>
    <s v="Entrada"/>
    <x v="1"/>
  </r>
  <r>
    <x v="38"/>
    <s v="Lisboa e Lisboa"/>
    <s v="Suprimentos para o Escritório"/>
    <x v="26"/>
    <x v="1"/>
    <s v="LISBOA E LISBOA ADVOGADOS ASSOCIADOS"/>
    <s v="LISBOA E LISBOA ADVOGADOS ASSOCIADOS"/>
    <s v="Boleto agendado"/>
    <m/>
    <s v="Nathalia Louiz"/>
    <n v="-340.6"/>
    <s v="Saída"/>
    <x v="0"/>
  </r>
  <r>
    <x v="38"/>
    <s v="Lisboa e Lisboa"/>
    <s v="30% sobre os atrasados"/>
    <x v="2"/>
    <x v="2"/>
    <s v="FABIANO MAGNO CESAR"/>
    <s v="FABIANO MAGNO CESAR"/>
    <m/>
    <s v="AUXILIO DOENÇA"/>
    <s v="Thaynara Borges"/>
    <n v="14421.52"/>
    <s v="Entrada"/>
    <x v="1"/>
  </r>
  <r>
    <x v="38"/>
    <s v="Lisboa e Lisboa"/>
    <s v="Energia"/>
    <x v="21"/>
    <x v="1"/>
    <s v="EQUATORIAL GOIAS"/>
    <s v="EQUATORIAL GOIAS"/>
    <m/>
    <m/>
    <s v="Thaynara Borges"/>
    <n v="-720.51"/>
    <s v="Saída"/>
    <x v="0"/>
  </r>
  <r>
    <x v="39"/>
    <s v="Thaynara Borges Pereira"/>
    <s v="Diferença ref.: 3 Benefícios parcelados"/>
    <x v="2"/>
    <x v="2"/>
    <s v="ANA ELIA DE SOUZA MANSE"/>
    <s v="ANA ELIA DE SOUZA MANSE"/>
    <s v="Recebimento parcial"/>
    <s v="PENSÃO POR MORTE"/>
    <s v="Thaynara Borges"/>
    <n v="410"/>
    <s v="Entrada"/>
    <x v="1"/>
  </r>
  <r>
    <x v="39"/>
    <s v="Thaynara Borges Pereira"/>
    <s v="Diferença ref.: 3 Benefícios parcelados"/>
    <x v="2"/>
    <x v="2"/>
    <s v="ANA ELIA DE SOUZA MANSE"/>
    <s v="ANA ELIA DE SOUZA MANSE"/>
    <m/>
    <s v="PENSÃO POR MORTE"/>
    <s v="Thaynara Borges"/>
    <n v="59"/>
    <s v="Entrada"/>
    <x v="1"/>
  </r>
  <r>
    <x v="40"/>
    <s v="Lisboa e Lisboa"/>
    <s v="Salario"/>
    <x v="15"/>
    <x v="6"/>
    <s v="Nina Araujo"/>
    <s v="Nina Araujo"/>
    <m/>
    <m/>
    <s v="Thaynara Borges"/>
    <n v="-3195.89"/>
    <s v="Saída"/>
    <x v="0"/>
  </r>
  <r>
    <x v="40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40"/>
    <s v="Lisboa e Lisboa"/>
    <s v="Retirada"/>
    <x v="22"/>
    <x v="8"/>
    <s v="Thaynara Borges Pereira"/>
    <s v="Thaynara Borges Pereira"/>
    <m/>
    <m/>
    <s v="Thaynara Borges"/>
    <n v="-3648.98"/>
    <s v="Saída"/>
    <x v="0"/>
  </r>
  <r>
    <x v="40"/>
    <s v="Sarah Alves Lisboa"/>
    <s v="Salário - Parcial"/>
    <x v="15"/>
    <x v="6"/>
    <s v="Nathalia Louiz Alves Vigilato"/>
    <s v="Nathalia Louiz Alves Vigilato"/>
    <m/>
    <m/>
    <s v="Nathalia Louiz"/>
    <n v="-930.39"/>
    <s v="Saída"/>
    <x v="0"/>
  </r>
  <r>
    <x v="40"/>
    <s v="Lisboa e Lisboa"/>
    <s v="Bolsa Estagio"/>
    <x v="13"/>
    <x v="6"/>
    <s v="ISABELLA ALVIM BIACHINI"/>
    <s v="ISABELLA ALVIM BIACHINI"/>
    <m/>
    <m/>
    <s v="Thaynara Borges"/>
    <n v="-1300"/>
    <s v="Saída"/>
    <x v="0"/>
  </r>
  <r>
    <x v="40"/>
    <s v="Lisboa e Lisboa"/>
    <s v="Retirada"/>
    <x v="22"/>
    <x v="8"/>
    <s v="Sarah Alves Lisboa"/>
    <s v="Sarah Alves Lisboa"/>
    <m/>
    <m/>
    <s v="Thaynara Borges"/>
    <n v="-6148.98"/>
    <s v="Saída"/>
    <x v="0"/>
  </r>
  <r>
    <x v="40"/>
    <s v="Lisboa e Lisboa"/>
    <s v="Pro labore"/>
    <x v="23"/>
    <x v="8"/>
    <s v="Thaynara Borges Pereira"/>
    <s v="Thaynara Borges Pereira"/>
    <m/>
    <m/>
    <s v="Thaynara Borges"/>
    <n v="-1351.02"/>
    <s v="Saída"/>
    <x v="0"/>
  </r>
  <r>
    <x v="40"/>
    <s v="Lisboa e Lisboa"/>
    <s v="Pro labore"/>
    <x v="23"/>
    <x v="8"/>
    <s v="Sarah Alves Lisboa"/>
    <s v="Sarah Alves Lisboa"/>
    <m/>
    <m/>
    <s v="Thaynara Borges"/>
    <n v="-1351.02"/>
    <s v="Saída"/>
    <x v="0"/>
  </r>
  <r>
    <x v="40"/>
    <s v="Lisboa e Lisboa"/>
    <s v="Bolsa Estagio"/>
    <x v="13"/>
    <x v="6"/>
    <s v="Laura Barbosa Marques"/>
    <s v="Laura Barbosa Marques"/>
    <m/>
    <m/>
    <s v="Thaynara Borges"/>
    <n v="-1300"/>
    <s v="Saída"/>
    <x v="0"/>
  </r>
  <r>
    <x v="40"/>
    <s v="Sarah Alves Lisboa"/>
    <s v="Salario"/>
    <x v="15"/>
    <x v="6"/>
    <s v="Raffaela Nunes"/>
    <s v="Raffaela Nunes"/>
    <m/>
    <m/>
    <s v="Thaynara Borges"/>
    <n v="-2200"/>
    <s v="Saída"/>
    <x v="0"/>
  </r>
  <r>
    <x v="41"/>
    <s v="Cartão de Crédito Dr Ivanildo"/>
    <s v="Google One"/>
    <x v="12"/>
    <x v="1"/>
    <s v="BANCO ITAU"/>
    <s v="BANCO ITAU"/>
    <m/>
    <m/>
    <s v="Thaynara Borges"/>
    <n v="-38.99"/>
    <s v="Saída"/>
    <x v="0"/>
  </r>
  <r>
    <x v="41"/>
    <s v="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41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41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41"/>
    <s v="Cartão de Crédito Dra Thaynara"/>
    <s v="GOOGLE GSUITE_PREVLEX."/>
    <x v="12"/>
    <x v="1"/>
    <s v="C6"/>
    <s v="C6"/>
    <m/>
    <m/>
    <s v="Thaynara Borges"/>
    <n v="-126"/>
    <s v="Saída"/>
    <x v="0"/>
  </r>
  <r>
    <x v="41"/>
    <s v="Cartão de Crédito Dr Ivanildo"/>
    <s v="Jusbrasil"/>
    <x v="12"/>
    <x v="1"/>
    <s v="BANCO ITAU"/>
    <s v="BANCO ITAU"/>
    <m/>
    <m/>
    <s v="Thaynara Borges"/>
    <n v="-58.9"/>
    <s v="Saída"/>
    <x v="0"/>
  </r>
  <r>
    <x v="41"/>
    <s v="Cartão de Crédito Dr Ivanildo"/>
    <s v="Canaã Frios"/>
    <x v="11"/>
    <x v="1"/>
    <s v="BANCO ITAU"/>
    <s v="BANCO ITAU"/>
    <m/>
    <m/>
    <s v="Nathalia Louiz"/>
    <n v="-41.08"/>
    <s v="Saída"/>
    <x v="0"/>
  </r>
  <r>
    <x v="41"/>
    <s v="Cartão de Crédito Dr Ivanildo"/>
    <s v="Pagamento Cartão de Crédito Dr Ivanildo"/>
    <x v="6"/>
    <x v="1"/>
    <s v="BANCO ITAU"/>
    <s v="BANCO ITAU"/>
    <m/>
    <m/>
    <s v="Thaynara Borges"/>
    <n v="2474.3000000000002"/>
    <s v="Entrada"/>
    <x v="1"/>
  </r>
  <r>
    <x v="41"/>
    <s v="Cartão de Crédito Dr Ivanildo"/>
    <s v="Google One"/>
    <x v="12"/>
    <x v="1"/>
    <s v="BANCO ITAU"/>
    <s v="BANCO ITAU"/>
    <m/>
    <m/>
    <s v="Thaynara Borges"/>
    <n v="-11.99"/>
    <s v="Saída"/>
    <x v="0"/>
  </r>
  <r>
    <x v="41"/>
    <s v="Sarah Alves Lisboa"/>
    <s v="Parcela Honorários Parceria"/>
    <x v="2"/>
    <x v="2"/>
    <s v="SONIA MARIA DA SILVA"/>
    <s v="SONIA MARIA DA SILVA"/>
    <m/>
    <s v="Defesa Cível - Parceria Dr Silvio"/>
    <s v="Thaynara Borges"/>
    <n v="450"/>
    <s v="Entrada"/>
    <x v="1"/>
  </r>
  <r>
    <x v="41"/>
    <s v="Cartão de Crédito Dr Ivanildo"/>
    <s v="Moreira"/>
    <x v="26"/>
    <x v="1"/>
    <s v="BANCO ITAU"/>
    <s v="BANCO ITAU"/>
    <m/>
    <m/>
    <s v="Nathalia Louiz"/>
    <n v="-198.48"/>
    <s v="Saída"/>
    <x v="0"/>
  </r>
  <r>
    <x v="41"/>
    <s v="Cartão de Crédito Dra Thaynara"/>
    <s v="ASTREA"/>
    <x v="12"/>
    <x v="1"/>
    <s v="C6"/>
    <s v="C6"/>
    <m/>
    <m/>
    <s v="Thaynara Borges"/>
    <n v="-456.75"/>
    <s v="Saída"/>
    <x v="0"/>
  </r>
  <r>
    <x v="41"/>
    <s v="Cartão de Crédito Dr Ivanildo"/>
    <s v="Previdenciarista"/>
    <x v="12"/>
    <x v="1"/>
    <s v="BANCO ITAU"/>
    <s v="BANCO ITAU"/>
    <m/>
    <m/>
    <s v="Thaynara Borges"/>
    <n v="-99.9"/>
    <s v="Saída"/>
    <x v="0"/>
  </r>
  <r>
    <x v="41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41"/>
    <s v="Sarah Alves Lisboa"/>
    <s v="Honorários contratuais + sucumbência"/>
    <x v="2"/>
    <x v="2"/>
    <s v="PABLO CASSIO MENDES"/>
    <s v="PABLO CASSIO MENDES"/>
    <m/>
    <s v="INDENIZACAO POR DANOS MORAIS E MATERIAIS"/>
    <s v="Thaynara Borges"/>
    <n v="6125"/>
    <s v="Entrada"/>
    <x v="1"/>
  </r>
  <r>
    <x v="41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41"/>
    <s v="Thaynara Borges Pereira"/>
    <s v="Parcelamento em 7x"/>
    <x v="2"/>
    <x v="2"/>
    <s v="MARIA DA SILVA NOGUEIRA"/>
    <s v="MARIA DA SILVA NOGUEIRA"/>
    <m/>
    <s v="Maria da Silva Nogueira x Nathalia dos Santos Nogueira"/>
    <s v="Thaynara Borges"/>
    <n v="250"/>
    <s v="Entrada"/>
    <x v="1"/>
  </r>
  <r>
    <x v="41"/>
    <s v="Lisboa e Lisboa"/>
    <s v="30% da implantação do adicional de 25%. Será descontado na RPV."/>
    <x v="2"/>
    <x v="2"/>
    <s v="SANDRA MARIA SOARES"/>
    <s v="SANDRA MARIA SOARES"/>
    <m/>
    <s v="RESTABELECIMENTO AUXILIO DOENÇA"/>
    <s v="Thaynara Borges"/>
    <n v="317.7"/>
    <s v="Entrada"/>
    <x v="2"/>
  </r>
  <r>
    <x v="41"/>
    <s v="Cartão de Crédito Dra Thaynara"/>
    <s v="Cálculo Jurídico"/>
    <x v="12"/>
    <x v="1"/>
    <s v="C6"/>
    <s v="C6"/>
    <m/>
    <m/>
    <s v="Thaynara Borges"/>
    <n v="-120.29"/>
    <s v="Saída"/>
    <x v="0"/>
  </r>
  <r>
    <x v="41"/>
    <s v="Cartão de Crédito Dra Thaynara"/>
    <s v="APPLE.COM/BILL - Assinatura Teleprompter"/>
    <x v="27"/>
    <x v="4"/>
    <s v="C6"/>
    <s v="C6"/>
    <m/>
    <m/>
    <s v="Thaynara Borges"/>
    <n v="-99.9"/>
    <s v="Saída"/>
    <x v="0"/>
  </r>
  <r>
    <x v="41"/>
    <s v="Cartão de Crédito Dr Ivanildo"/>
    <s v="Cestas de fim de ano para equipe"/>
    <x v="11"/>
    <x v="1"/>
    <s v="BANCO ITAU"/>
    <s v="BANCO ITAU"/>
    <m/>
    <m/>
    <s v="Thaynara Borges"/>
    <n v="-725"/>
    <s v="Saída"/>
    <x v="0"/>
  </r>
  <r>
    <x v="41"/>
    <s v="Sarah Alves Lisboa"/>
    <s v="Parcela Honorários Parceria"/>
    <x v="2"/>
    <x v="2"/>
    <s v="SONIA MARIA DA SILVA"/>
    <s v="SONIA MARIA DA SILVA"/>
    <m/>
    <s v="Defesa Cível - Parceria Dr Silvio"/>
    <s v="Thaynara Borges"/>
    <n v="450"/>
    <s v="Entrada"/>
    <x v="1"/>
  </r>
  <r>
    <x v="41"/>
    <s v="Cartão de Crédito Dr Ivanildo"/>
    <s v="Canaã Frios"/>
    <x v="11"/>
    <x v="1"/>
    <s v="BANCO ITAU"/>
    <s v="BANCO ITAU"/>
    <m/>
    <m/>
    <s v="Nathalia Louiz"/>
    <n v="-41.1"/>
    <s v="Saída"/>
    <x v="0"/>
  </r>
  <r>
    <x v="41"/>
    <s v="Cartão de Crédito Dr Ivanildo"/>
    <s v="Pão de açúcar"/>
    <x v="26"/>
    <x v="1"/>
    <s v="BANCO ITAU"/>
    <s v="BANCO ITAU"/>
    <m/>
    <m/>
    <s v="Nathalia Louiz"/>
    <n v="-412.91"/>
    <s v="Saída"/>
    <x v="0"/>
  </r>
  <r>
    <x v="41"/>
    <s v="Cartão de Crédito Dr Ivanildo"/>
    <s v="Pequenas Coisas"/>
    <x v="26"/>
    <x v="1"/>
    <s v="BANCO ITAU"/>
    <s v="BANCO ITAU"/>
    <m/>
    <m/>
    <s v="Nathalia Louiz"/>
    <n v="-269"/>
    <s v="Saída"/>
    <x v="0"/>
  </r>
  <r>
    <x v="41"/>
    <s v="Cartão de Crédito Dr Ivanildo"/>
    <s v="Jusbrasil"/>
    <x v="12"/>
    <x v="1"/>
    <s v="BANCO ITAU"/>
    <s v="BANCO ITAU"/>
    <m/>
    <m/>
    <s v="Thaynara Borges"/>
    <n v="-58.9"/>
    <s v="Saída"/>
    <x v="0"/>
  </r>
  <r>
    <x v="41"/>
    <s v="Cartão de Crédito Dr Ivanildo"/>
    <s v="Papelaria"/>
    <x v="26"/>
    <x v="1"/>
    <s v="BANCO ITAU"/>
    <s v="BANCO ITAU"/>
    <m/>
    <m/>
    <s v="Nathalia Louiz"/>
    <n v="-84"/>
    <s v="Saída"/>
    <x v="0"/>
  </r>
  <r>
    <x v="41"/>
    <s v="Cartão de Crédito Dra Thaynara"/>
    <s v="Pagamento Cartão de Crédito Dra Thaynara"/>
    <x v="6"/>
    <x v="1"/>
    <s v="C6"/>
    <s v="C6"/>
    <m/>
    <m/>
    <s v="Nathalia Louiz"/>
    <n v="1112.05"/>
    <s v="Entrada"/>
    <x v="1"/>
  </r>
  <r>
    <x v="41"/>
    <s v="Cartão de Crédito Dr Ivanildo"/>
    <s v="Prévius"/>
    <x v="12"/>
    <x v="1"/>
    <s v="BANCO ITAU"/>
    <s v="BANCO ITAU"/>
    <m/>
    <m/>
    <s v="Thaynara Borges"/>
    <n v="-80.91"/>
    <s v="Saída"/>
    <x v="0"/>
  </r>
  <r>
    <x v="41"/>
    <s v="Cartão de Crédito Dra Thaynara"/>
    <s v="ASA*TRINDADE AMADO PRO (Curso de atualização previdenciária)"/>
    <x v="12"/>
    <x v="1"/>
    <s v="C6"/>
    <s v="C6"/>
    <m/>
    <m/>
    <s v="Thaynara Borges"/>
    <n v="-59.9"/>
    <s v="Saída"/>
    <x v="0"/>
  </r>
  <r>
    <x v="42"/>
    <s v="Sarah Alves Lisboa"/>
    <s v="3 Benefícios em Parcela Única"/>
    <x v="2"/>
    <x v="2"/>
    <s v="AMARILDO DE MOURA"/>
    <s v="AMARILDO DE MOURA"/>
    <m/>
    <m/>
    <s v="Nathalia Louiz"/>
    <n v="5891.37"/>
    <s v="Entrada"/>
    <x v="1"/>
  </r>
  <r>
    <x v="42"/>
    <s v="Lisboa e Lisboa"/>
    <s v="Serviços TI e Marketing"/>
    <x v="3"/>
    <x v="1"/>
    <s v="Rhuan Carlos Batista"/>
    <s v="Rhuan Carlos Batista"/>
    <m/>
    <m/>
    <s v="Thaynara Borges"/>
    <n v="-460"/>
    <s v="Saída"/>
    <x v="0"/>
  </r>
  <r>
    <x v="42"/>
    <s v="Lisboa e Lisboa"/>
    <s v="Plano mensal - conta corrente"/>
    <x v="4"/>
    <x v="3"/>
    <s v="BANCO ITAU"/>
    <s v="BANCO ITAU"/>
    <m/>
    <m/>
    <s v="Thaynara Borges"/>
    <n v="-69.5"/>
    <s v="Saída"/>
    <x v="0"/>
  </r>
  <r>
    <x v="42"/>
    <s v="Sarah Alves Lisboa"/>
    <s v="ANUIDADE 12X"/>
    <x v="2"/>
    <x v="2"/>
    <s v="ANA PEREIRA DA SILVA JESUS"/>
    <s v="ANA PEREIRA DA SILVA JESUS"/>
    <m/>
    <s v="AMPARA AO IDOSO"/>
    <s v="Nathalia Louiz"/>
    <n v="303.60000000000002"/>
    <s v="Entrada"/>
    <x v="1"/>
  </r>
  <r>
    <x v="43"/>
    <s v="Lisboa e Lisboa"/>
    <s v="Condomínio"/>
    <x v="10"/>
    <x v="1"/>
    <s v="ATON BUSINESS STYLE"/>
    <s v="ATON BUSINESS STYLE"/>
    <m/>
    <m/>
    <s v="Thaynara Borges"/>
    <n v="-3015.68"/>
    <s v="Saída"/>
    <x v="0"/>
  </r>
  <r>
    <x v="43"/>
    <s v="Lisboa e Lisboa"/>
    <s v="Cartão de Crédito Dr Ivanilldo"/>
    <x v="6"/>
    <x v="1"/>
    <s v="BANCO ITAU"/>
    <s v="BANCO ITAU"/>
    <m/>
    <m/>
    <s v="Thaynara Borges"/>
    <n v="-2474.3000000000002"/>
    <s v="Saída"/>
    <x v="0"/>
  </r>
  <r>
    <x v="43"/>
    <s v="Thaynara Borges Pereira"/>
    <s v="Diferença ref.: 3 Benefícios parcelados"/>
    <x v="2"/>
    <x v="2"/>
    <s v="ANA ELIA DE SOUZA MANSE"/>
    <s v="ANA ELIA DE SOUZA MANSE"/>
    <m/>
    <s v="PENSÃO POR MORTE"/>
    <s v="Thaynara Borges"/>
    <n v="159"/>
    <s v="Entrada"/>
    <x v="1"/>
  </r>
  <r>
    <x v="43"/>
    <s v="Sarah Alves Lisboa"/>
    <s v="Comissão de meta batida - Janeiro"/>
    <x v="28"/>
    <x v="7"/>
    <s v="Thaynara Borges Pereira"/>
    <s v="Thaynara Borges Pereira"/>
    <m/>
    <m/>
    <s v="Nathalia Louiz"/>
    <n v="-100"/>
    <s v="Saída"/>
    <x v="0"/>
  </r>
  <r>
    <x v="43"/>
    <s v="Thaynara Borges Pereira"/>
    <s v="Diferença ref.: 3 Benefícios parcelados"/>
    <x v="2"/>
    <x v="2"/>
    <s v="ANA ELIA DE SOUZA MANSE"/>
    <s v="ANA ELIA DE SOUZA MANSE"/>
    <m/>
    <s v="PENSÃO POR MORTE"/>
    <s v="Thaynara Borges"/>
    <n v="59"/>
    <s v="Entrada"/>
    <x v="1"/>
  </r>
  <r>
    <x v="43"/>
    <s v="Sarah Alves Lisboa"/>
    <s v="Comissão de meta batida - Janeiro"/>
    <x v="28"/>
    <x v="7"/>
    <s v="ISABELLA ALVIM BIACHINI"/>
    <s v="ISABELLA ALVIM BIACHINI"/>
    <m/>
    <m/>
    <s v="Nathalia Louiz"/>
    <n v="-100"/>
    <s v="Saída"/>
    <x v="0"/>
  </r>
  <r>
    <x v="43"/>
    <s v="Lisboa e Lisboa"/>
    <s v="IPTU - SALA B73"/>
    <x v="29"/>
    <x v="1"/>
    <s v="PREFEITURA MUNICIPAL DE GOIÂNIA"/>
    <s v="PREFEITURA MUNICIPAL DE GOIÂNIA"/>
    <m/>
    <m/>
    <s v="Nathalia Louiz"/>
    <n v="-1242.7"/>
    <s v="Saída"/>
    <x v="0"/>
  </r>
  <r>
    <x v="43"/>
    <s v="Lisboa e Lisboa"/>
    <s v="2 Benefícios parcelados em 6x"/>
    <x v="2"/>
    <x v="2"/>
    <s v="ISABEL PEREIRA SOUSA"/>
    <s v="ISABEL PEREIRA SOUSA"/>
    <m/>
    <s v="APOSENTADORIA POR IDADE"/>
    <s v="Thaynara Borges"/>
    <n v="500"/>
    <s v="Entrada"/>
    <x v="1"/>
  </r>
  <r>
    <x v="43"/>
    <s v="Sarah Alves Lisboa"/>
    <s v="Comissão de meta batida - Janeiro"/>
    <x v="28"/>
    <x v="7"/>
    <s v="Laura Barbosa Marques"/>
    <s v="Laura Barbosa Marques"/>
    <m/>
    <m/>
    <s v="Nathalia Louiz"/>
    <n v="-100"/>
    <s v="Saída"/>
    <x v="0"/>
  </r>
  <r>
    <x v="43"/>
    <s v="Sarah Alves Lisboa"/>
    <s v="Comissão de meta batida - Janeiro"/>
    <x v="28"/>
    <x v="7"/>
    <s v="Sarah Alves Lisboa"/>
    <s v="Sarah Alves Lisboa"/>
    <m/>
    <m/>
    <s v="Nathalia Louiz"/>
    <n v="-100"/>
    <s v="Saída"/>
    <x v="0"/>
  </r>
  <r>
    <x v="43"/>
    <s v="Sarah Alves Lisboa"/>
    <s v="Comissão de meta batida - Janeiro"/>
    <x v="28"/>
    <x v="7"/>
    <s v="Raffaela Nunes"/>
    <s v="Raffaela Nunes"/>
    <m/>
    <m/>
    <s v="Nathalia Louiz"/>
    <n v="-100"/>
    <s v="Saída"/>
    <x v="0"/>
  </r>
  <r>
    <x v="43"/>
    <s v="Sarah Alves Lisboa"/>
    <s v="Comissão de meta batida - Janeiro"/>
    <x v="28"/>
    <x v="7"/>
    <s v="EVANILZA ARAUJO MORAES"/>
    <s v="EVANILZA ARAUJO MORAES"/>
    <m/>
    <m/>
    <s v="Nathalia Louiz"/>
    <n v="-100"/>
    <s v="Saída"/>
    <x v="0"/>
  </r>
  <r>
    <x v="43"/>
    <s v="Thaynara Borges Pereira"/>
    <s v="Diferença ref.: 3 Benefícios parcelados"/>
    <x v="2"/>
    <x v="2"/>
    <s v="ANA ELIA DE SOUZA MANSE"/>
    <s v="ANA ELIA DE SOUZA MANSE"/>
    <m/>
    <s v="PENSÃO POR MORTE"/>
    <s v="Thaynara Borges"/>
    <n v="149"/>
    <s v="Entrada"/>
    <x v="1"/>
  </r>
  <r>
    <x v="44"/>
    <s v="Lisboa e Lisboa"/>
    <s v="Celular"/>
    <x v="8"/>
    <x v="1"/>
    <s v="VIVO"/>
    <s v="VIVO"/>
    <m/>
    <m/>
    <s v="Thaynara Borges"/>
    <n v="-130.37"/>
    <s v="Saída"/>
    <x v="0"/>
  </r>
  <r>
    <x v="44"/>
    <s v="Sarah Alves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1"/>
  </r>
  <r>
    <x v="45"/>
    <s v="Sarah Alves Lisboa"/>
    <s v="30% sobre o 1º pagamento"/>
    <x v="2"/>
    <x v="2"/>
    <s v="MARINA MARIA DA CRUZ BARRETO"/>
    <s v="MARINA MARIA DA CRUZ BARRETO"/>
    <m/>
    <s v="BENEFÍCIO POR INCAPACIDADE"/>
    <s v="Thaynara Borges"/>
    <n v="488.05"/>
    <s v="Entrada"/>
    <x v="1"/>
  </r>
  <r>
    <x v="45"/>
    <s v="Sarah Alves Lisboa"/>
    <s v="Diárias - limpeza"/>
    <x v="9"/>
    <x v="1"/>
    <s v="ELIZANGELA FERREIRA DA SILVA"/>
    <s v="ELIZANGELA FERREIRA DA SILVA"/>
    <m/>
    <m/>
    <s v="Thaynara Borges"/>
    <n v="-340"/>
    <s v="Saída"/>
    <x v="0"/>
  </r>
  <r>
    <x v="45"/>
    <s v="Lisboa e Lisboa"/>
    <s v="Anuidade OAB de Sarah"/>
    <x v="30"/>
    <x v="9"/>
    <s v="OAB"/>
    <s v="OAB"/>
    <s v="Pago pela conta Lisboa"/>
    <m/>
    <s v="Nathalia Louiz"/>
    <n v="-1015.42"/>
    <s v="Saída"/>
    <x v="0"/>
  </r>
  <r>
    <x v="45"/>
    <s v="Lisboa e Lisboa"/>
    <s v="Anuidade OAB Thaynara"/>
    <x v="30"/>
    <x v="9"/>
    <s v="OAB"/>
    <s v="OAB"/>
    <s v="Pago pela conta Lisboa"/>
    <m/>
    <s v="Nathalia Louiz"/>
    <n v="-1015.42"/>
    <s v="Saída"/>
    <x v="0"/>
  </r>
  <r>
    <x v="46"/>
    <s v="Sarah Alves Lisboa"/>
    <s v="Tarifa Bancária"/>
    <x v="4"/>
    <x v="3"/>
    <s v="BANCO DO BRASIL S/A"/>
    <s v="BANCO DO BRASIL S/A"/>
    <m/>
    <m/>
    <s v="Thaynara Borges"/>
    <n v="-14.55"/>
    <s v="Saída"/>
    <x v="0"/>
  </r>
  <r>
    <x v="46"/>
    <s v="Lisboa e Lisboa"/>
    <s v="Publicações Renio"/>
    <x v="12"/>
    <x v="1"/>
    <s v="PRO JURIDICO"/>
    <s v="PRO JURIDICO"/>
    <m/>
    <m/>
    <s v="Thaynara Borges"/>
    <n v="-100"/>
    <s v="Saída"/>
    <x v="0"/>
  </r>
  <r>
    <x v="46"/>
    <s v="Lisboa e Lisboa"/>
    <s v="Telefone fixo e internet"/>
    <x v="8"/>
    <x v="1"/>
    <s v="VIVO"/>
    <s v="VIVO"/>
    <m/>
    <m/>
    <s v="Thaynara Borges"/>
    <n v="-371.57"/>
    <s v="Saída"/>
    <x v="0"/>
  </r>
  <r>
    <x v="46"/>
    <s v="Lisboa e Lisboa"/>
    <s v="IEL Estagiárias"/>
    <x v="13"/>
    <x v="6"/>
    <s v="IEL"/>
    <s v="IEL"/>
    <m/>
    <m/>
    <s v="Thaynara Borges"/>
    <n v="-100"/>
    <s v="Saída"/>
    <x v="0"/>
  </r>
  <r>
    <x v="47"/>
    <s v="Sarah Alves Lisboa"/>
    <s v="30% da implantação"/>
    <x v="2"/>
    <x v="2"/>
    <s v="JULIANA VILELA DA PAIXÃO"/>
    <s v="JULIANA VILELA DA PAIXÃO"/>
    <m/>
    <s v="BENEFÍCIO POR INCAPACIDADE"/>
    <s v="Nathalia Louiz"/>
    <n v="545.24"/>
    <s v="Entrada"/>
    <x v="1"/>
  </r>
  <r>
    <x v="48"/>
    <s v="Lisboa e Lisboa"/>
    <s v="EXTINTOR DE INCENDIO"/>
    <x v="14"/>
    <x v="1"/>
    <s v="ABSAIR MANOEL LAZARO"/>
    <s v="ABSAIR MANOEL LAZARO"/>
    <m/>
    <m/>
    <s v="Nathalia Louiz"/>
    <n v="-70"/>
    <s v="Saída"/>
    <x v="0"/>
  </r>
  <r>
    <x v="48"/>
    <s v="Lisboa e Lisboa"/>
    <s v="CUSTAS EXECUÇÃO 5917080-42.2024.8.09.0051"/>
    <x v="7"/>
    <x v="5"/>
    <s v="ESPÓLIO DE REGINALDO DE SOUZA LIRA"/>
    <s v="ESPÓLIO DE REGINALDO DE SOUZA LIRA"/>
    <m/>
    <s v="AÇÃO ACIDENTÁRIA (RESTABELECIMENTO DE AUXÍLIO-DOENÇA/CONCESSÃO DE AUXÍLIO-ACIDENTE/AP. POR INVALIDEZ"/>
    <s v="Thaynara Borges"/>
    <n v="-76.239999999999995"/>
    <s v="Saída"/>
    <x v="0"/>
  </r>
  <r>
    <x v="48"/>
    <s v="Sarah Alves Lisboa"/>
    <s v="Honorários de sucumbência"/>
    <x v="2"/>
    <x v="2"/>
    <s v="HELENA CRISTINA DE MELO"/>
    <s v="HELENA CRISTINA DE MELO"/>
    <m/>
    <s v="APOSENTADORIA POR INVALIDEZ OU RESTABELECIMENTO DE AUXILIO-DOENÇA"/>
    <s v="Thaynara Borges"/>
    <n v="7261.27"/>
    <s v="Entrada"/>
    <x v="1"/>
  </r>
  <r>
    <x v="49"/>
    <s v="Sarah Alves Lisboa"/>
    <s v="HONORÁRIOS PERITO"/>
    <x v="7"/>
    <x v="5"/>
    <s v="SUELLEN DE JESUS LIMA"/>
    <s v="SUELLEN DE JESUS LIMA"/>
    <m/>
    <s v="AUXILIO ACIDENTE"/>
    <s v="Thaynara Borges"/>
    <n v="-230"/>
    <s v="Saída"/>
    <x v="0"/>
  </r>
  <r>
    <x v="49"/>
    <s v="Lisboa e Lisboa"/>
    <s v="30% sobre os atrasados"/>
    <x v="2"/>
    <x v="2"/>
    <s v="HELENA CRISTINA DE MELO"/>
    <s v="HELENA CRISTINA DE MELO"/>
    <m/>
    <s v="APOSENTADORIA POR INVALIDEZ OU RESTABELECIMENTO DE AUXILIO-DOENÇA"/>
    <s v="Thaynara Borges"/>
    <n v="9178.3799999999992"/>
    <s v="Entrada"/>
    <x v="1"/>
  </r>
  <r>
    <x v="49"/>
    <s v="Lisboa e Lisboa"/>
    <s v="Parcelas - honorários 3 benefícios"/>
    <x v="2"/>
    <x v="2"/>
    <s v="JOÃO BAREICHA FERREIRA GALVÃO"/>
    <s v="JOÃO BAREICHA FERREIRA GALVÃO"/>
    <m/>
    <s v="APOSENTADORIA"/>
    <s v="Thaynara Borges"/>
    <n v="1589.72"/>
    <s v="Entrada"/>
    <x v="1"/>
  </r>
  <r>
    <x v="50"/>
    <s v="Sarah Alves Lisboa"/>
    <s v="Diárias - limpeza"/>
    <x v="9"/>
    <x v="1"/>
    <s v="ELIZANGELA FERREIRA DA SILVA"/>
    <s v="ELIZANGELA FERREIRA DA SILVA"/>
    <m/>
    <m/>
    <s v="Thaynara Borges"/>
    <n v="-340"/>
    <s v="Saída"/>
    <x v="0"/>
  </r>
  <r>
    <x v="50"/>
    <s v="Sarah Alves Lisboa"/>
    <s v="CHOCOLATES PARA LARISSA DE CROMINIA"/>
    <x v="16"/>
    <x v="4"/>
    <s v="KOPENHAGEN"/>
    <s v="KOPENHAGEN"/>
    <m/>
    <m/>
    <s v="Thaynara Borges"/>
    <n v="-152.9"/>
    <s v="Saída"/>
    <x v="0"/>
  </r>
  <r>
    <x v="50"/>
    <s v="Sarah Alves Lisboa"/>
    <s v="Almoço - Viagem Crominia"/>
    <x v="27"/>
    <x v="4"/>
    <s v="SARAH ALVES LISBOA"/>
    <s v="SARAH ALVES LISBOA"/>
    <m/>
    <m/>
    <s v="Nathalia Louiz"/>
    <n v="-73.2"/>
    <s v="Saída"/>
    <x v="0"/>
  </r>
  <r>
    <x v="51"/>
    <s v="Lisboa e Lisboa"/>
    <s v="Publicações aviso urgente"/>
    <x v="12"/>
    <x v="1"/>
    <s v="AVISO URGENTE T I LTDA"/>
    <s v="AVISO URGENTE T I LTDA"/>
    <m/>
    <m/>
    <s v="Thaynara Borges"/>
    <n v="-507.3"/>
    <s v="Saída"/>
    <x v="0"/>
  </r>
  <r>
    <x v="51"/>
    <s v="Sarah Alves Lisboa"/>
    <s v="Combustível viagem Cromínia"/>
    <x v="27"/>
    <x v="4"/>
    <s v="SARAH ALVES LISBOA"/>
    <s v="SARAH ALVES LISBOA"/>
    <m/>
    <m/>
    <s v="Nathalia Louiz"/>
    <n v="-108.5"/>
    <s v="Saída"/>
    <x v="0"/>
  </r>
  <r>
    <x v="51"/>
    <s v="Sarah Alves Lisboa"/>
    <s v="Cartão de Crédito Dra Thaynara"/>
    <x v="6"/>
    <x v="1"/>
    <s v="C6"/>
    <s v="C6"/>
    <m/>
    <m/>
    <s v="Thaynara Borges"/>
    <n v="-1112.05"/>
    <s v="Saída"/>
    <x v="0"/>
  </r>
  <r>
    <x v="51"/>
    <s v="Sarah Alves Lisboa"/>
    <s v="Comissão de participação em viagem"/>
    <x v="28"/>
    <x v="7"/>
    <s v="Laura Barbosa Marques"/>
    <s v="Laura Barbosa Marques"/>
    <m/>
    <m/>
    <s v="Nathalia Louiz"/>
    <n v="-100"/>
    <s v="Saída"/>
    <x v="0"/>
  </r>
  <r>
    <x v="52"/>
    <s v="Sarah Alves Lisboa"/>
    <s v="Comissão - Ida ao atendimento rural com Dra Sarah"/>
    <x v="28"/>
    <x v="7"/>
    <s v="ISABELLA ALVIM BIACHINI"/>
    <s v="ISABELLA ALVIM BIACHINI"/>
    <m/>
    <m/>
    <s v="Thaynara Borges"/>
    <n v="-100"/>
    <s v="Saída"/>
    <x v="0"/>
  </r>
  <r>
    <x v="52"/>
    <s v="Sarah Alves Lisboa"/>
    <s v="REUNIÃO"/>
    <x v="27"/>
    <x v="4"/>
    <s v="MARIA DE LOURDES NASCIMENTO"/>
    <s v="MARIA DE LOURDES NASCIMENTO"/>
    <m/>
    <m/>
    <s v="Nathalia Louiz"/>
    <n v="-200"/>
    <s v="Saída"/>
    <x v="0"/>
  </r>
  <r>
    <x v="52"/>
    <s v="Sarah Alves Lisboa"/>
    <s v="CAPTAÇÃO MARIA L F NASCIMENTO"/>
    <x v="28"/>
    <x v="7"/>
    <s v="HUMBERTO PEREIRA DA COSTA"/>
    <s v="HUMBERTO PEREIRA DA COSTA"/>
    <m/>
    <s v="APOSENTADORIA POR IDADE RURAL"/>
    <s v="Thaynara Borges"/>
    <n v="-300"/>
    <s v="Saída"/>
    <x v="0"/>
  </r>
  <r>
    <x v="52"/>
    <s v="Sarah Alves Lisboa"/>
    <s v="Despesas de Reunião (Lanches)"/>
    <x v="27"/>
    <x v="4"/>
    <s v="SARAH ALVES LISBOA"/>
    <s v="SARAH ALVES LISBOA"/>
    <m/>
    <m/>
    <s v="Nathalia Louiz"/>
    <n v="-114.64"/>
    <s v="Saída"/>
    <x v="0"/>
  </r>
  <r>
    <x v="52"/>
    <s v="Sarah Alves Lisboa"/>
    <s v="Despesas de Reunião (combustível)"/>
    <x v="27"/>
    <x v="4"/>
    <s v="SARAH ALVES LISBOA"/>
    <s v="SARAH ALVES LISBOA"/>
    <m/>
    <m/>
    <s v="Nathalia Louiz"/>
    <n v="-113.96"/>
    <s v="Saída"/>
    <x v="0"/>
  </r>
  <r>
    <x v="52"/>
    <s v="Sarah Alves Lisboa"/>
    <s v="CAPTAÇÃO MARIA L F NASCIMENTO"/>
    <x v="28"/>
    <x v="7"/>
    <s v="IRISMAR REGINA BORGES"/>
    <s v="IRISMAR REGINA BORGES"/>
    <m/>
    <s v="APOSENTADORIA RURAL"/>
    <s v="Thaynara Borges"/>
    <n v="-300"/>
    <s v="Saída"/>
    <x v="0"/>
  </r>
  <r>
    <x v="52"/>
    <s v="Sarah Alves Lisboa"/>
    <s v="CAPTAÇÃO MARIA L F NASCIMENTO"/>
    <x v="28"/>
    <x v="7"/>
    <s v="JOÃO BATISTA RIBAS"/>
    <s v="JOÃO BATISTA RIBAS"/>
    <m/>
    <s v="APOSENTADORIA RURAL"/>
    <s v="Thaynara Borges"/>
    <n v="-300"/>
    <s v="Saída"/>
    <x v="0"/>
  </r>
  <r>
    <x v="52"/>
    <s v="Sarah Alves Lisboa"/>
    <s v="Água e energético"/>
    <x v="27"/>
    <x v="4"/>
    <s v="Sarah Alves Lisboa"/>
    <s v="Sarah Alves Lisboa"/>
    <m/>
    <m/>
    <s v="Thaynara Borges"/>
    <n v="-28.5"/>
    <s v="Saída"/>
    <x v="0"/>
  </r>
  <r>
    <x v="52"/>
    <s v="Sarah Alves Lisboa"/>
    <s v="Chocolates brindes para Maria Lourdes"/>
    <x v="16"/>
    <x v="4"/>
    <s v="SARAH ALVES LISBOA"/>
    <s v="SARAH ALVES LISBOA"/>
    <m/>
    <m/>
    <s v="Nathalia Louiz"/>
    <n v="-84.9"/>
    <s v="Saída"/>
    <x v="0"/>
  </r>
  <r>
    <x v="52"/>
    <s v="Sarah Alves Lisboa"/>
    <s v="30%  sobre atrasados"/>
    <x v="2"/>
    <x v="2"/>
    <s v="MARIA AMELIA DE SOUSA MENDES"/>
    <s v="MARIA AMELIA DE SOUSA MENDES"/>
    <m/>
    <m/>
    <s v="Nathalia Louiz"/>
    <n v="1869"/>
    <s v="Entrada"/>
    <x v="1"/>
  </r>
  <r>
    <x v="52"/>
    <s v="Sarah Alves Lisboa"/>
    <s v="despesa comercial (combustível)"/>
    <x v="31"/>
    <x v="4"/>
    <s v="SARAH ALVES LISBOA"/>
    <s v="SARAH ALVES LISBOA"/>
    <m/>
    <m/>
    <s v="Nathalia Louiz"/>
    <n v="-100"/>
    <s v="Saída"/>
    <x v="0"/>
  </r>
  <r>
    <x v="53"/>
    <s v="Sarah Alves Lisboa"/>
    <s v="70% para Vanessa do proveito econômico da ação"/>
    <x v="28"/>
    <x v="7"/>
    <s v="PABLO CASSIO MENDES"/>
    <s v="PABLO CASSIO MENDES"/>
    <m/>
    <s v="INDENIZACAO POR DANOS MORAIS E MATERIAIS"/>
    <s v="Thaynara Borges"/>
    <n v="-4287.5"/>
    <s v="Saída"/>
    <x v="0"/>
  </r>
  <r>
    <x v="53"/>
    <s v="Sarah Alves Lisboa"/>
    <s v="Anuidade - parceria com Dr Fernando"/>
    <x v="2"/>
    <x v="2"/>
    <s v="ELVIO DE OLIVEIRA SOARES"/>
    <s v="ELVIO DE OLIVEIRA SOARES"/>
    <m/>
    <s v="APOSENTADORIA POR IDADE"/>
    <s v="Thaynara Borges"/>
    <n v="211.8"/>
    <s v="Entrada"/>
    <x v="1"/>
  </r>
  <r>
    <x v="53"/>
    <s v="Sarah Alves Lisboa"/>
    <s v="70% SOBRE O PROVEITO ECONOMICO OBTIDO NA AÇÃO"/>
    <x v="28"/>
    <x v="7"/>
    <s v="HELENA CRISTINA DE MELO"/>
    <s v="HELENA CRISTINA DE MELO"/>
    <m/>
    <s v="APOSENTADORIA POR INVALIDEZ OU RESTABELECIMENTO DE AUXILIO-DOENÇA"/>
    <s v="Thaynara Borges"/>
    <n v="-10681.5"/>
    <s v="Saída"/>
    <x v="0"/>
  </r>
  <r>
    <x v="53"/>
    <s v="Sarah Alves Lisboa"/>
    <s v="Parceria Dra Flavia"/>
    <x v="2"/>
    <x v="2"/>
    <s v="JULIANI DOMINGOS DOS REIS"/>
    <s v="JULIANI DOMINGOS DOS REIS"/>
    <m/>
    <s v="AÇÃO DE GUARDA"/>
    <s v="Thaynara Borges"/>
    <n v="150"/>
    <s v="Entrada"/>
    <x v="1"/>
  </r>
  <r>
    <x v="53"/>
    <s v="Sarah Alves Lisboa"/>
    <s v="40% SOBRE OS VALORES DA IMPLANTAÇÃO"/>
    <x v="2"/>
    <x v="2"/>
    <s v="IACY DA SILVA MAGALHÃES"/>
    <s v="IACY DA SILVA MAGALHÃES"/>
    <m/>
    <s v="APOSENTADORIA DO DEFICIENTE"/>
    <s v="Thaynara Borges"/>
    <n v="2370.1999999999998"/>
    <s v="Entrada"/>
    <x v="1"/>
  </r>
  <r>
    <x v="54"/>
    <s v="Lisboa e Lisboa"/>
    <s v="FGTS"/>
    <x v="18"/>
    <x v="6"/>
    <s v="Ministério do Trabalho e Emprego"/>
    <s v="Ministério do Trabalho e Emprego"/>
    <m/>
    <m/>
    <s v="Thaynara Borges"/>
    <n v="-285.23"/>
    <s v="Saída"/>
    <x v="0"/>
  </r>
  <r>
    <x v="54"/>
    <s v="Lisboa e Lisboa"/>
    <s v="INSS"/>
    <x v="19"/>
    <x v="6"/>
    <s v="Receita Federal"/>
    <s v="Receita Federal"/>
    <m/>
    <m/>
    <s v="Thaynara Borges"/>
    <n v="-2041.63"/>
    <s v="Saída"/>
    <x v="0"/>
  </r>
  <r>
    <x v="54"/>
    <s v="Lisboa e Lisboa"/>
    <s v="IPTU - BOX 82"/>
    <x v="29"/>
    <x v="1"/>
    <s v="PREFEITURA MUNICIPAL DE GOIÂNIA"/>
    <s v="PREFEITURA MUNICIPAL DE GOIÂNIA"/>
    <s v=""/>
    <m/>
    <s v="Nathalia Louiz"/>
    <n v="-42.74"/>
    <s v="Saída"/>
    <x v="0"/>
  </r>
  <r>
    <x v="54"/>
    <s v="Lisboa e Lisboa"/>
    <s v="IPTU - SALA B74"/>
    <x v="29"/>
    <x v="1"/>
    <s v="PREFEITURA MUNICIPAL DE GOIÂNIA"/>
    <s v="PREFEITURA MUNICIPAL DE GOIÂNIA"/>
    <m/>
    <m/>
    <s v="Nathalia Louiz"/>
    <n v="-125.57"/>
    <s v="Saída"/>
    <x v="0"/>
  </r>
  <r>
    <x v="54"/>
    <s v="Lisboa e Lisboa"/>
    <s v="Simples Nacional"/>
    <x v="20"/>
    <x v="7"/>
    <s v="Simples Nacional"/>
    <s v="Simples Nacional"/>
    <m/>
    <m/>
    <s v="Thaynara Borges"/>
    <n v="-6435.84"/>
    <s v="Saída"/>
    <x v="0"/>
  </r>
  <r>
    <x v="54"/>
    <s v="Lisboa e Lisboa"/>
    <s v="IPTU - BOX 88"/>
    <x v="29"/>
    <x v="1"/>
    <s v="PREFEITURA MUNICIPAL DE GOIÂNIA"/>
    <s v="PREFEITURA MUNICIPAL DE GOIÂNIA"/>
    <m/>
    <m/>
    <s v="Nathalia Louiz"/>
    <n v="-42.74"/>
    <s v="Saída"/>
    <x v="0"/>
  </r>
  <r>
    <x v="54"/>
    <s v="Lisboa e Lisboa"/>
    <s v="IPTU - BOX 78"/>
    <x v="29"/>
    <x v="1"/>
    <s v="PREFEITURA MUNICIPAL DE GOIÂNIA"/>
    <s v="PREFEITURA MUNICIPAL DE GOIÂNIA"/>
    <m/>
    <m/>
    <s v="Nathalia Louiz"/>
    <n v="-42.74"/>
    <s v="Saída"/>
    <x v="0"/>
  </r>
  <r>
    <x v="54"/>
    <s v="Lisboa e Lisboa"/>
    <s v="IPTU - BOX 81"/>
    <x v="29"/>
    <x v="1"/>
    <s v="PREFEITURA MUNICIPAL DE GOIÂNIA"/>
    <s v="PREFEITURA MUNICIPAL DE GOIÂNIA"/>
    <m/>
    <m/>
    <s v="Nathalia Louiz"/>
    <n v="-42.74"/>
    <s v="Saída"/>
    <x v="0"/>
  </r>
  <r>
    <x v="54"/>
    <s v="Lisboa e Lisboa"/>
    <s v="IPTU - BOX 83"/>
    <x v="29"/>
    <x v="1"/>
    <s v="PREFEITURA MUNICIPAL DE GOIÂNIA"/>
    <s v="PREFEITURA MUNICIPAL DE GOIÂNIA"/>
    <m/>
    <m/>
    <s v="Nathalia Louiz"/>
    <n v="-42.74"/>
    <s v="Saída"/>
    <x v="0"/>
  </r>
  <r>
    <x v="54"/>
    <s v="Lisboa e Lisboa"/>
    <s v="Água"/>
    <x v="17"/>
    <x v="1"/>
    <s v="SANEAGO GOIAS S/A"/>
    <s v="SANEAGO GOIAS S/A"/>
    <m/>
    <m/>
    <s v="Thaynara Borges"/>
    <n v="-128.88"/>
    <s v="Saída"/>
    <x v="0"/>
  </r>
  <r>
    <x v="54"/>
    <s v="Thaynara Borges Pereira"/>
    <s v="Parceria com Dr. Silvio"/>
    <x v="2"/>
    <x v="2"/>
    <s v="ANTONIO PEREIRA SOBRINHO"/>
    <s v="ANTONIO PEREIRA SOBRINHO"/>
    <m/>
    <m/>
    <s v="Thaynara Borges"/>
    <n v="354"/>
    <s v="Entrada"/>
    <x v="2"/>
  </r>
  <r>
    <x v="55"/>
    <s v="Sarah Alves Lisboa"/>
    <s v="Gasolina"/>
    <x v="31"/>
    <x v="4"/>
    <s v="Sarah Alves Lisboa"/>
    <s v="Sarah Alves Lisboa"/>
    <m/>
    <m/>
    <s v="Thaynara Borges"/>
    <n v="-231.5"/>
    <s v="Saída"/>
    <x v="0"/>
  </r>
  <r>
    <x v="55"/>
    <s v="Sarah Alves Lisboa"/>
    <s v="CAPTAÇÃO - SEBASTIÃO PEIXOTO DE EDILÂNDIA"/>
    <x v="28"/>
    <x v="7"/>
    <s v="MÔNICA MENDES DA COSTA"/>
    <s v="MÔNICA MENDES DA COSTA"/>
    <m/>
    <s v="PENSÃO POR MORTE - RURAL"/>
    <s v="Thaynara Borges"/>
    <n v="-300"/>
    <s v="Saída"/>
    <x v="0"/>
  </r>
  <r>
    <x v="55"/>
    <s v="Sarah Alves Lisboa"/>
    <s v="Diárias - Limpeza"/>
    <x v="9"/>
    <x v="1"/>
    <s v="ELIZANGELA FERREIRA DA SILVA"/>
    <s v="ELIZANGELA FERREIRA DA SILVA"/>
    <m/>
    <m/>
    <s v="Thaynara Borges"/>
    <n v="-340"/>
    <s v="Saída"/>
    <x v="0"/>
  </r>
  <r>
    <x v="55"/>
    <s v="Sarah Alves Lisboa"/>
    <s v="Reunião"/>
    <x v="27"/>
    <x v="4"/>
    <s v="SEBASTIAO PEIXOTO DE EDILANDIA (Pessoa de contato de: WILMAR ANASTACIO DOS SANTOS)"/>
    <s v="SEBASTIAO PEIXOTO DE EDILANDIA (Pessoa de contato de: WILMAR ANASTACIO DOS SANTOS)"/>
    <m/>
    <m/>
    <s v="Thaynara Borges"/>
    <n v="-200"/>
    <s v="Saída"/>
    <x v="0"/>
  </r>
  <r>
    <x v="55"/>
    <s v="Sarah Alves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2"/>
  </r>
  <r>
    <x v="55"/>
    <s v="Sarah Alves Lisboa"/>
    <s v="Comissão - Ida ao atendimento rural com Dra Sarah"/>
    <x v="28"/>
    <x v="7"/>
    <s v="ISABELLA ALVIM BIACHINI"/>
    <s v="ISABELLA ALVIM BIACHINI"/>
    <m/>
    <m/>
    <s v="Thaynara Borges"/>
    <n v="-100"/>
    <s v="Saída"/>
    <x v="0"/>
  </r>
  <r>
    <x v="55"/>
    <s v="Sarah Alves Lisboa"/>
    <s v="CAPTAÇÃO - SEBASTIÃO PEIXOTO DE EDILÂNDIA"/>
    <x v="28"/>
    <x v="7"/>
    <s v="ARISTEU GONÇALVES DA CRUZ"/>
    <s v="ARISTEU GONÇALVES DA CRUZ"/>
    <m/>
    <s v="AUXILIO DOENÇA"/>
    <s v="Thaynara Borges"/>
    <n v="-300"/>
    <s v="Saída"/>
    <x v="0"/>
  </r>
  <r>
    <x v="56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57"/>
    <s v="Sarah Alves Lisboa"/>
    <s v="Consulta (parcelado 300 + 200)"/>
    <x v="2"/>
    <x v="2"/>
    <s v="GEDILANE ROSA DE SA FERREIRA"/>
    <s v="GEDILANE ROSA DE SA FERREIRA"/>
    <m/>
    <m/>
    <s v="Nathalia Louiz"/>
    <n v="300"/>
    <s v="Entrada"/>
    <x v="1"/>
  </r>
  <r>
    <x v="57"/>
    <s v="Sarah Alves Lisboa"/>
    <s v="Honorários periciais - guia complementar"/>
    <x v="7"/>
    <x v="5"/>
    <s v="SUELLEN DE JESUS LIMA"/>
    <s v="SUELLEN DE JESUS LIMA"/>
    <m/>
    <s v="AUXILIO ACIDENTE"/>
    <s v="Thaynara Borges"/>
    <n v="-120"/>
    <s v="Saída"/>
    <x v="0"/>
  </r>
  <r>
    <x v="58"/>
    <s v="Sarah Alves Lisboa"/>
    <s v="Guia para emissão de certidão de militância"/>
    <x v="7"/>
    <x v="5"/>
    <s v="JOSELINA ROSA DE SANTANA"/>
    <s v="JOSELINA ROSA DE SANTANA"/>
    <m/>
    <s v="APOSENTADORIA RURAL"/>
    <s v="Thaynara Borges"/>
    <n v="-21.73"/>
    <s v="Saída"/>
    <x v="0"/>
  </r>
  <r>
    <x v="58"/>
    <s v="Sarah Alves Lisboa"/>
    <s v="Guia para emissão de certidão de militância - honorários de sucumbência Proc 1004340-77.2020.4.01.3500 VALNEI PORTO MACHADO"/>
    <x v="30"/>
    <x v="9"/>
    <s v="[$empty$]"/>
    <s v="[$empty$]"/>
    <m/>
    <m/>
    <s v="Thaynara Borges"/>
    <n v="-21.73"/>
    <s v="Saída"/>
    <x v="0"/>
  </r>
  <r>
    <x v="58"/>
    <s v="Sarah Alves Lisboa"/>
    <s v="Parcelas anuidade"/>
    <x v="2"/>
    <x v="2"/>
    <s v="JOSE NILTON FERREIRA DE SOUZA"/>
    <s v="JOSE NILTON FERREIRA DE SOUZA"/>
    <m/>
    <s v="APOSENTADORIA POR IDADE"/>
    <s v="Thaynara Borges"/>
    <n v="282.39999999999998"/>
    <s v="Entrada"/>
    <x v="1"/>
  </r>
  <r>
    <x v="59"/>
    <s v="Lisboa e Lisboa"/>
    <s v="Bolsa Estagio"/>
    <x v="13"/>
    <x v="6"/>
    <s v="ISABELLA ALVIM BIACHINI"/>
    <s v="ISABELLA ALVIM BIACHINI"/>
    <m/>
    <m/>
    <s v="Thaynara Borges"/>
    <n v="-1300"/>
    <s v="Saída"/>
    <x v="0"/>
  </r>
  <r>
    <x v="59"/>
    <s v="Lisboa e Lisboa"/>
    <s v="Pro labore"/>
    <x v="23"/>
    <x v="8"/>
    <s v="Thaynara Borges Pereira"/>
    <s v="Thaynara Borges Pereira"/>
    <m/>
    <m/>
    <s v="Thaynara Borges"/>
    <n v="-1351.02"/>
    <s v="Saída"/>
    <x v="0"/>
  </r>
  <r>
    <x v="59"/>
    <s v="Lisboa e Lisboa"/>
    <s v="Bolsa Estagio"/>
    <x v="13"/>
    <x v="6"/>
    <s v="Laura Barbosa Marques"/>
    <s v="Laura Barbosa Marques"/>
    <m/>
    <m/>
    <s v="Thaynara Borges"/>
    <n v="-1300"/>
    <s v="Saída"/>
    <x v="0"/>
  </r>
  <r>
    <x v="59"/>
    <s v="Sarah Alves Lisboa"/>
    <s v="COMISSÃO POR BATER A META"/>
    <x v="28"/>
    <x v="7"/>
    <s v="Thaynara Borges Pereira"/>
    <s v="Thaynara Borges Pereira"/>
    <m/>
    <m/>
    <s v="Thaynara Borges"/>
    <n v="-100"/>
    <s v="Saída"/>
    <x v="0"/>
  </r>
  <r>
    <x v="59"/>
    <s v="Sarah Alves Lisboa"/>
    <s v="COMISSÃO POR BATER A META"/>
    <x v="28"/>
    <x v="7"/>
    <s v="Raffaela Nunes"/>
    <s v="Raffaela Nunes"/>
    <m/>
    <m/>
    <s v="Thaynara Borges"/>
    <n v="-100"/>
    <s v="Saída"/>
    <x v="0"/>
  </r>
  <r>
    <x v="59"/>
    <s v="Lisboa e Lisboa"/>
    <s v="Energia"/>
    <x v="21"/>
    <x v="1"/>
    <s v="EQUATORIAL GOIAS 0067122663"/>
    <s v="EQUATORIAL GOIAS 0067122663"/>
    <m/>
    <m/>
    <s v="Thaynara Borges"/>
    <n v="-390.61"/>
    <s v="Saída"/>
    <x v="0"/>
  </r>
  <r>
    <x v="59"/>
    <s v="Lisboa e Lisboa"/>
    <s v="Retirada"/>
    <x v="22"/>
    <x v="8"/>
    <s v="Thaynara Borges Pereira"/>
    <s v="Thaynara Borges Pereira"/>
    <m/>
    <m/>
    <s v="Thaynara Borges"/>
    <n v="-3648.98"/>
    <s v="Saída"/>
    <x v="0"/>
  </r>
  <r>
    <x v="59"/>
    <s v="Sarah Alves Lisboa"/>
    <s v="COMISSÃO POR BATER A META"/>
    <x v="28"/>
    <x v="7"/>
    <s v="Sarah Alves Lisboa"/>
    <s v="Sarah Alves Lisboa"/>
    <m/>
    <m/>
    <s v="Thaynara Borges"/>
    <n v="-100"/>
    <s v="Saída"/>
    <x v="0"/>
  </r>
  <r>
    <x v="59"/>
    <s v="Sarah Alves Lisboa"/>
    <s v="HONORÁRIOS DE SUCUMBÊNCIA"/>
    <x v="2"/>
    <x v="2"/>
    <s v="SIRLENE PEREIRA DE RESENDE GRATAO"/>
    <s v="SIRLENE PEREIRA DE RESENDE GRATAO"/>
    <m/>
    <s v="RMI"/>
    <s v="Thaynara Borges"/>
    <n v="1678.79"/>
    <s v="Entrada"/>
    <x v="1"/>
  </r>
  <r>
    <x v="59"/>
    <s v="Sarah Alves Lisboa"/>
    <s v="INDICAÇÃO NINA"/>
    <x v="28"/>
    <x v="7"/>
    <s v="MARIA AMELIA DE SOUSA MENDES"/>
    <s v="MARIA AMELIA DE SOUSA MENDES"/>
    <m/>
    <s v="BENEFÍCIO POR INCAPACIDADE"/>
    <s v="Thaynara Borges"/>
    <n v="-186.9"/>
    <s v="Saída"/>
    <x v="0"/>
  </r>
  <r>
    <x v="59"/>
    <s v="Lisboa e Lisboa"/>
    <s v="Retirada"/>
    <x v="22"/>
    <x v="8"/>
    <s v="Sarah Alves Lisboa"/>
    <s v="Sarah Alves Lisboa"/>
    <m/>
    <m/>
    <s v="Thaynara Borges"/>
    <n v="-6148.98"/>
    <s v="Saída"/>
    <x v="0"/>
  </r>
  <r>
    <x v="59"/>
    <s v="Sarah Alves Lisboa"/>
    <s v="COMISSÃO POR BATER A META"/>
    <x v="28"/>
    <x v="7"/>
    <s v="Laura Barbosa Marques"/>
    <s v="Laura Barbosa Marques"/>
    <m/>
    <m/>
    <s v="Thaynara Borges"/>
    <n v="-100"/>
    <s v="Saída"/>
    <x v="0"/>
  </r>
  <r>
    <x v="59"/>
    <s v="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59"/>
    <s v="Sarah Alves Lisboa"/>
    <s v="Indicação paga para Daniele de Almeida Cardoso"/>
    <x v="28"/>
    <x v="7"/>
    <s v="MARUZALEN FERREIRA DA CRUZ"/>
    <s v="MARUZALEN FERREIRA DA CRUZ"/>
    <m/>
    <s v="APOSENTADORIA RURAL"/>
    <s v="Thaynara Borges"/>
    <n v="-600"/>
    <s v="Saída"/>
    <x v="0"/>
  </r>
  <r>
    <x v="59"/>
    <s v="Lisboa e Lisboa"/>
    <s v="Pro labore"/>
    <x v="23"/>
    <x v="8"/>
    <s v="Sarah Alves Lisboa"/>
    <s v="Sarah Alves Lisboa"/>
    <m/>
    <m/>
    <s v="Thaynara Borges"/>
    <n v="-1351.02"/>
    <s v="Saída"/>
    <x v="0"/>
  </r>
  <r>
    <x v="59"/>
    <s v="Sarah Alves Lisboa"/>
    <s v="Diárias - limpeza"/>
    <x v="9"/>
    <x v="1"/>
    <s v="ELIZANGELA FERREIRA DA SILVA"/>
    <s v="ELIZANGELA FERREIRA DA SILVA"/>
    <m/>
    <m/>
    <s v="Thaynara Borges"/>
    <n v="-340"/>
    <s v="Saída"/>
    <x v="0"/>
  </r>
  <r>
    <x v="59"/>
    <s v="Sarah Alves Lisboa"/>
    <s v="70% DO PROVEITO ECONÔMICO DA AÇÃO REPASSADO A DRA VANESSA"/>
    <x v="28"/>
    <x v="7"/>
    <s v="SIRLENE PEREIRA DE RESENDE GRATAO"/>
    <s v="SIRLENE PEREIRA DE RESENDE GRATAO"/>
    <m/>
    <s v="RMI"/>
    <s v="Thaynara Borges"/>
    <n v="-3216.41"/>
    <s v="Saída"/>
    <x v="0"/>
  </r>
  <r>
    <x v="59"/>
    <s v="Lisboa e Lisboa"/>
    <s v="HONORÁRIOS CONTRATUAIS 25% SOBRE O PROVEITO ECONOMICO"/>
    <x v="2"/>
    <x v="2"/>
    <s v="SIRLENE PEREIRA DE RESENDE GRATAO"/>
    <s v="SIRLENE PEREIRA DE RESENDE GRATAO"/>
    <m/>
    <s v="RMI"/>
    <s v="Thaynara Borges"/>
    <n v="3334.18"/>
    <s v="Entrada"/>
    <x v="1"/>
  </r>
  <r>
    <x v="59"/>
    <s v="Sarah Alves Lisboa"/>
    <s v="Salario"/>
    <x v="15"/>
    <x v="6"/>
    <s v="Raffaela Nunes"/>
    <s v="Raffaela Nunes"/>
    <m/>
    <m/>
    <s v="Thaynara Borges"/>
    <n v="-2200"/>
    <s v="Saída"/>
    <x v="0"/>
  </r>
  <r>
    <x v="59"/>
    <s v="Sarah Alves Lisboa"/>
    <s v="COMISSÃO POR BATER A META"/>
    <x v="28"/>
    <x v="7"/>
    <s v="ISABELLA ALVIM BIACHINI"/>
    <s v="ISABELLA ALVIM BIACHINI"/>
    <m/>
    <m/>
    <s v="Thaynara Borges"/>
    <n v="-100"/>
    <s v="Saída"/>
    <x v="0"/>
  </r>
  <r>
    <x v="59"/>
    <s v="Lisboa e Lisboa"/>
    <s v="Salario"/>
    <x v="15"/>
    <x v="6"/>
    <s v="Nina Araujo"/>
    <s v="Nina Araujo"/>
    <m/>
    <m/>
    <s v="Thaynara Borges"/>
    <n v="-3195.89"/>
    <s v="Saída"/>
    <x v="0"/>
  </r>
  <r>
    <x v="59"/>
    <s v="Lisboa e Lisboa"/>
    <s v="Energia"/>
    <x v="21"/>
    <x v="1"/>
    <s v="EQUATORIAL GOIAS 0067122721"/>
    <s v="EQUATORIAL GOIAS 0067122721"/>
    <m/>
    <m/>
    <s v="Thaynara Borges"/>
    <n v="-669.63"/>
    <s v="Saída"/>
    <x v="0"/>
  </r>
  <r>
    <x v="59"/>
    <s v="Sarah Alves Lisboa"/>
    <s v="COMISSÃO POR BATER A META"/>
    <x v="28"/>
    <x v="7"/>
    <s v="Nina Araujo"/>
    <s v="Nina Araujo"/>
    <m/>
    <m/>
    <s v="Thaynara Borges"/>
    <n v="-100"/>
    <s v="Saída"/>
    <x v="0"/>
  </r>
  <r>
    <x v="60"/>
    <s v="Cartão de Crédito Dr Ivanildo"/>
    <s v="Prévius"/>
    <x v="12"/>
    <x v="1"/>
    <s v="BANCO ITAU"/>
    <s v="BANCO ITAU"/>
    <m/>
    <m/>
    <s v="Thaynara Borges"/>
    <n v="-80.91"/>
    <s v="Saída"/>
    <x v="0"/>
  </r>
  <r>
    <x v="60"/>
    <s v="Cartão de Crédito Dr Ivanildo"/>
    <s v="BISTRO LIA"/>
    <x v="11"/>
    <x v="1"/>
    <s v="BANCO ITAU"/>
    <s v="BANCO ITAU"/>
    <m/>
    <m/>
    <s v="Nathalia Louiz"/>
    <n v="-384.3"/>
    <s v="Saída"/>
    <x v="0"/>
  </r>
  <r>
    <x v="60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60"/>
    <s v="Cartão de Crédito Dra Thaynara"/>
    <s v="HTM*ALINEDECKER (Curso Liderança)"/>
    <x v="32"/>
    <x v="6"/>
    <s v="C6"/>
    <s v="C6"/>
    <m/>
    <m/>
    <s v="Thaynara Borges"/>
    <n v="-249.21"/>
    <s v="Saída"/>
    <x v="0"/>
  </r>
  <r>
    <x v="60"/>
    <s v="Cartão de Crédito Dr Ivanildo"/>
    <s v="Jusbrasil"/>
    <x v="12"/>
    <x v="1"/>
    <s v="BANCO ITAU"/>
    <s v="BANCO ITAU"/>
    <m/>
    <m/>
    <s v="Thaynara Borges"/>
    <n v="-58.9"/>
    <s v="Saída"/>
    <x v="0"/>
  </r>
  <r>
    <x v="60"/>
    <s v="Cartão de Crédito Dr Ivanildo"/>
    <s v="HIPER MOREIRA"/>
    <x v="14"/>
    <x v="1"/>
    <s v="BANCO ITAU"/>
    <s v="BANCO ITAU"/>
    <m/>
    <m/>
    <s v="Nathalia Louiz"/>
    <n v="-26.8"/>
    <s v="Saída"/>
    <x v="0"/>
  </r>
  <r>
    <x v="60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60"/>
    <s v="Cartão de Crédito Dr Ivanildo"/>
    <s v="PANIFICADORA SANTO ANTONIO"/>
    <x v="11"/>
    <x v="1"/>
    <s v="BANCO ITAU"/>
    <s v="BANCO ITAU"/>
    <m/>
    <m/>
    <s v="Nathalia Louiz"/>
    <n v="-52.68"/>
    <s v="Saída"/>
    <x v="0"/>
  </r>
  <r>
    <x v="60"/>
    <s v="Cartão de Crédito Dra Thaynara"/>
    <s v="Pagamento Cartão de Crédito Dra Thaynara"/>
    <x v="6"/>
    <x v="1"/>
    <s v="C6"/>
    <s v="C6"/>
    <m/>
    <m/>
    <s v="Nathalia Louiz"/>
    <n v="1012.15"/>
    <s v="Entrada"/>
    <x v="1"/>
  </r>
  <r>
    <x v="60"/>
    <s v="Cartão de Crédito Dra Thaynara"/>
    <s v="Cálculo Jurídico"/>
    <x v="12"/>
    <x v="1"/>
    <s v="C6"/>
    <s v="C6"/>
    <m/>
    <m/>
    <s v="Thaynara Borges"/>
    <n v="-120.29"/>
    <s v="Saída"/>
    <x v="0"/>
  </r>
  <r>
    <x v="60"/>
    <s v="Cartão de Crédito Dr Ivanildo"/>
    <s v="canaã frios"/>
    <x v="11"/>
    <x v="1"/>
    <s v="BANCO ITAU"/>
    <s v="BANCO ITAU"/>
    <m/>
    <m/>
    <s v="Nathalia Louiz"/>
    <n v="-41.7"/>
    <s v="Saída"/>
    <x v="0"/>
  </r>
  <r>
    <x v="60"/>
    <s v="Cartão de Crédito Dra Thaynara"/>
    <s v="ASA*TRINDADE AMADO PRO (Curso de atualização previdenciária)"/>
    <x v="32"/>
    <x v="6"/>
    <s v="C6"/>
    <s v="C6"/>
    <m/>
    <m/>
    <s v="Thaynara Borges"/>
    <n v="-59.9"/>
    <s v="Saída"/>
    <x v="0"/>
  </r>
  <r>
    <x v="60"/>
    <s v="Cartão de Crédito Dra Thaynara"/>
    <s v="ASTREA"/>
    <x v="12"/>
    <x v="1"/>
    <s v="C6"/>
    <s v="C6"/>
    <m/>
    <m/>
    <s v="Thaynara Borges"/>
    <n v="-456.75"/>
    <s v="Saída"/>
    <x v="0"/>
  </r>
  <r>
    <x v="60"/>
    <s v="Cartão de Crédito Dr Ivanildo"/>
    <s v="Cestas de fim de ano para equipe"/>
    <x v="11"/>
    <x v="1"/>
    <s v="BANCO ITAU"/>
    <s v="BANCO ITAU"/>
    <m/>
    <m/>
    <s v="Thaynara Borges"/>
    <n v="-725"/>
    <s v="Saída"/>
    <x v="0"/>
  </r>
  <r>
    <x v="60"/>
    <s v="Cartão de Crédito Dr Ivanildo"/>
    <s v="Google One"/>
    <x v="12"/>
    <x v="1"/>
    <s v="BANCO ITAU"/>
    <s v="BANCO ITAU"/>
    <m/>
    <m/>
    <s v="Thaynara Borges"/>
    <n v="-38.99"/>
    <s v="Saída"/>
    <x v="0"/>
  </r>
  <r>
    <x v="60"/>
    <s v="Cartão de Crédito Dr Ivanildo"/>
    <s v="RAFAEL FRANCI (23/01)"/>
    <x v="27"/>
    <x v="4"/>
    <s v="BANCO ITAU"/>
    <s v="BANCO ITAU"/>
    <m/>
    <m/>
    <s v="Nathalia Louiz"/>
    <n v="-15"/>
    <s v="Saída"/>
    <x v="0"/>
  </r>
  <r>
    <x v="60"/>
    <s v="Cartão de Crédito Dr Ivanildo"/>
    <s v="CANAÃ FRIOS"/>
    <x v="11"/>
    <x v="1"/>
    <s v="BANCO ITAU"/>
    <s v="BANCO ITAU"/>
    <m/>
    <m/>
    <s v="Nathalia Louiz"/>
    <n v="-42.28"/>
    <s v="Saída"/>
    <x v="0"/>
  </r>
  <r>
    <x v="60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60"/>
    <s v="Cartão de Crédito Dr Ivanildo"/>
    <s v="Google One"/>
    <x v="12"/>
    <x v="1"/>
    <s v="BANCO ITAU"/>
    <s v="BANCO ITAU"/>
    <m/>
    <m/>
    <s v="Thaynara Borges"/>
    <n v="-11.99"/>
    <s v="Saída"/>
    <x v="0"/>
  </r>
  <r>
    <x v="60"/>
    <s v="Cartão de Crédito Dra Thaynara"/>
    <s v="GOOGLE GSUITE_PREVLEX."/>
    <x v="12"/>
    <x v="1"/>
    <s v="C6"/>
    <s v="C6"/>
    <m/>
    <m/>
    <s v="Thaynara Borges"/>
    <n v="-126"/>
    <s v="Saída"/>
    <x v="0"/>
  </r>
  <r>
    <x v="60"/>
    <s v="Cartão de Crédito Dr Ivanildo"/>
    <s v="Pagamento Cartão de Crédito Dr Ivanildo"/>
    <x v="6"/>
    <x v="1"/>
    <s v="BANCO ITAU"/>
    <s v="BANCO ITAU"/>
    <m/>
    <m/>
    <s v="Thaynara Borges"/>
    <n v="2100.63"/>
    <s v="Entrada"/>
    <x v="1"/>
  </r>
  <r>
    <x v="60"/>
    <s v="Cartão de Crédito Dr Ivanildo"/>
    <s v="PANIFICADORA SANTO ANTONIO"/>
    <x v="11"/>
    <x v="1"/>
    <s v="BANCO ITAU"/>
    <s v="BANCO ITAU"/>
    <m/>
    <m/>
    <s v="Nathalia Louiz"/>
    <n v="-54.47"/>
    <s v="Saída"/>
    <x v="0"/>
  </r>
  <r>
    <x v="60"/>
    <s v="Cartão de Crédito Dr Ivanildo"/>
    <s v="CANAÃ FRIOS"/>
    <x v="11"/>
    <x v="1"/>
    <s v="BANCO ITAU"/>
    <s v="BANCO ITAU"/>
    <m/>
    <m/>
    <s v="Nathalia Louiz"/>
    <n v="-35.67"/>
    <s v="Saída"/>
    <x v="0"/>
  </r>
  <r>
    <x v="60"/>
    <s v="Cartão de Crédito Dr Ivanildo"/>
    <s v="Jusbrasil"/>
    <x v="12"/>
    <x v="1"/>
    <s v="BANCO ITAU"/>
    <s v="BANCO ITAU"/>
    <m/>
    <m/>
    <s v="Thaynara Borges"/>
    <n v="-58.9"/>
    <s v="Saída"/>
    <x v="0"/>
  </r>
  <r>
    <x v="61"/>
    <s v="Sarah Alves Lisboa"/>
    <s v="PLANEJAMENTO"/>
    <x v="2"/>
    <x v="2"/>
    <s v="ISMAEL ALVES MADUREIRA"/>
    <s v="ISMAEL ALVES MADUREIRA"/>
    <m/>
    <m/>
    <s v="Nathalia Louiz"/>
    <n v="300"/>
    <s v="Entrada"/>
    <x v="1"/>
  </r>
  <r>
    <x v="61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61"/>
    <s v="Lisboa e Lisboa"/>
    <s v="Taxa de Condomínio Sala B-73"/>
    <x v="10"/>
    <x v="1"/>
    <s v="ATON BUSINESS STYLE"/>
    <s v="ATON BUSINESS STYLE"/>
    <m/>
    <m/>
    <s v="Thaynara Borges"/>
    <n v="-1247.17"/>
    <s v="Saída"/>
    <x v="0"/>
  </r>
  <r>
    <x v="61"/>
    <s v="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61"/>
    <s v="Thaynara Borges Pereira"/>
    <s v="Parcelamento em 7x"/>
    <x v="2"/>
    <x v="2"/>
    <s v="MARIA DA SILVA NOGUEIRA"/>
    <s v="MARIA DA SILVA NOGUEIRA"/>
    <m/>
    <s v="Maria da Silva Nogueira x Nathalia dos Santos Nogueira"/>
    <s v="Thaynara Borges"/>
    <n v="250"/>
    <s v="Entrada"/>
    <x v="1"/>
  </r>
  <r>
    <x v="61"/>
    <s v="Lisboa e Lisboa"/>
    <s v="Taxa de Condomínio Sala B-74"/>
    <x v="10"/>
    <x v="1"/>
    <s v="ATON BUSINESS STYLE"/>
    <s v="ATON BUSINESS STYLE"/>
    <m/>
    <m/>
    <s v="Thaynara Borges"/>
    <n v="-1247.78"/>
    <s v="Saída"/>
    <x v="0"/>
  </r>
  <r>
    <x v="61"/>
    <s v="Lisboa e Lisboa"/>
    <s v="Taxa de Condomínio Vaga Garagem A-78"/>
    <x v="10"/>
    <x v="1"/>
    <s v="ATON BUSINESS STYLE"/>
    <s v="ATON BUSINESS STYLE"/>
    <m/>
    <m/>
    <s v="Thaynara Borges"/>
    <n v="-49.46"/>
    <s v="Saída"/>
    <x v="0"/>
  </r>
  <r>
    <x v="61"/>
    <s v="Lisboa e Lisboa"/>
    <s v="Taxa de Condomínio Vaga Garagem A-81"/>
    <x v="10"/>
    <x v="1"/>
    <s v="ATON BUSINESS STYLE"/>
    <s v="ATON BUSINESS STYLE"/>
    <m/>
    <m/>
    <s v="Thaynara Borges"/>
    <n v="-49.46"/>
    <s v="Saída"/>
    <x v="0"/>
  </r>
  <r>
    <x v="61"/>
    <s v="Lisboa e Lisboa"/>
    <s v="Taxa de Condomínio Vaga Garagem A-88"/>
    <x v="10"/>
    <x v="1"/>
    <s v="ATON BUSINESS STYLE"/>
    <s v="ATON BUSINESS STYLE"/>
    <m/>
    <m/>
    <s v="Thaynara Borges"/>
    <n v="-49.46"/>
    <s v="Saída"/>
    <x v="0"/>
  </r>
  <r>
    <x v="61"/>
    <s v="Lisboa e Lisboa"/>
    <s v="Taxa de Condomínio Vaga Garagem A-82"/>
    <x v="10"/>
    <x v="1"/>
    <s v="ATON BUSINESS STYLE"/>
    <s v="ATON BUSINESS STYLE"/>
    <m/>
    <m/>
    <s v="Thaynara Borges"/>
    <n v="-49.46"/>
    <s v="Saída"/>
    <x v="0"/>
  </r>
  <r>
    <x v="61"/>
    <s v="Lisboa e Lisboa"/>
    <s v="Taxa de Condomínio Vaga Garagem A-83"/>
    <x v="10"/>
    <x v="1"/>
    <s v="ATON BUSINESS STYLE"/>
    <s v="ATON BUSINESS STYLE"/>
    <m/>
    <m/>
    <s v="Thaynara Borges"/>
    <n v="-49.46"/>
    <s v="Saída"/>
    <x v="0"/>
  </r>
  <r>
    <x v="61"/>
    <s v="Lisboa e Lisboa"/>
    <s v="Cartão de Crédito Dr Ivanilldo"/>
    <x v="6"/>
    <x v="1"/>
    <s v="BANCO ITAU"/>
    <s v="BANCO ITAU"/>
    <m/>
    <m/>
    <s v="Thaynara Borges"/>
    <n v="-2100.63"/>
    <s v="Saída"/>
    <x v="0"/>
  </r>
  <r>
    <x v="62"/>
    <s v="Lisboa e Lisboa"/>
    <s v="Plano mensal - conta corrente"/>
    <x v="4"/>
    <x v="3"/>
    <s v="BANCO ITAU"/>
    <s v="BANCO ITAU"/>
    <m/>
    <m/>
    <s v="Thaynara Borges"/>
    <n v="-79.5"/>
    <s v="Saída"/>
    <x v="0"/>
  </r>
  <r>
    <x v="62"/>
    <s v="Sarah Alves Lisboa"/>
    <s v="Celular"/>
    <x v="8"/>
    <x v="1"/>
    <s v="VIVO"/>
    <s v="VIVO"/>
    <m/>
    <m/>
    <s v="Thaynara Borges"/>
    <n v="-130.37"/>
    <s v="Saída"/>
    <x v="0"/>
  </r>
  <r>
    <x v="62"/>
    <s v="Lisboa e Lisboa"/>
    <s v="SERVIÇCOS DE TI"/>
    <x v="3"/>
    <x v="1"/>
    <s v="Rhuan Carlos Batista"/>
    <s v="Rhuan Carlos Batista"/>
    <m/>
    <m/>
    <s v="Nathalia Louiz"/>
    <n v="-160"/>
    <s v="Saída"/>
    <x v="0"/>
  </r>
  <r>
    <x v="63"/>
    <s v="Sarah Alves Lisboa"/>
    <s v="Consulta (valor residual 200,00)"/>
    <x v="2"/>
    <x v="2"/>
    <s v="GEDILANE ROSA DE SA FERREIRA"/>
    <s v="GEDILANE ROSA DE SA FERREIRA"/>
    <m/>
    <m/>
    <s v="Nathalia Louiz"/>
    <n v="200"/>
    <s v="Entrada"/>
    <x v="2"/>
  </r>
  <r>
    <x v="63"/>
    <s v="Sarah Alves Lisboa"/>
    <s v="ANUIDADE 12X"/>
    <x v="2"/>
    <x v="2"/>
    <s v="ANA PEREIRA DA SILVA JESUS"/>
    <s v="ANA PEREIRA DA SILVA JESUS"/>
    <m/>
    <s v="AMPARA AO IDOSO"/>
    <s v="Nathalia Louiz"/>
    <n v="303.60000000000002"/>
    <s v="Entrada"/>
    <x v="1"/>
  </r>
  <r>
    <x v="63"/>
    <s v="Sarah Alves Lisboa"/>
    <s v="Presente do dia das mulheres para equipe"/>
    <x v="16"/>
    <x v="4"/>
    <s v="KOPENHAGEN"/>
    <s v="KOPENHAGEN"/>
    <m/>
    <m/>
    <s v="Thaynara Borges"/>
    <n v="-329.4"/>
    <s v="Saída"/>
    <x v="0"/>
  </r>
  <r>
    <x v="63"/>
    <s v="Lisboa e Lisboa"/>
    <s v="2 Benefícios parcelados em 6x"/>
    <x v="2"/>
    <x v="2"/>
    <s v="ISABEL PEREIRA SOUSA"/>
    <s v="ISABEL PEREIRA SOUSA"/>
    <m/>
    <s v="APOSENTADORIA POR IDADE"/>
    <s v="Thaynara Borges"/>
    <n v="500"/>
    <s v="Entrada"/>
    <x v="1"/>
  </r>
  <r>
    <x v="63"/>
    <s v="Sarah Alves Lisboa"/>
    <s v="DIÁRIAS DE LIMPEZA/MANUTENÇÃO DO ESCRITÓRIO (2 DIÁRIAS)"/>
    <x v="9"/>
    <x v="1"/>
    <s v="ELIZANGELA FERREIRA DA SILVA"/>
    <s v="ELIZANGELA FERREIRA DA SILVA"/>
    <m/>
    <m/>
    <s v="Nathalia Louiz"/>
    <n v="-170"/>
    <s v="Saída"/>
    <x v="0"/>
  </r>
  <r>
    <x v="64"/>
    <s v="Sarah Alves Lisboa"/>
    <s v="Tarifa Bancária"/>
    <x v="4"/>
    <x v="3"/>
    <s v="BANCO DO BRASIL S/A"/>
    <s v="BANCO DO BRASIL S/A"/>
    <m/>
    <m/>
    <s v="Thaynara Borges"/>
    <n v="-15"/>
    <s v="Saída"/>
    <x v="0"/>
  </r>
  <r>
    <x v="64"/>
    <s v="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64"/>
    <s v="Sarah Alves Lisboa"/>
    <s v="PLANEJAMENTO - Aposentadoria"/>
    <x v="2"/>
    <x v="2"/>
    <s v="PAULO MENEZES DA SILVA"/>
    <s v="PAULO MENEZES DA SILVA"/>
    <m/>
    <m/>
    <s v="Nathalia Louiz"/>
    <n v="500"/>
    <s v="Entrada"/>
    <x v="1"/>
  </r>
  <r>
    <x v="64"/>
    <s v="Lisboa e Lisboa"/>
    <s v="CONTRATO 9621661899"/>
    <x v="8"/>
    <x v="1"/>
    <s v="VIVO FIXO"/>
    <s v="VIVO FIXO"/>
    <m/>
    <m/>
    <s v="Thaynara Borges"/>
    <n v="-251.58"/>
    <s v="Saída"/>
    <x v="0"/>
  </r>
  <r>
    <x v="64"/>
    <s v="Lisboa e Lisboa"/>
    <s v="IEL Estagiárias"/>
    <x v="13"/>
    <x v="6"/>
    <s v="IEL"/>
    <s v="IEL"/>
    <m/>
    <m/>
    <s v="Thaynara Borges"/>
    <n v="-106.73"/>
    <s v="Saída"/>
    <x v="0"/>
  </r>
  <r>
    <x v="64"/>
    <s v="Lisboa e Lisboa"/>
    <s v="CONTRATO 9309114969"/>
    <x v="8"/>
    <x v="1"/>
    <s v="VIVO FIXO"/>
    <s v="VIVO FIXO"/>
    <m/>
    <m/>
    <s v="Thaynara Borges"/>
    <n v="-119.99"/>
    <s v="Saída"/>
    <x v="0"/>
  </r>
  <r>
    <x v="65"/>
    <s v="Sarah Alves Lisboa"/>
    <s v="SCB - 70% Vanessão - 30% Lisboa"/>
    <x v="2"/>
    <x v="2"/>
    <s v="HELTON GONÇALVES BARSANULFO"/>
    <s v="HELTON GONÇALVES BARSANULFO"/>
    <m/>
    <s v="AUXILIO DOENÇA"/>
    <s v="Nathalia Louiz"/>
    <n v="33893.51"/>
    <s v="Entrada"/>
    <x v="1"/>
  </r>
  <r>
    <x v="65"/>
    <s v="Sarah Alves Lisboa"/>
    <s v="40% SOBRE A IMPLANTAÇÃO"/>
    <x v="2"/>
    <x v="2"/>
    <s v="CLAUDIA NUNES DOS SANTOS BARCELOS"/>
    <s v="CLAUDIA NUNES DOS SANTOS BARCELOS"/>
    <m/>
    <s v="AUXILIO DOENÇA"/>
    <s v="Thaynara Borges"/>
    <n v="2600"/>
    <s v="Entrada"/>
    <x v="1"/>
  </r>
  <r>
    <x v="66"/>
    <s v="Sarah Alves Lisboa"/>
    <s v="50% da Implantação"/>
    <x v="2"/>
    <x v="2"/>
    <s v="JOSÉ ROBERTO PEREIRA DA SILVA"/>
    <s v="JOSÉ ROBERTO PEREIRA DA SILVA"/>
    <m/>
    <s v="APOSENTADORIA POR IDADE"/>
    <s v="Nathalia Louiz"/>
    <n v="3750"/>
    <s v="Entrada"/>
    <x v="1"/>
  </r>
  <r>
    <x v="66"/>
    <s v="Sarah Alves Lisboa"/>
    <s v="Viagem de uber"/>
    <x v="27"/>
    <x v="4"/>
    <s v="SARAH ALVES LISBOA"/>
    <s v="SARAH ALVES LISBOA"/>
    <m/>
    <m/>
    <s v="Nathalia Louiz"/>
    <n v="-25"/>
    <s v="Saída"/>
    <x v="0"/>
  </r>
  <r>
    <x v="67"/>
    <s v="Sarah Alves Lisboa"/>
    <s v="comissão de 10% por indicação - LARISSA"/>
    <x v="28"/>
    <x v="7"/>
    <s v="JOSÉ ROBERTO PEREIRA DA SILVA"/>
    <s v="JOSÉ ROBERTO PEREIRA DA SILVA"/>
    <m/>
    <s v="APOSENTADORIA POR IDADE"/>
    <s v="Nathalia Louiz"/>
    <n v="-375"/>
    <s v="Saída"/>
    <x v="0"/>
  </r>
  <r>
    <x v="67"/>
    <s v="Sarah Alves Lisboa"/>
    <s v="70% de participação - Wanessa"/>
    <x v="28"/>
    <x v="7"/>
    <s v="HELTON GONÇALVES BARSANULFO"/>
    <s v="HELTON GONÇALVES BARSANULFO"/>
    <m/>
    <s v="AUXILIO DOENÇA"/>
    <s v="Nathalia Louiz"/>
    <n v="-23725.45"/>
    <s v="Saída"/>
    <x v="0"/>
  </r>
  <r>
    <x v="67"/>
    <s v="Sarah Alves Lisboa"/>
    <s v="Impressão"/>
    <x v="33"/>
    <x v="4"/>
    <s v="Laura Barbosa Marques"/>
    <s v="Laura Barbosa Marques"/>
    <m/>
    <m/>
    <s v="Thaynara Borges"/>
    <n v="-20"/>
    <s v="Saída"/>
    <x v="0"/>
  </r>
  <r>
    <x v="67"/>
    <s v="Sarah Alves Lisboa"/>
    <s v="PAGAMENTO COMISSÃO KARINE 20%"/>
    <x v="28"/>
    <x v="7"/>
    <s v="JOSÉ ROBERTO PEREIRA DA SILVA"/>
    <s v="JOSÉ ROBERTO PEREIRA DA SILVA"/>
    <m/>
    <s v="APOSENTADORIA POR IDADE"/>
    <s v="Nathalia Louiz"/>
    <n v="-750"/>
    <s v="Saída"/>
    <x v="0"/>
  </r>
  <r>
    <x v="67"/>
    <s v="Sarah Alves Lisboa"/>
    <s v="Reembolso de despesa"/>
    <x v="7"/>
    <x v="5"/>
    <s v="JOSELINA ROSA DE SANTANA"/>
    <s v="JOSELINA ROSA DE SANTANA"/>
    <m/>
    <m/>
    <s v="Nathalia Louiz"/>
    <n v="-21.73"/>
    <s v="Entrada"/>
    <x v="1"/>
  </r>
  <r>
    <x v="67"/>
    <s v="Sarah Alves Lisboa"/>
    <s v="RPV SUCUMBENCIA ( R$ 1.290,95 - 70% Vanessa = 371,86)"/>
    <x v="2"/>
    <x v="2"/>
    <s v="VALNEI PORTO MACHADO"/>
    <s v="VALNEI PORTO MACHADO"/>
    <m/>
    <s v="APOSENTADORIA POR TEMPO DE CONTRIBUIÇAO / ELETRICISTA"/>
    <s v="Nathalia Louiz"/>
    <n v="1290.95"/>
    <s v="Entrada"/>
    <x v="1"/>
  </r>
  <r>
    <x v="68"/>
    <s v="Sarah Alves Lisboa"/>
    <s v="DIÁRIAS DE LIMPEZA/MANUTENÇÃO DO ESCRITÓRIO (2 DIÁRIAS)"/>
    <x v="9"/>
    <x v="1"/>
    <s v="ELIZANGELA FERREIRA DA SILVA"/>
    <s v="ELIZANGELA FERREIRA DA SILVA"/>
    <m/>
    <m/>
    <s v="Nathalia Louiz"/>
    <n v="-340"/>
    <s v="Saída"/>
    <x v="0"/>
  </r>
  <r>
    <x v="69"/>
    <s v="Sarah Alves Lisboa"/>
    <s v="Honorários sobre o êxito (metade) Ação com Dra Flávia"/>
    <x v="2"/>
    <x v="2"/>
    <s v="ELLEN BORGES PEREIRA"/>
    <s v="ELLEN BORGES PEREIRA"/>
    <m/>
    <s v="ELLEN BORGES PEREIRA x SODEXO"/>
    <s v="Thaynara Borges"/>
    <n v="600"/>
    <s v="Entrada"/>
    <x v="1"/>
  </r>
  <r>
    <x v="69"/>
    <s v="Lisboa e Lisboa"/>
    <s v="PUBLICAÇÕES - ULTIMO BOLETO"/>
    <x v="12"/>
    <x v="1"/>
    <s v="AVISO URGENTE T I LTDA"/>
    <s v="AVISO URGENTE T I LTDA"/>
    <m/>
    <m/>
    <s v="Thaynara Borges"/>
    <n v="-507.3"/>
    <s v="Saída"/>
    <x v="0"/>
  </r>
  <r>
    <x v="69"/>
    <s v="Sarah Alves Lisboa"/>
    <s v="Cartão de Crédito Dra Thaynara"/>
    <x v="6"/>
    <x v="1"/>
    <s v="C6"/>
    <s v="C6"/>
    <m/>
    <m/>
    <s v="Thaynara Borges"/>
    <n v="-1012.15"/>
    <s v="Saída"/>
    <x v="0"/>
  </r>
  <r>
    <x v="70"/>
    <s v="Sarah Alves Lisboa"/>
    <s v="Recebido junto com pagamento do CAIO"/>
    <x v="2"/>
    <x v="2"/>
    <s v="LEILA DO CARMO GONÇALVES OLIVEIRA"/>
    <s v="LEILA DO CARMO GONÇALVES OLIVEIRA"/>
    <m/>
    <s v="APOSENTADORIA POR IDADE RURAL"/>
    <s v="Thaynara Borges"/>
    <n v="1362.3"/>
    <s v="Entrada"/>
    <x v="1"/>
  </r>
  <r>
    <x v="70"/>
    <s v="Sarah Alves Lisboa"/>
    <s v="Manutenção em 3 nobreaks"/>
    <x v="3"/>
    <x v="1"/>
    <s v="NOBREAK E CIA"/>
    <s v="NOBREAK E CIA"/>
    <m/>
    <m/>
    <s v="Thaynara Borges"/>
    <n v="-337"/>
    <s v="Saída"/>
    <x v="0"/>
  </r>
  <r>
    <x v="70"/>
    <s v="Sarah Alves Lisboa"/>
    <s v="30% sobre a implantação do beneficio"/>
    <x v="2"/>
    <x v="2"/>
    <s v="CARMEM LUCIA MENDES DE OLIVEIRA"/>
    <s v="CARMEM LUCIA MENDES DE OLIVEIRA"/>
    <m/>
    <s v="BENEFÍCIO POR INCAPACIDADE"/>
    <s v="Thaynara Borges"/>
    <n v="462.99"/>
    <s v="Entrada"/>
    <x v="1"/>
  </r>
  <r>
    <x v="70"/>
    <s v="Sarah Alves Lisboa"/>
    <s v="30% sob implantação abatendo 50% do Dr Ajnaldo"/>
    <x v="2"/>
    <x v="2"/>
    <s v="CAIO FERNANDES BORGES"/>
    <s v="CAIO FERNANDES BORGES"/>
    <m/>
    <s v="BENEFÍCIO POR INCAPACIDADE"/>
    <s v="Nathalia Louiz"/>
    <n v="1362.3"/>
    <s v="Entrada"/>
    <x v="1"/>
  </r>
  <r>
    <x v="71"/>
    <s v="Sarah Alves Lisboa"/>
    <s v="Domínio lisboaelisboa"/>
    <x v="3"/>
    <x v="1"/>
    <s v="[$empty$]"/>
    <s v="[$empty$]"/>
    <m/>
    <m/>
    <s v="Thaynara Borges"/>
    <n v="-40"/>
    <s v="Saída"/>
    <x v="0"/>
  </r>
  <r>
    <x v="71"/>
    <s v="Sarah Alves Lisboa"/>
    <s v="30% sobre a implantação do beneficio"/>
    <x v="2"/>
    <x v="2"/>
    <s v="COSME FREIRE BESSA"/>
    <s v="COSME FREIRE BESSA"/>
    <m/>
    <s v="BENEFÍCIO POR INCAPACIDADE"/>
    <s v="Thaynara Borges"/>
    <n v="934.08"/>
    <s v="Entrada"/>
    <x v="1"/>
  </r>
  <r>
    <x v="71"/>
    <s v="Sarah Alves Lisboa"/>
    <s v="Domínio prevlex"/>
    <x v="3"/>
    <x v="1"/>
    <s v="NIC BR"/>
    <s v="NIC BR"/>
    <m/>
    <m/>
    <s v="Thaynara Borges"/>
    <n v="-40"/>
    <s v="Saída"/>
    <x v="0"/>
  </r>
  <r>
    <x v="72"/>
    <s v="Thaynara Borges Pereira"/>
    <s v="Parceria com Dr. Silvio"/>
    <x v="2"/>
    <x v="2"/>
    <s v="ANTONIO PEREIRA SOBRINHO"/>
    <s v="ANTONIO PEREIRA SOBRINHO"/>
    <m/>
    <m/>
    <s v="Thaynara Borges"/>
    <n v="354"/>
    <s v="Entrada"/>
    <x v="2"/>
  </r>
  <r>
    <x v="72"/>
    <s v="Lisboa e Lisboa"/>
    <s v="IPTU - BOX 83"/>
    <x v="29"/>
    <x v="1"/>
    <s v="PREFEITURA MUNICIPAL DE GOIÂNIA"/>
    <s v="PREFEITURA MUNICIPAL DE GOIÂNIA"/>
    <m/>
    <m/>
    <s v="Nathalia Louiz"/>
    <n v="-42.74"/>
    <s v="Saída"/>
    <x v="0"/>
  </r>
  <r>
    <x v="72"/>
    <s v="Lisboa e Lisboa"/>
    <s v="FGTS"/>
    <x v="18"/>
    <x v="6"/>
    <s v="Ministério do Trabalho e Emprego"/>
    <s v="Ministério do Trabalho e Emprego"/>
    <m/>
    <m/>
    <s v="Thaynara Borges"/>
    <n v="-285.23"/>
    <s v="Saída"/>
    <x v="0"/>
  </r>
  <r>
    <x v="72"/>
    <s v="Lisboa e Lisboa"/>
    <s v="IPTU - BOX 81"/>
    <x v="29"/>
    <x v="1"/>
    <s v="PREFEITURA MUNICIPAL DE GOIÂNIA"/>
    <s v="PREFEITURA MUNICIPAL DE GOIÂNIA"/>
    <m/>
    <m/>
    <s v="Nathalia Louiz"/>
    <n v="-42.74"/>
    <s v="Saída"/>
    <x v="0"/>
  </r>
  <r>
    <x v="72"/>
    <s v="Lisboa e Lisboa"/>
    <s v="IPTU - BOX 82"/>
    <x v="29"/>
    <x v="1"/>
    <s v="PREFEITURA MUNICIPAL DE GOIÂNIA"/>
    <s v="PREFEITURA MUNICIPAL DE GOIÂNIA"/>
    <s v=""/>
    <m/>
    <s v="Nathalia Louiz"/>
    <n v="-42.74"/>
    <s v="Saída"/>
    <x v="0"/>
  </r>
  <r>
    <x v="72"/>
    <s v="Lisboa e Lisboa"/>
    <s v="Água"/>
    <x v="17"/>
    <x v="1"/>
    <s v="SANEAGO GOIAS S/A"/>
    <s v="SANEAGO GOIAS S/A"/>
    <m/>
    <m/>
    <s v="Thaynara Borges"/>
    <n v="-106.3"/>
    <s v="Saída"/>
    <x v="0"/>
  </r>
  <r>
    <x v="72"/>
    <s v="Lisboa e Lisboa"/>
    <s v="INSS"/>
    <x v="19"/>
    <x v="6"/>
    <s v="Receita Federal"/>
    <s v="Receita Federal"/>
    <m/>
    <m/>
    <s v="Thaynara Borges"/>
    <n v="-2041.63"/>
    <s v="Saída"/>
    <x v="0"/>
  </r>
  <r>
    <x v="72"/>
    <s v="Lisboa e Lisboa"/>
    <s v="Simples Nacional"/>
    <x v="20"/>
    <x v="7"/>
    <s v="Simples Nacional"/>
    <s v="Simples Nacional"/>
    <m/>
    <m/>
    <s v="Thaynara Borges"/>
    <n v="-1722.45"/>
    <s v="Saída"/>
    <x v="0"/>
  </r>
  <r>
    <x v="72"/>
    <s v="Lisboa e Lisboa"/>
    <s v="IPTU - SALA B74"/>
    <x v="29"/>
    <x v="1"/>
    <s v="PREFEITURA MUNICIPAL DE GOIÂNIA"/>
    <s v="PREFEITURA MUNICIPAL DE GOIÂNIA"/>
    <m/>
    <m/>
    <s v="Nathalia Louiz"/>
    <n v="-125.52"/>
    <s v="Saída"/>
    <x v="0"/>
  </r>
  <r>
    <x v="72"/>
    <s v="Lisboa e Lisboa"/>
    <s v="IPTU - BOX 78"/>
    <x v="29"/>
    <x v="1"/>
    <s v="PREFEITURA MUNICIPAL DE GOIÂNIA"/>
    <s v="PREFEITURA MUNICIPAL DE GOIÂNIA"/>
    <m/>
    <m/>
    <s v="Nathalia Louiz"/>
    <n v="-42.74"/>
    <s v="Saída"/>
    <x v="0"/>
  </r>
  <r>
    <x v="72"/>
    <s v="Lisboa e Lisboa"/>
    <s v="IPTU - BOX 88"/>
    <x v="29"/>
    <x v="1"/>
    <s v="PREFEITURA MUNICIPAL DE GOIÂNIA"/>
    <s v="PREFEITURA MUNICIPAL DE GOIÂNIA"/>
    <m/>
    <m/>
    <s v="Nathalia Louiz"/>
    <n v="-42.74"/>
    <s v="Saída"/>
    <x v="0"/>
  </r>
  <r>
    <x v="72"/>
    <s v="Lisboa e Lisboa"/>
    <s v="HONORARIOS RPV (50%)"/>
    <x v="2"/>
    <x v="2"/>
    <s v="JOSELINA ROSA DE SANTANA"/>
    <s v="JOSELINA ROSA DE SANTANA"/>
    <m/>
    <s v="APOSENTADORIA RURAL"/>
    <s v="Nathalia Louiz"/>
    <n v="4802.2700000000004"/>
    <s v="Entrada"/>
    <x v="1"/>
  </r>
  <r>
    <x v="73"/>
    <s v="Lisboa e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2"/>
  </r>
  <r>
    <x v="73"/>
    <s v="Sarah Alves Lisboa"/>
    <s v="DIÁRIAS DE LIMPEZA/MANUTENÇÃO DO ESCRITÓRIO (2 DIÁRIAS)"/>
    <x v="9"/>
    <x v="1"/>
    <s v="ELIZANGELA FERREIRA DA SILVA"/>
    <s v="ELIZANGELA FERREIRA DA SILVA"/>
    <m/>
    <m/>
    <s v="Nathalia Louiz"/>
    <n v="-340"/>
    <s v="Saída"/>
    <x v="0"/>
  </r>
  <r>
    <x v="74"/>
    <s v="Sarah Alves Lisboa"/>
    <s v="Honorários RPV (30% + ANUIDADE)"/>
    <x v="2"/>
    <x v="2"/>
    <s v="VALERIA ALVES VIEIRA"/>
    <s v="VALERIA ALVES VIEIRA"/>
    <m/>
    <s v="AMPARO AO DEFICIENTE"/>
    <s v="Nathalia Louiz"/>
    <n v="9171.34"/>
    <s v="Entrada"/>
    <x v="1"/>
  </r>
  <r>
    <x v="74"/>
    <s v="Lisboa e Lisboa"/>
    <s v="40% SOBRE OS ATRASADOS + 3 SALARIOS DE BENEFICIOS."/>
    <x v="2"/>
    <x v="2"/>
    <s v="CLAUDIA NUNES DOS SANTOS BARCELOS"/>
    <s v="CLAUDIA NUNES DOS SANTOS BARCELOS"/>
    <m/>
    <s v="AUXILIO DOENÇA"/>
    <s v="Nathalia Louiz"/>
    <n v="9860.56"/>
    <s v="Entrada"/>
    <x v="1"/>
  </r>
  <r>
    <x v="74"/>
    <s v="Lisboa e Lisboa"/>
    <s v="50% dos honorários (Parceria Dr Ajnaldo)"/>
    <x v="2"/>
    <x v="2"/>
    <s v="LEILA DO CARMO GONÇALVES OLIVEIRA"/>
    <s v="LEILA DO CARMO GONÇALVES OLIVEIRA"/>
    <m/>
    <s v="APOSENTADORIA POR IDADE RURAL"/>
    <s v="Thaynara Borges"/>
    <n v="1137.7"/>
    <s v="Entrada"/>
    <x v="2"/>
  </r>
  <r>
    <x v="74"/>
    <s v="Lisboa e Lisboa"/>
    <s v="HONORÁRIO RPV (30%)"/>
    <x v="2"/>
    <x v="2"/>
    <s v="Eliane Teixeira do Nascimento Souza"/>
    <s v="Eliane Teixeira do Nascimento Souza"/>
    <m/>
    <s v="RESTABELECIMENTO DE AUXILIO DOENÇA"/>
    <s v="Nathalia Louiz"/>
    <n v="1510.48"/>
    <s v="Entrada"/>
    <x v="1"/>
  </r>
  <r>
    <x v="74"/>
    <s v="Sarah Alves Lisboa"/>
    <s v="Elaboração de novo contrato social"/>
    <x v="30"/>
    <x v="9"/>
    <s v="IVAN GUSTAVO JUNIO SANTOS TRINDADE"/>
    <s v="IVAN GUSTAVO JUNIO SANTOS TRINDADE"/>
    <m/>
    <m/>
    <s v="Thaynara Borges"/>
    <n v="-15000"/>
    <s v="Saída"/>
    <x v="0"/>
  </r>
  <r>
    <x v="75"/>
    <s v="Sarah Alves Lisboa"/>
    <s v="40% sobre os atrasados (R$ 8.033,91)"/>
    <x v="2"/>
    <x v="2"/>
    <s v="VALDOMIRO ROSA DE OLIVEIRA"/>
    <s v="VALDOMIRO ROSA DE OLIVEIRA"/>
    <m/>
    <s v="AUXILIO DOENÇA"/>
    <s v="Thaynara Borges"/>
    <n v="3213.56"/>
    <s v="Entrada"/>
    <x v="1"/>
  </r>
  <r>
    <x v="75"/>
    <s v="Sarah Alves Lisboa"/>
    <s v="Anuidade - parceria com Dr Fernando"/>
    <x v="2"/>
    <x v="2"/>
    <s v="ELVIO DE OLIVEIRA SOARES"/>
    <s v="ELVIO DE OLIVEIRA SOARES"/>
    <m/>
    <s v="APOSENTADORIA POR IDADE"/>
    <s v="Thaynara Borges"/>
    <n v="423.6"/>
    <s v="Entrada"/>
    <x v="1"/>
  </r>
  <r>
    <x v="75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75"/>
    <s v="Sarah Alves Lisboa"/>
    <s v="Acerto parte da Vanessa sucumbência cumprimento de sentença"/>
    <x v="28"/>
    <x v="7"/>
    <s v="VALNEI PORTO MACHADO"/>
    <s v="VALNEI PORTO MACHADO"/>
    <m/>
    <s v="APOSENTADORIA POR TEMPO DE CONTRIBUIÇAO / ELETRICISTA"/>
    <s v="Thaynara Borges"/>
    <n v="-903.66"/>
    <s v="Saída"/>
    <x v="0"/>
  </r>
  <r>
    <x v="75"/>
    <s v="Sarah Alves Lisboa"/>
    <s v="COMISSÃO 50% DR FERNANDO"/>
    <x v="28"/>
    <x v="7"/>
    <s v="ELVIO DE OLIVEIRA SOARES"/>
    <s v="ELVIO DE OLIVEIRA SOARES"/>
    <m/>
    <s v="APOSENTADORIA POR IDADE"/>
    <s v="Nathalia Louiz"/>
    <n v="-211.8"/>
    <s v="Saída"/>
    <x v="0"/>
  </r>
  <r>
    <x v="75"/>
    <s v="Sarah Alves Lisboa"/>
    <s v="COMISSÃO 50% DR GUSTAVO"/>
    <x v="28"/>
    <x v="7"/>
    <s v="VALDOMIRO ROSA DE OLIVEIRA"/>
    <s v="VALDOMIRO ROSA DE OLIVEIRA"/>
    <m/>
    <s v="AUXILIO DOENÇA"/>
    <s v="Nathalia Louiz"/>
    <n v="-2812.18"/>
    <s v="Saída"/>
    <x v="0"/>
  </r>
  <r>
    <x v="75"/>
    <s v="Sarah Alves Lisboa"/>
    <s v="RPV SUCUMBENCIA"/>
    <x v="2"/>
    <x v="2"/>
    <s v="VALNEI PORTO MACHADO"/>
    <s v="VALNEI PORTO MACHADO"/>
    <m/>
    <s v="APOSENTADORIA POR TEMPO DE CONTRIBUIÇAO / ELETRICISTA"/>
    <s v="Nathalia Louiz"/>
    <n v="6604.83"/>
    <s v="Entrada"/>
    <x v="1"/>
  </r>
  <r>
    <x v="75"/>
    <s v="Sarah Alves Lisboa"/>
    <s v="30% SOB A IMPLANTAÇÃO"/>
    <x v="2"/>
    <x v="2"/>
    <s v="ANDERSON FRADIQUE VINHAL RIBEIRO PEREIRA"/>
    <s v="ANDERSON FRADIQUE VINHAL RIBEIRO PEREIRA"/>
    <m/>
    <s v="BENEFÍCIO POR INCAPACIDADE"/>
    <s v="Nathalia Louiz"/>
    <n v="713.7"/>
    <s v="Entrada"/>
    <x v="1"/>
  </r>
  <r>
    <x v="75"/>
    <s v="Sarah Alves Lisboa"/>
    <s v="40% implantação - será descontada nos atrasados (40% de R$6.027 - Implantação)"/>
    <x v="2"/>
    <x v="2"/>
    <s v="VALDOMIRO ROSA DE OLIVEIRA"/>
    <s v="VALDOMIRO ROSA DE OLIVEIRA"/>
    <m/>
    <s v="AUXILIO DOENÇA"/>
    <s v="Nathalia Louiz"/>
    <n v="2410.8000000000002"/>
    <s v="Entrada"/>
    <x v="1"/>
  </r>
  <r>
    <x v="76"/>
    <s v="Lisboa e Lisboa"/>
    <s v="Parcelas - honorários 3 benefícios"/>
    <x v="2"/>
    <x v="2"/>
    <s v="JOÃO BAREICHA FERREIRA GALVÃO"/>
    <s v="JOÃO BAREICHA FERREIRA GALVÃO"/>
    <m/>
    <s v="APOSENTADORIA"/>
    <s v="Thaynara Borges"/>
    <n v="1589.72"/>
    <s v="Entrada"/>
    <x v="1"/>
  </r>
  <r>
    <x v="77"/>
    <s v="Sarah Alves Lisboa"/>
    <s v="APARELHO TELEFONE - FIXO (Para o escritório)"/>
    <x v="26"/>
    <x v="1"/>
    <s v="KABUM"/>
    <s v="KABUM"/>
    <m/>
    <m/>
    <s v="Nathalia Louiz"/>
    <n v="-65.14"/>
    <s v="Saída"/>
    <x v="0"/>
  </r>
  <r>
    <x v="77"/>
    <s v="Lisboa e Lisboa"/>
    <s v="Energia contrato 0067122721"/>
    <x v="21"/>
    <x v="1"/>
    <s v="EQUATORIAL GOIAS 0067122721"/>
    <s v="EQUATORIAL GOIAS 0067122721"/>
    <m/>
    <m/>
    <s v="Thaynara Borges"/>
    <n v="-627.22"/>
    <s v="Saída"/>
    <x v="0"/>
  </r>
  <r>
    <x v="77"/>
    <s v="Sarah Alves Lisboa"/>
    <s v="Exame admissional"/>
    <x v="27"/>
    <x v="4"/>
    <s v="Katyucia G Santos"/>
    <s v="Katyucia G Santos"/>
    <m/>
    <m/>
    <s v="Nathalia Louiz"/>
    <n v="-30"/>
    <s v="Saída"/>
    <x v="0"/>
  </r>
  <r>
    <x v="77"/>
    <s v="Lisboa e Lisboa"/>
    <s v="Energia contrato 0067122663"/>
    <x v="21"/>
    <x v="1"/>
    <s v="EQUATORIAL GOIAS 0067122663"/>
    <s v="EQUATORIAL GOIAS 0067122663"/>
    <m/>
    <m/>
    <s v="Thaynara Borges"/>
    <n v="-380.75"/>
    <s v="Saída"/>
    <x v="0"/>
  </r>
  <r>
    <x v="77"/>
    <s v="Sarah Alves Lisboa"/>
    <s v="DIÁRIAS DE LIMPEZA/MANUTENÇÃO DO ESCRITÓRIO (2 DIÁRIAS)"/>
    <x v="9"/>
    <x v="1"/>
    <s v="ELIZANGELA FERREIRA DA SILVA"/>
    <s v="ELIZANGELA FERREIRA DA SILVA"/>
    <m/>
    <m/>
    <s v="Nathalia Louiz"/>
    <n v="-340"/>
    <s v="Saída"/>
    <x v="0"/>
  </r>
  <r>
    <x v="77"/>
    <s v="Sarah Alves Lisboa"/>
    <s v="Reunião - Comissão"/>
    <x v="28"/>
    <x v="7"/>
    <s v="Maura Cardoso Borges"/>
    <s v="Maura Cardoso Borges"/>
    <m/>
    <m/>
    <s v="Nathalia Louiz"/>
    <n v="-200"/>
    <s v="Saída"/>
    <x v="0"/>
  </r>
  <r>
    <x v="78"/>
    <s v="Sarah Alves Lisboa"/>
    <s v="Retirada"/>
    <x v="22"/>
    <x v="8"/>
    <s v="Thaynara Borges Pereira"/>
    <s v="Thaynara Borges Pereira"/>
    <m/>
    <m/>
    <s v="Thaynara Borges"/>
    <n v="-3648.98"/>
    <s v="Saída"/>
    <x v="0"/>
  </r>
  <r>
    <x v="78"/>
    <s v="Lisboa e Lisboa"/>
    <s v="Bolsa Estagio"/>
    <x v="13"/>
    <x v="6"/>
    <s v="Laura Barbosa Marques"/>
    <s v="Laura Barbosa Marques"/>
    <m/>
    <m/>
    <s v="Thaynara Borges"/>
    <n v="-1300"/>
    <s v="Saída"/>
    <x v="0"/>
  </r>
  <r>
    <x v="78"/>
    <s v="Lisboa e Lisboa"/>
    <s v="Salario"/>
    <x v="15"/>
    <x v="6"/>
    <s v="Nina Araujo"/>
    <s v="Nina Araujo"/>
    <m/>
    <m/>
    <s v="Thaynara Borges"/>
    <n v="-3195.89"/>
    <s v="Saída"/>
    <x v="0"/>
  </r>
  <r>
    <x v="78"/>
    <s v="Lisboa e Lisboa"/>
    <s v="PRÓ-LABORE"/>
    <x v="23"/>
    <x v="8"/>
    <s v="Thaynara Borges Pereira"/>
    <s v="Thaynara Borges Pereira"/>
    <m/>
    <m/>
    <s v="Thaynara Borges"/>
    <n v="-1351.02"/>
    <s v="Saída"/>
    <x v="0"/>
  </r>
  <r>
    <x v="78"/>
    <s v="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78"/>
    <s v="Sarah Alves Lisboa"/>
    <s v="PAPELARIA - BOAS VINDAS KATIUCIA"/>
    <x v="27"/>
    <x v="4"/>
    <s v="DIGITAL COPIAS - GRÁFICA"/>
    <s v="DIGITAL COPIAS - GRÁFICA"/>
    <m/>
    <m/>
    <s v="Nathalia Louiz"/>
    <n v="-4"/>
    <s v="Saída"/>
    <x v="0"/>
  </r>
  <r>
    <x v="78"/>
    <s v="Lisboa e Lisboa"/>
    <s v="Salário"/>
    <x v="15"/>
    <x v="6"/>
    <s v="Raffaela Nunes"/>
    <s v="Raffaela Nunes"/>
    <m/>
    <m/>
    <s v="Thaynara Borges"/>
    <n v="-1420.06"/>
    <s v="Saída"/>
    <x v="0"/>
  </r>
  <r>
    <x v="78"/>
    <s v="Lisboa e Lisboa"/>
    <s v="Bolsa Estagio"/>
    <x v="13"/>
    <x v="6"/>
    <s v="ISABELLA ALVIM BIACHINI"/>
    <s v="ISABELLA ALVIM BIACHINI"/>
    <m/>
    <m/>
    <s v="Thaynara Borges"/>
    <n v="-1300"/>
    <s v="Saída"/>
    <x v="0"/>
  </r>
  <r>
    <x v="78"/>
    <s v="Sarah Alves Lisboa"/>
    <s v="50% SOBRE A IMPLANTAÇÃO"/>
    <x v="2"/>
    <x v="2"/>
    <s v="IRANY CARDOSO TEIXEIRA"/>
    <s v="IRANY CARDOSO TEIXEIRA"/>
    <m/>
    <s v="APOSENTADORIA RURAL"/>
    <s v="Thaynara Borges"/>
    <n v="759"/>
    <s v="Entrada"/>
    <x v="1"/>
  </r>
  <r>
    <x v="78"/>
    <s v="Sarah Alves Lisboa"/>
    <s v="Retirada"/>
    <x v="22"/>
    <x v="8"/>
    <s v="Sarah Alves Lisboa"/>
    <s v="Sarah Alves Lisboa"/>
    <m/>
    <m/>
    <s v="Thaynara Borges"/>
    <n v="-6148.98"/>
    <s v="Saída"/>
    <x v="0"/>
  </r>
  <r>
    <x v="78"/>
    <s v="Sarah Alves Lisboa"/>
    <s v="Salario"/>
    <x v="15"/>
    <x v="6"/>
    <s v="Raffaela Nunes"/>
    <s v="Raffaela Nunes"/>
    <m/>
    <m/>
    <s v="Thaynara Borges"/>
    <n v="-1079.94"/>
    <s v="Saída"/>
    <x v="0"/>
  </r>
  <r>
    <x v="78"/>
    <s v="Lisboa e Lisboa"/>
    <s v="PRÓ-LABORE"/>
    <x v="23"/>
    <x v="8"/>
    <s v="Sarah Alves Lisboa"/>
    <s v="Sarah Alves Lisboa"/>
    <m/>
    <m/>
    <s v="Thaynara Borges"/>
    <n v="-1351.02"/>
    <s v="Saída"/>
    <x v="0"/>
  </r>
  <r>
    <x v="79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79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79"/>
    <s v="Cartão de Crédito Dr Ivanildo"/>
    <s v="Google One"/>
    <x v="12"/>
    <x v="1"/>
    <s v="BANCO ITAU"/>
    <s v="BANCO ITAU"/>
    <m/>
    <m/>
    <s v="Thaynara Borges"/>
    <n v="-38.99"/>
    <s v="Saída"/>
    <x v="0"/>
  </r>
  <r>
    <x v="79"/>
    <s v="Cartão de Crédito Dr Ivanildo"/>
    <s v="ASA TRINDADE"/>
    <x v="27"/>
    <x v="4"/>
    <s v="BANCO ITAU"/>
    <s v="BANCO ITAU"/>
    <m/>
    <m/>
    <s v="Nathalia Louiz"/>
    <n v="-61.1"/>
    <s v="Saída"/>
    <x v="0"/>
  </r>
  <r>
    <x v="79"/>
    <s v="Cartão de Crédito Dr Ivanildo"/>
    <s v="CANAA FRIOS"/>
    <x v="11"/>
    <x v="1"/>
    <s v="BANCO ITAU"/>
    <s v="BANCO ITAU"/>
    <m/>
    <m/>
    <s v="Nathalia Louiz"/>
    <n v="-50.7"/>
    <s v="Saída"/>
    <x v="0"/>
  </r>
  <r>
    <x v="79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79"/>
    <s v="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79"/>
    <s v="Cartão de Crédito Dr Ivanildo"/>
    <s v="ASSAI ATACADISTA"/>
    <x v="26"/>
    <x v="1"/>
    <s v="BANCO ITAU"/>
    <s v="BANCO ITAU"/>
    <m/>
    <m/>
    <s v="Nathalia Louiz"/>
    <n v="-111.38"/>
    <s v="Saída"/>
    <x v="0"/>
  </r>
  <r>
    <x v="79"/>
    <s v="Cartão de Crédito Dr Ivanildo"/>
    <s v="MAU NENHUM"/>
    <x v="27"/>
    <x v="4"/>
    <s v="BANCO ITAU"/>
    <s v="BANCO ITAU"/>
    <m/>
    <m/>
    <s v="Nathalia Louiz"/>
    <n v="-415"/>
    <s v="Saída"/>
    <x v="0"/>
  </r>
  <r>
    <x v="79"/>
    <s v="Cartão de Crédito Dr Ivanildo"/>
    <s v="CANAÃ FRIOS"/>
    <x v="11"/>
    <x v="1"/>
    <s v="BANCO ITAU"/>
    <s v="BANCO ITAU"/>
    <m/>
    <m/>
    <s v="Nathalia Louiz"/>
    <n v="-45"/>
    <s v="Saída"/>
    <x v="0"/>
  </r>
  <r>
    <x v="79"/>
    <s v="Cartão de Crédito Dr Ivanildo"/>
    <s v="Clinica e PI"/>
    <x v="27"/>
    <x v="4"/>
    <s v="BANCO ITAU"/>
    <s v="BANCO ITAU"/>
    <m/>
    <m/>
    <s v="Nathalia Louiz"/>
    <n v="-48"/>
    <s v="Saída"/>
    <x v="0"/>
  </r>
  <r>
    <x v="79"/>
    <s v="Sarah Alves Lisboa"/>
    <s v="50% SOBRE A IMPLANTAÇÃO DO BENEFICIO"/>
    <x v="2"/>
    <x v="2"/>
    <s v="SIMONE BERNARDES DA SILVA SANTANA"/>
    <s v="SIMONE BERNARDES DA SILVA SANTANA"/>
    <m/>
    <s v="APOSENTADORIA RURAL"/>
    <s v="Thaynara Borges"/>
    <n v="2288.5"/>
    <s v="Entrada"/>
    <x v="1"/>
  </r>
  <r>
    <x v="79"/>
    <s v="Cartão de Crédito Dr Ivanildo"/>
    <s v="Prévius"/>
    <x v="12"/>
    <x v="1"/>
    <s v="BANCO ITAU"/>
    <s v="BANCO ITAU"/>
    <m/>
    <m/>
    <s v="Thaynara Borges"/>
    <n v="-80.91"/>
    <s v="Saída"/>
    <x v="0"/>
  </r>
  <r>
    <x v="79"/>
    <s v="Cartão de Crédito Dr Ivanildo"/>
    <s v="DELLA PANIFICADORA"/>
    <x v="11"/>
    <x v="1"/>
    <s v="BANCO ITAU"/>
    <s v="BANCO ITAU"/>
    <m/>
    <m/>
    <s v="Nathalia Louiz"/>
    <n v="-228.34"/>
    <s v="Saída"/>
    <x v="0"/>
  </r>
  <r>
    <x v="79"/>
    <s v="Cartão de Crédito Dr Ivanildo"/>
    <s v="BENEDITA GASTRONIMIA"/>
    <x v="11"/>
    <x v="1"/>
    <s v="BANCO ITAU"/>
    <s v="BANCO ITAU"/>
    <m/>
    <m/>
    <s v="Nathalia Louiz"/>
    <n v="-15"/>
    <s v="Saída"/>
    <x v="0"/>
  </r>
  <r>
    <x v="79"/>
    <s v="Cartão de Crédito Dr Ivanildo"/>
    <s v="Pagamento Cartão de Crédito Dr Ivanildo"/>
    <x v="6"/>
    <x v="1"/>
    <s v="BANCO ITAU"/>
    <s v="BANCO ITAU"/>
    <m/>
    <m/>
    <s v="Thaynara Borges"/>
    <n v="3059.88"/>
    <s v="Entrada"/>
    <x v="1"/>
  </r>
  <r>
    <x v="79"/>
    <s v="Cartão de Crédito Dr Ivanildo"/>
    <s v="Cestas de fim de ano para equipe"/>
    <x v="11"/>
    <x v="1"/>
    <s v="BANCO ITAU"/>
    <s v="BANCO ITAU"/>
    <m/>
    <m/>
    <s v="Thaynara Borges"/>
    <n v="-725"/>
    <s v="Saída"/>
    <x v="0"/>
  </r>
  <r>
    <x v="79"/>
    <s v="Cartão de Crédito Dr Ivanildo"/>
    <s v="BOLOS DO SITIO"/>
    <x v="11"/>
    <x v="1"/>
    <s v="BANCO ITAU"/>
    <s v="BANCO ITAU"/>
    <m/>
    <m/>
    <s v="Nathalia Louiz"/>
    <n v="-28"/>
    <s v="Saída"/>
    <x v="0"/>
  </r>
  <r>
    <x v="79"/>
    <s v="Lisboa e Lisboa"/>
    <s v="Honorários 20% sobre os atrasados"/>
    <x v="2"/>
    <x v="2"/>
    <s v="ELON NOLETO ROCHA"/>
    <s v="ELON NOLETO ROCHA"/>
    <m/>
    <s v="ELON NOLETO ROCHA x GOIASPREV"/>
    <s v="Thaynara Borges"/>
    <n v="41260.39"/>
    <s v="Entrada"/>
    <x v="1"/>
  </r>
  <r>
    <x v="79"/>
    <s v="Cartão de Crédito Dr Ivanildo"/>
    <s v="Google One"/>
    <x v="12"/>
    <x v="1"/>
    <s v="BANCO ITAU"/>
    <s v="BANCO ITAU"/>
    <m/>
    <m/>
    <s v="Thaynara Borges"/>
    <n v="-11.99"/>
    <s v="Saída"/>
    <x v="0"/>
  </r>
  <r>
    <x v="79"/>
    <s v="Cartão de Crédito Dr Ivanildo"/>
    <s v="Jusbrasil"/>
    <x v="12"/>
    <x v="1"/>
    <s v="BANCO ITAU"/>
    <s v="BANCO ITAU"/>
    <m/>
    <m/>
    <s v="Thaynara Borges"/>
    <n v="-58.9"/>
    <s v="Saída"/>
    <x v="0"/>
  </r>
  <r>
    <x v="79"/>
    <s v="Cartão de Crédito Dr Ivanildo"/>
    <s v="Jusbrasil"/>
    <x v="12"/>
    <x v="1"/>
    <s v="BANCO ITAU"/>
    <s v="BANCO ITAU"/>
    <m/>
    <m/>
    <s v="Thaynara Borges"/>
    <n v="-58.9"/>
    <s v="Saída"/>
    <x v="0"/>
  </r>
  <r>
    <x v="79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79"/>
    <s v="Cartão de Crédito Dr Ivanildo"/>
    <s v="CANAÃ FRIOS"/>
    <x v="11"/>
    <x v="1"/>
    <s v="BANCO ITAU"/>
    <s v="BANCO ITAU"/>
    <m/>
    <m/>
    <s v="Nathalia Louiz"/>
    <n v="-54.3"/>
    <s v="Saída"/>
    <x v="0"/>
  </r>
  <r>
    <x v="79"/>
    <s v="Cartão de Crédito Dr Ivanildo"/>
    <s v="PAO DE AÇUCAR"/>
    <x v="27"/>
    <x v="4"/>
    <s v="BANCO ITAU"/>
    <s v="BANCO ITAU"/>
    <m/>
    <m/>
    <s v="Nathalia Louiz"/>
    <n v="-555.33000000000004"/>
    <s v="Saída"/>
    <x v="0"/>
  </r>
  <r>
    <x v="80"/>
    <s v="Lisboa e Lisboa"/>
    <s v="Honorários Vanessa Lisboa: lançar como retirada Sarah"/>
    <x v="28"/>
    <x v="7"/>
    <s v="ELON NOLETO ROCHA"/>
    <s v="ELON NOLETO ROCHA"/>
    <m/>
    <s v="ELON NOLETO ROCHA x GOIASPREV"/>
    <s v="Thaynara Borges"/>
    <n v="-41260.39"/>
    <s v="Saída"/>
    <x v="0"/>
  </r>
  <r>
    <x v="80"/>
    <s v="Lisboa e Lisboa"/>
    <s v="Plano mensal - conta corrente"/>
    <x v="4"/>
    <x v="3"/>
    <s v="BANCO ITAU"/>
    <s v="BANCO ITAU"/>
    <m/>
    <m/>
    <s v="Thaynara Borges"/>
    <n v="-79.5"/>
    <s v="Saída"/>
    <x v="0"/>
  </r>
  <r>
    <x v="80"/>
    <s v="Lisboa e Lisboa"/>
    <s v="Serviços de TI"/>
    <x v="3"/>
    <x v="1"/>
    <s v="Rhuan Carlos Batista"/>
    <s v="Rhuan Carlos Batista"/>
    <m/>
    <m/>
    <s v="Nathalia Louiz"/>
    <n v="-290"/>
    <s v="Saída"/>
    <x v="0"/>
  </r>
  <r>
    <x v="80"/>
    <s v="Lisboa e Lisboa"/>
    <s v="DEDETIZAÇÃO"/>
    <x v="14"/>
    <x v="1"/>
    <s v="IDEAL DEDETIZADORA E DESENTUPIDORA"/>
    <s v="IDEAL DEDETIZADORA E DESENTUPIDORA"/>
    <m/>
    <m/>
    <s v="Nathalia Louiz"/>
    <n v="-280"/>
    <s v="Saída"/>
    <x v="0"/>
  </r>
  <r>
    <x v="81"/>
    <s v="Sarah Alves Lisboa"/>
    <s v="COMISSÃO"/>
    <x v="28"/>
    <x v="7"/>
    <s v="Thaynara Borges Pereira"/>
    <s v="Thaynara Borges Pereira"/>
    <m/>
    <m/>
    <s v="Nathalia Louiz"/>
    <n v="-100"/>
    <s v="Saída"/>
    <x v="0"/>
  </r>
  <r>
    <x v="81"/>
    <s v="Sarah Alves Lisboa"/>
    <s v="COMISSÃO"/>
    <x v="28"/>
    <x v="7"/>
    <s v="EVANILZA ARAUJO MORAES"/>
    <s v="EVANILZA ARAUJO MORAES"/>
    <m/>
    <m/>
    <s v="Nathalia Louiz"/>
    <n v="-100"/>
    <s v="Saída"/>
    <x v="0"/>
  </r>
  <r>
    <x v="81"/>
    <s v="Sarah Alves Lisboa"/>
    <s v="COMISSÃO"/>
    <x v="28"/>
    <x v="7"/>
    <s v="SARAH ALVES LISBOA"/>
    <s v="SARAH ALVES LISBOA"/>
    <m/>
    <m/>
    <s v="Nathalia Louiz"/>
    <n v="-100"/>
    <s v="Saída"/>
    <x v="0"/>
  </r>
  <r>
    <x v="81"/>
    <s v="Sarah Alves Lisboa"/>
    <s v="COMISSÃO"/>
    <x v="28"/>
    <x v="7"/>
    <s v="Laura Barbosa Marques"/>
    <s v="Laura Barbosa Marques"/>
    <m/>
    <m/>
    <s v="Nathalia Louiz"/>
    <n v="-100"/>
    <s v="Saída"/>
    <x v="0"/>
  </r>
  <r>
    <x v="81"/>
    <s v="Sarah Alves Lisboa"/>
    <s v="Confecção de contrato de trabalho"/>
    <x v="34"/>
    <x v="1"/>
    <s v="KARINE RODRIGUES DA SILVA / LAUDIMAR MARCIANO"/>
    <s v="KARINE RODRIGUES DA SILVA / LAUDIMAR MARCIANO"/>
    <m/>
    <m/>
    <s v="Nathalia Louiz"/>
    <n v="-2000"/>
    <s v="Saída"/>
    <x v="0"/>
  </r>
  <r>
    <x v="81"/>
    <s v="Sarah Alves Lisboa"/>
    <s v="COMISSÃO"/>
    <x v="28"/>
    <x v="7"/>
    <s v="ISABELLA ALVIM BIACHINI"/>
    <s v="ISABELLA ALVIM BIACHINI"/>
    <m/>
    <m/>
    <s v="Nathalia Louiz"/>
    <n v="-100"/>
    <s v="Saída"/>
    <x v="0"/>
  </r>
  <r>
    <x v="81"/>
    <s v="Sarah Alves Lisboa"/>
    <s v="Cesta de despedida Isabella"/>
    <x v="11"/>
    <x v="1"/>
    <s v="CARLA SILVA (CESTAS)"/>
    <s v="CARLA SILVA (CESTAS)"/>
    <m/>
    <m/>
    <s v="Nathalia Louiz"/>
    <n v="-248"/>
    <s v="Saída"/>
    <x v="0"/>
  </r>
  <r>
    <x v="81"/>
    <s v="Sarah Alves Lisboa"/>
    <s v="COMISSÃO"/>
    <x v="28"/>
    <x v="7"/>
    <s v="Raffaela Nunes"/>
    <s v="Raffaela Nunes"/>
    <m/>
    <m/>
    <s v="Nathalia Louiz"/>
    <n v="-100"/>
    <s v="Saída"/>
    <x v="0"/>
  </r>
  <r>
    <x v="82"/>
    <s v="Sarah Alves Lisboa"/>
    <s v="DIÁRIAS - MANUTENÇÃO DO ESCRITÓRIO"/>
    <x v="9"/>
    <x v="1"/>
    <s v="ELIZANGELA FERREIRA DA SILVA"/>
    <s v="ELIZANGELA FERREIRA DA SILVA"/>
    <m/>
    <m/>
    <s v="Nathalia Louiz"/>
    <n v="-340"/>
    <s v="Saída"/>
    <x v="0"/>
  </r>
  <r>
    <x v="82"/>
    <s v="Sarah Alves Lisboa"/>
    <s v="ANUIDADE 12X"/>
    <x v="2"/>
    <x v="2"/>
    <s v="ANA PEREIRA DA SILVA JESUS"/>
    <s v="ANA PEREIRA DA SILVA JESUS"/>
    <m/>
    <s v="AMPARA AO IDOSO"/>
    <s v="Nathalia Louiz"/>
    <n v="303.60000000000002"/>
    <s v="Entrada"/>
    <x v="1"/>
  </r>
  <r>
    <x v="82"/>
    <s v="Sarah Alves Lisboa"/>
    <s v="30% SOBRE A IMPLANTAÇÃO"/>
    <x v="2"/>
    <x v="2"/>
    <s v="DARLENE CAIXETA DOS SANTOS"/>
    <s v="DARLENE CAIXETA DOS SANTOS"/>
    <m/>
    <s v="BENEFÍCIO POR INCAPACIDADE"/>
    <s v="Thaynara Borges"/>
    <n v="1367.7"/>
    <s v="Entrada"/>
    <x v="1"/>
  </r>
  <r>
    <x v="82"/>
    <s v="Sarah Alves Lisboa"/>
    <s v="Abastecimento Combustível -  Sarah"/>
    <x v="27"/>
    <x v="4"/>
    <s v="POSTO 2824"/>
    <s v="POSTO 2824"/>
    <m/>
    <m/>
    <s v="Nathalia Louiz"/>
    <n v="-110"/>
    <s v="Saída"/>
    <x v="0"/>
  </r>
  <r>
    <x v="83"/>
    <s v="Sarah Alves Lisboa"/>
    <s v="PLANEJAMENTO"/>
    <x v="2"/>
    <x v="2"/>
    <s v="ISMAEL ALVES MADUREIRA"/>
    <s v="ISMAEL ALVES MADUREIRA"/>
    <m/>
    <m/>
    <s v="Nathalia Louiz"/>
    <n v="300"/>
    <s v="Entrada"/>
    <x v="2"/>
  </r>
  <r>
    <x v="84"/>
    <s v="Lisboa e Lisboa"/>
    <s v="Taxa de Condomínio Sala B-74"/>
    <x v="10"/>
    <x v="1"/>
    <s v="ATON BUSINESS STYLE"/>
    <s v="ATON BUSINESS STYLE"/>
    <m/>
    <m/>
    <s v="Thaynara Borges"/>
    <n v="-1271.82"/>
    <s v="Saída"/>
    <x v="0"/>
  </r>
  <r>
    <x v="84"/>
    <s v="Lisboa e Lisboa"/>
    <s v="Taxa de Condomínio Sala B-73"/>
    <x v="10"/>
    <x v="1"/>
    <s v="ATON BUSINESS STYLE"/>
    <s v="ATON BUSINESS STYLE"/>
    <m/>
    <m/>
    <s v="Thaynara Borges"/>
    <n v="-1271.26"/>
    <s v="Saída"/>
    <x v="0"/>
  </r>
  <r>
    <x v="84"/>
    <s v="Lisboa e Lisboa"/>
    <s v="Taxa de Condomínio Vaga Garagem A-82"/>
    <x v="10"/>
    <x v="1"/>
    <s v="ATON BUSINESS STYLE"/>
    <s v="ATON BUSINESS STYLE"/>
    <m/>
    <m/>
    <s v="Thaynara Borges"/>
    <n v="-52.41"/>
    <s v="Saída"/>
    <x v="0"/>
  </r>
  <r>
    <x v="84"/>
    <s v="Lisboa e Lisboa"/>
    <s v="Acerto estágio"/>
    <x v="15"/>
    <x v="6"/>
    <s v="ISABELLA ALVIM BIACHINI"/>
    <s v="ISABELLA ALVIM BIACHINI"/>
    <m/>
    <m/>
    <s v="Thaynara Borges"/>
    <n v="-519.96"/>
    <s v="Saída"/>
    <x v="0"/>
  </r>
  <r>
    <x v="84"/>
    <s v="Lisboa e Lisboa"/>
    <s v="Cartão de Crédito Dr Ivanilldo"/>
    <x v="6"/>
    <x v="1"/>
    <s v="BANCO ITAU"/>
    <s v="BANCO ITAU"/>
    <m/>
    <m/>
    <s v="Thaynara Borges"/>
    <n v="-3059.88"/>
    <s v="Saída"/>
    <x v="0"/>
  </r>
  <r>
    <x v="84"/>
    <s v="Lisboa e Lisboa"/>
    <s v="Taxa de Condomínio Vaga Garagem A-81"/>
    <x v="10"/>
    <x v="1"/>
    <s v="ATON BUSINESS STYLE"/>
    <s v="ATON BUSINESS STYLE"/>
    <m/>
    <m/>
    <s v="Thaynara Borges"/>
    <n v="-52.41"/>
    <s v="Saída"/>
    <x v="0"/>
  </r>
  <r>
    <x v="84"/>
    <s v="Sarah Alves Lisboa"/>
    <s v="Comissão Karine sobre implantação"/>
    <x v="28"/>
    <x v="7"/>
    <s v="DARLENE CAIXETA DOS SANTOS"/>
    <s v="DARLENE CAIXETA DOS SANTOS"/>
    <m/>
    <s v="BENEFÍCIO POR INCAPACIDADE"/>
    <s v="Thaynara Borges"/>
    <n v="-410.31"/>
    <s v="Saída"/>
    <x v="0"/>
  </r>
  <r>
    <x v="84"/>
    <s v="Lisboa e Lisboa"/>
    <s v="Celular"/>
    <x v="8"/>
    <x v="1"/>
    <s v="VIVO"/>
    <s v="VIVO"/>
    <m/>
    <m/>
    <s v="Thaynara Borges"/>
    <n v="-137.37"/>
    <s v="Saída"/>
    <x v="0"/>
  </r>
  <r>
    <x v="84"/>
    <s v="Lisboa e Lisboa"/>
    <s v="Taxa de Condomínio Vaga Garagem A-78"/>
    <x v="10"/>
    <x v="1"/>
    <s v="ATON BUSINESS STYLE"/>
    <s v="ATON BUSINESS STYLE"/>
    <m/>
    <m/>
    <s v="Thaynara Borges"/>
    <n v="-52.41"/>
    <s v="Saída"/>
    <x v="0"/>
  </r>
  <r>
    <x v="84"/>
    <s v="Lisboa e Lisboa"/>
    <s v="Taxa de Condomínio Vaga Garagem A-88"/>
    <x v="10"/>
    <x v="1"/>
    <s v="ATON BUSINESS STYLE"/>
    <s v="ATON BUSINESS STYLE"/>
    <m/>
    <m/>
    <s v="Thaynara Borges"/>
    <n v="-52.41"/>
    <s v="Saída"/>
    <x v="0"/>
  </r>
  <r>
    <x v="84"/>
    <s v="Lisboa e Lisboa"/>
    <s v="Taxa de Condomínio Vaga Garagem A-83"/>
    <x v="10"/>
    <x v="1"/>
    <s v="ATON BUSINESS STYLE"/>
    <s v="ATON BUSINESS STYLE"/>
    <m/>
    <m/>
    <s v="Thaynara Borges"/>
    <n v="-52.41"/>
    <s v="Saída"/>
    <x v="0"/>
  </r>
  <r>
    <x v="85"/>
    <s v="Sarah Alves Lisboa"/>
    <s v="Sucumbência"/>
    <x v="2"/>
    <x v="2"/>
    <s v="LEILA DIAS MARTINS"/>
    <s v="LEILA DIAS MARTINS"/>
    <m/>
    <s v="SUSPENÇAO DE ALTA MEDICA CONCEDIDA EM APOSENTADORIA POR INVALIDEZ"/>
    <s v="Thaynara Borges"/>
    <n v="1286.8699999999999"/>
    <s v="Entrada"/>
    <x v="1"/>
  </r>
  <r>
    <x v="85"/>
    <s v="Lisboa e Lisboa"/>
    <s v="CONTRATO 9621661899"/>
    <x v="8"/>
    <x v="1"/>
    <s v="VIVO FIXO"/>
    <s v="VIVO FIXO"/>
    <m/>
    <m/>
    <s v="Thaynara Borges"/>
    <n v="-251.58"/>
    <s v="Saída"/>
    <x v="0"/>
  </r>
  <r>
    <x v="85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85"/>
    <s v="Cartão de Crédito Dra Thaynara"/>
    <s v="GOOGLE GSUITE_PREVLEX."/>
    <x v="12"/>
    <x v="1"/>
    <s v="C6"/>
    <s v="C6"/>
    <m/>
    <m/>
    <s v="Thaynara Borges"/>
    <n v="-126"/>
    <s v="Saída"/>
    <x v="0"/>
  </r>
  <r>
    <x v="85"/>
    <s v="Cartão de Crédito Dra Thaynara"/>
    <s v="Cálculo Jurídico"/>
    <x v="12"/>
    <x v="1"/>
    <s v="C6"/>
    <s v="C6"/>
    <m/>
    <m/>
    <s v="Thaynara Borges"/>
    <n v="-120.29"/>
    <s v="Saída"/>
    <x v="0"/>
  </r>
  <r>
    <x v="85"/>
    <s v="Lisboa e Lisboa"/>
    <s v="2 Benefícios parcelados em 6x"/>
    <x v="2"/>
    <x v="2"/>
    <s v="ISABEL PEREIRA SOUSA"/>
    <s v="ISABEL PEREIRA SOUSA"/>
    <m/>
    <s v="APOSENTADORIA POR IDADE"/>
    <s v="Thaynara Borges"/>
    <n v="500"/>
    <s v="Entrada"/>
    <x v="1"/>
  </r>
  <r>
    <x v="85"/>
    <s v="Cartão de Crédito Dra Thaynara"/>
    <s v="ASTREA"/>
    <x v="12"/>
    <x v="1"/>
    <s v="C6"/>
    <s v="C6"/>
    <m/>
    <m/>
    <s v="Thaynara Borges"/>
    <n v="-456.75"/>
    <s v="Saída"/>
    <x v="0"/>
  </r>
  <r>
    <x v="85"/>
    <s v="Cartão de Crédito Dra Thaynara"/>
    <s v="Cartão de crédito Dra Thaynara"/>
    <x v="6"/>
    <x v="1"/>
    <s v="C6"/>
    <s v="C6"/>
    <m/>
    <m/>
    <s v="Thaynara Borges"/>
    <n v="952.25"/>
    <s v="Entrada"/>
    <x v="1"/>
  </r>
  <r>
    <x v="85"/>
    <s v="Lisboa e Lisboa"/>
    <s v="CONTRATO 9309114969"/>
    <x v="8"/>
    <x v="1"/>
    <s v="VIVO FIXO"/>
    <s v="VIVO FIXO"/>
    <m/>
    <m/>
    <s v="Thaynara Borges"/>
    <n v="-119.99"/>
    <s v="Saída"/>
    <x v="0"/>
  </r>
  <r>
    <x v="86"/>
    <s v="Sarah Alves Lisboa"/>
    <s v="40% SOB IMPLANTAÇÃO DE BELEFICIO"/>
    <x v="2"/>
    <x v="2"/>
    <s v="PATRICIA DE GODOI MACHADO"/>
    <s v="PATRICIA DE GODOI MACHADO"/>
    <m/>
    <s v="BENEFÍCIO POR INCAPACIDADE"/>
    <s v="Nathalia Louiz"/>
    <n v="1868"/>
    <s v="Entrada"/>
    <x v="1"/>
  </r>
  <r>
    <x v="86"/>
    <s v="Lisboa e Lisboa"/>
    <s v="30% sobre os atrasados"/>
    <x v="2"/>
    <x v="2"/>
    <s v="LEILA DIAS MARTINS"/>
    <s v="LEILA DIAS MARTINS"/>
    <m/>
    <s v="SUSPENÇAO DE ALTA MEDICA CONCEDIDA EM APOSENTADORIA POR INVALIDEZ"/>
    <s v="Thaynara Borges"/>
    <n v="3980.07"/>
    <s v="Entrada"/>
    <x v="1"/>
  </r>
  <r>
    <x v="87"/>
    <s v="Lisboa e Lisboa"/>
    <s v="IEL Estagiárias"/>
    <x v="13"/>
    <x v="6"/>
    <s v="IEL"/>
    <s v="IEL"/>
    <m/>
    <m/>
    <s v="Thaynara Borges"/>
    <n v="-106.73"/>
    <s v="Saída"/>
    <x v="0"/>
  </r>
  <r>
    <x v="87"/>
    <s v="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87"/>
    <s v="Sarah Alves Lisboa"/>
    <s v="Tarifa Bancária"/>
    <x v="4"/>
    <x v="3"/>
    <s v="BANCO DO BRASIL S/A"/>
    <s v="BANCO DO BRASIL S/A"/>
    <m/>
    <m/>
    <s v="Thaynara Borges"/>
    <n v="-15"/>
    <s v="Saída"/>
    <x v="0"/>
  </r>
  <r>
    <x v="87"/>
    <s v="Sarah Alves Lisboa"/>
    <s v="Retirada"/>
    <x v="22"/>
    <x v="8"/>
    <s v="Thaynara Borges Pereira"/>
    <s v="Thaynara Borges Pereira"/>
    <m/>
    <m/>
    <s v="Thaynara Borges"/>
    <n v="-8000"/>
    <s v="Saída"/>
    <x v="0"/>
  </r>
  <r>
    <x v="88"/>
    <s v="Sarah Alves Lisboa"/>
    <s v="DIÁRIAS - MANUTENÇÃO DO ESCRITÓRIO"/>
    <x v="9"/>
    <x v="1"/>
    <s v="ELIZANGELA FERREIRA DA SILVA"/>
    <s v="ELIZANGELA FERREIRA DA SILVA"/>
    <m/>
    <m/>
    <s v="Nathalia Louiz"/>
    <n v="-340"/>
    <s v="Saída"/>
    <x v="0"/>
  </r>
  <r>
    <x v="89"/>
    <s v="Sarah Alves Lisboa"/>
    <s v="Comissão 70% Vanessa: principal e sucumbência (valor nao saiu, Vanessa descontou ao transferir)"/>
    <x v="28"/>
    <x v="7"/>
    <s v="LEILA DIAS MARTINS"/>
    <s v="LEILA DIAS MARTINS"/>
    <m/>
    <s v="SUSPENÇAO DE ALTA MEDICA CONCEDIDA EM APOSENTADORIA POR INVALIDEZ"/>
    <s v="Thaynara Borges"/>
    <n v="-3328.56"/>
    <s v="Saída"/>
    <x v="0"/>
  </r>
  <r>
    <x v="89"/>
    <s v="Sarah Alves Lisboa"/>
    <s v="HONORÁRIOS DE SUCUMBÊNCIA"/>
    <x v="2"/>
    <x v="2"/>
    <s v="Clóvis Ribeiro de Morais Neto"/>
    <s v="Clóvis Ribeiro de Morais Neto"/>
    <m/>
    <s v="AUXILIO DOENÇA"/>
    <s v="Nathalia Louiz"/>
    <n v="24950.35"/>
    <s v="Entrada"/>
    <x v="1"/>
  </r>
  <r>
    <x v="89"/>
    <s v="Sarah Alves Lisboa"/>
    <s v="IMPOSTO SOBRE A NF GERADA (HONORARIOS SOMENTE DA VANESSA)"/>
    <x v="2"/>
    <x v="2"/>
    <s v="ELON NOLETO ROCHA"/>
    <s v="ELON NOLETO ROCHA"/>
    <m/>
    <s v="ELON NOLETO ROCHA x GOIASPREV"/>
    <s v="Thaynara Borges"/>
    <n v="5306.09"/>
    <s v="Entrada"/>
    <x v="1"/>
  </r>
  <r>
    <x v="89"/>
    <s v="Sarah Alves Lisboa"/>
    <s v="Comissão 70% Vanessa (valor nao entrou, Vanessa descontou ao nos passar)"/>
    <x v="28"/>
    <x v="7"/>
    <s v="HERMINIO ALVES DO NASCIMENTO"/>
    <s v="HERMINIO ALVES DO NASCIMENTO"/>
    <m/>
    <s v="APOSENTADORIA ESPECIAL"/>
    <s v="Thaynara Borges"/>
    <n v="-7084.58"/>
    <s v="Saída"/>
    <x v="0"/>
  </r>
  <r>
    <x v="90"/>
    <s v="Sarah Alves Lisboa"/>
    <s v="INDICAÇÃO PARA DR SILVIO CARNEIRO ROSA"/>
    <x v="28"/>
    <x v="7"/>
    <s v="LUENE DE OLIVEIRA GOMES"/>
    <s v="LUENE DE OLIVEIRA GOMES"/>
    <m/>
    <m/>
    <s v="Thaynara Borges"/>
    <n v="-280"/>
    <s v="Saída"/>
    <x v="0"/>
  </r>
  <r>
    <x v="90"/>
    <s v="Sarah Alves Lisboa"/>
    <s v="Cartão de Crédito Dra Thaynara"/>
    <x v="6"/>
    <x v="1"/>
    <s v="C6"/>
    <s v="C6"/>
    <m/>
    <m/>
    <s v="Thaynara Borges"/>
    <n v="-952.25"/>
    <s v="Saída"/>
    <x v="0"/>
  </r>
  <r>
    <x v="90"/>
    <s v="Sarah Alves Lisboa"/>
    <s v="Comissão 20% da RPV para Dra Laiser"/>
    <x v="28"/>
    <x v="7"/>
    <s v="MARIA DO ROSARIO ALVES 169.892.791-68"/>
    <s v="MARIA DO ROSARIO ALVES 169.892.791-68"/>
    <m/>
    <s v="PENSÃO POR MORTE"/>
    <s v="Thaynara Borges"/>
    <n v="-2520.44"/>
    <s v="Saída"/>
    <x v="0"/>
  </r>
  <r>
    <x v="90"/>
    <s v="Lisboa e Lisboa"/>
    <s v="25% sobre a RPV (parceria laiser)"/>
    <x v="2"/>
    <x v="2"/>
    <s v="MARIA DO ROSARIO ALVES 169.892.791-68"/>
    <s v="MARIA DO ROSARIO ALVES 169.892.791-68"/>
    <m/>
    <s v="PENSÃO POR MORTE"/>
    <s v="Thaynara Borges"/>
    <n v="14462.05"/>
    <s v="Entrada"/>
    <x v="1"/>
  </r>
  <r>
    <x v="90"/>
    <s v="Sarah Alves Lisboa"/>
    <s v="Consulta"/>
    <x v="2"/>
    <x v="2"/>
    <s v="LUENE DE OLIVEIRA GOMES"/>
    <s v="LUENE DE OLIVEIRA GOMES"/>
    <m/>
    <m/>
    <s v="Thaynara Borges"/>
    <n v="400"/>
    <s v="Entrada"/>
    <x v="1"/>
  </r>
  <r>
    <x v="90"/>
    <s v="Lisboa e Lisboa"/>
    <s v="50% SOB ATRASADOS - RPV"/>
    <x v="2"/>
    <x v="2"/>
    <s v="SIMONE BERNARDES DA SILVA SANTANA"/>
    <s v="SIMONE BERNARDES DA SILVA SANTANA"/>
    <m/>
    <s v="APOSENTADORIA RURAL"/>
    <s v="Nathalia Louiz"/>
    <n v="6886.99"/>
    <s v="Entrada"/>
    <x v="1"/>
  </r>
  <r>
    <x v="90"/>
    <s v="Lisboa e Lisboa"/>
    <s v="50% sobre a RPV (-70% Wanessa = 3.484,335)"/>
    <x v="2"/>
    <x v="2"/>
    <s v="HERMINIO ALVES DO NASCIMENTO"/>
    <s v="HERMINIO ALVES DO NASCIMENTO"/>
    <m/>
    <s v="APOSENTADORIA ESPECIAL"/>
    <s v="Nathalia Louiz"/>
    <n v="11614.45"/>
    <s v="Entrada"/>
    <x v="1"/>
  </r>
  <r>
    <x v="91"/>
    <s v="Sarah Alves Lisboa"/>
    <s v="Limpeza e manutenção "/>
    <x v="9"/>
    <x v="1"/>
    <s v="ELIZANGELA FERREIRA DA SILVA"/>
    <s v="ELIZANGELA FERREIRA DA SILVA"/>
    <m/>
    <m/>
    <s v="Nathalia Louiz"/>
    <n v="-170"/>
    <s v="Saída"/>
    <x v="0"/>
  </r>
  <r>
    <x v="92"/>
    <s v="Thaynara Borges Pereira"/>
    <s v="Parceria com Dr. Silvio"/>
    <x v="2"/>
    <x v="2"/>
    <s v="ANTONIO PEREIRA SOBRINHO"/>
    <s v="ANTONIO PEREIRA SOBRINHO"/>
    <m/>
    <m/>
    <s v="Thaynara Borges"/>
    <n v="354"/>
    <s v="Entrada"/>
    <x v="2"/>
  </r>
  <r>
    <x v="93"/>
    <s v="Lisboa e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2"/>
  </r>
  <r>
    <x v="94"/>
    <s v="Lisboa e Lisboa"/>
    <s v="IPTU - BOX 83"/>
    <x v="29"/>
    <x v="1"/>
    <s v="PREFEITURA MUNICIPAL DE GOIÂNIA"/>
    <s v="PREFEITURA MUNICIPAL DE GOIÂNIA"/>
    <m/>
    <m/>
    <s v="Nathalia Louiz"/>
    <n v="-42.74"/>
    <s v="Saída"/>
    <x v="0"/>
  </r>
  <r>
    <x v="94"/>
    <s v="Lisboa e Lisboa"/>
    <s v="INSS"/>
    <x v="19"/>
    <x v="6"/>
    <s v="RECEITA FEDERAL"/>
    <s v="RECEITA FEDERAL"/>
    <m/>
    <m/>
    <s v="Thaynara Borges"/>
    <n v="-2479.9499999999998"/>
    <s v="Saída"/>
    <x v="0"/>
  </r>
  <r>
    <x v="94"/>
    <s v="Lisboa e Lisboa"/>
    <s v="3 Benefícios em Parcela Única"/>
    <x v="2"/>
    <x v="2"/>
    <s v="CAIRO OSMUNDO DA SILVA"/>
    <s v="CAIRO OSMUNDO DA SILVA"/>
    <m/>
    <s v="APOSENTADORIA RURAL"/>
    <s v="Nathalia Louiz"/>
    <n v="6879"/>
    <s v="Entrada"/>
    <x v="1"/>
  </r>
  <r>
    <x v="94"/>
    <s v="Lisboa e Lisboa"/>
    <s v="IPTU - SALA B74"/>
    <x v="29"/>
    <x v="1"/>
    <s v="PREFEITURA MUNICIPAL DE GOIÂNIA"/>
    <s v="PREFEITURA MUNICIPAL DE GOIÂNIA"/>
    <m/>
    <m/>
    <s v="Nathalia Louiz"/>
    <n v="-125.52"/>
    <s v="Saída"/>
    <x v="0"/>
  </r>
  <r>
    <x v="94"/>
    <s v="Lisboa e Lisboa"/>
    <s v="IPTU - BOX 82"/>
    <x v="29"/>
    <x v="1"/>
    <s v="PREFEITURA MUNICIPAL DE GOIÂNIA"/>
    <s v="PREFEITURA MUNICIPAL DE GOIÂNIA"/>
    <s v=""/>
    <m/>
    <s v="Nathalia Louiz"/>
    <n v="-42.74"/>
    <s v="Saída"/>
    <x v="0"/>
  </r>
  <r>
    <x v="94"/>
    <s v="Lisboa e Lisboa"/>
    <s v="Água"/>
    <x v="17"/>
    <x v="1"/>
    <s v="SANEAGO GOIAS S/A"/>
    <s v="SANEAGO GOIAS S/A"/>
    <m/>
    <m/>
    <s v="Thaynara Borges"/>
    <n v="-134.25"/>
    <s v="Saída"/>
    <x v="0"/>
  </r>
  <r>
    <x v="94"/>
    <s v="Lisboa e Lisboa"/>
    <s v="IPTU - BOX 81"/>
    <x v="29"/>
    <x v="1"/>
    <s v="PREFEITURA MUNICIPAL DE GOIÂNIA"/>
    <s v="PREFEITURA MUNICIPAL DE GOIÂNIA"/>
    <m/>
    <m/>
    <s v="Nathalia Louiz"/>
    <n v="-42.74"/>
    <s v="Saída"/>
    <x v="0"/>
  </r>
  <r>
    <x v="94"/>
    <s v="Lisboa e Lisboa"/>
    <s v="FGTS"/>
    <x v="18"/>
    <x v="6"/>
    <s v="FGTS"/>
    <s v="FGTS"/>
    <m/>
    <m/>
    <s v="Thaynara Borges"/>
    <n v="-430.52"/>
    <s v="Saída"/>
    <x v="0"/>
  </r>
  <r>
    <x v="94"/>
    <s v="Lisboa e Lisboa"/>
    <s v="IPTU - BOX 78"/>
    <x v="29"/>
    <x v="1"/>
    <s v="PREFEITURA MUNICIPAL DE GOIÂNIA"/>
    <s v="PREFEITURA MUNICIPAL DE GOIÂNIA"/>
    <m/>
    <m/>
    <s v="Nathalia Louiz"/>
    <n v="-42.74"/>
    <s v="Saída"/>
    <x v="0"/>
  </r>
  <r>
    <x v="94"/>
    <s v="Lisboa e Lisboa"/>
    <s v="IPTU - BOX 88"/>
    <x v="29"/>
    <x v="1"/>
    <s v="PREFEITURA MUNICIPAL DE GOIÂNIA"/>
    <s v="PREFEITURA MUNICIPAL DE GOIÂNIA"/>
    <m/>
    <m/>
    <s v="Nathalia Louiz"/>
    <n v="-42.74"/>
    <s v="Saída"/>
    <x v="0"/>
  </r>
  <r>
    <x v="94"/>
    <s v="Lisboa e Lisboa"/>
    <s v="Simples Nacional"/>
    <x v="20"/>
    <x v="7"/>
    <s v="Simples Nacional"/>
    <s v="Simples Nacional"/>
    <m/>
    <m/>
    <s v="Thaynara Borges"/>
    <n v="-4804.53"/>
    <s v="Saída"/>
    <x v="0"/>
  </r>
  <r>
    <x v="95"/>
    <s v="Sarah Alves Lisboa"/>
    <s v="Suprimentos"/>
    <x v="11"/>
    <x v="1"/>
    <s v="SUPERMERCADO MOREIRA"/>
    <s v="SUPERMERCADO MOREIRA"/>
    <m/>
    <m/>
    <s v="Nathalia Louiz"/>
    <n v="-49.85"/>
    <s v="Saída"/>
    <x v="0"/>
  </r>
  <r>
    <x v="95"/>
    <s v="Sarah Alves Lisboa"/>
    <s v="Hospedagem"/>
    <x v="5"/>
    <x v="4"/>
    <s v="IMPERIO VIAGEM E TURISMO"/>
    <s v="IMPERIO VIAGEM E TURISMO"/>
    <m/>
    <m/>
    <s v="Nathalia Louiz"/>
    <n v="-664.35"/>
    <s v="Saída"/>
    <x v="0"/>
  </r>
  <r>
    <x v="96"/>
    <s v="Lisboa e Lisboa"/>
    <s v="Identidade Visual"/>
    <x v="27"/>
    <x v="4"/>
    <s v="SOMMA DESIGN STUDIO LTDA"/>
    <s v="SOMMA DESIGN STUDIO LTDA"/>
    <m/>
    <m/>
    <s v="Nathalia Louiz"/>
    <n v="-4371.84"/>
    <s v="Saída"/>
    <x v="0"/>
  </r>
  <r>
    <x v="96"/>
    <s v="Thaynara Borges Pereira"/>
    <s v="DIÁRIAS - MANUTENÇÃO DO ESCRITÓRIO"/>
    <x v="9"/>
    <x v="1"/>
    <s v="ELIZANGELA FERREIRA DA SILVA"/>
    <s v="ELIZANGELA FERREIRA DA SILVA"/>
    <m/>
    <m/>
    <s v="Nathalia Louiz"/>
    <n v="-340"/>
    <s v="Saída"/>
    <x v="0"/>
  </r>
  <r>
    <x v="97"/>
    <s v="Sarah Alves Lisboa"/>
    <s v="Certidão de Militância"/>
    <x v="7"/>
    <x v="5"/>
    <s v="SANDRA MARIA SOARES"/>
    <s v="SANDRA MARIA SOARES"/>
    <m/>
    <s v="RESTABELECIMENTO AUXILIO DOENÇA"/>
    <s v="Nathalia Louiz"/>
    <n v="-21.73"/>
    <s v="Saída"/>
    <x v="0"/>
  </r>
  <r>
    <x v="97"/>
    <s v="Sarah Alves Lisboa"/>
    <s v="Certidão de Militância"/>
    <x v="7"/>
    <x v="5"/>
    <s v="AMARILDO DE MOURA"/>
    <s v="AMARILDO DE MOURA"/>
    <m/>
    <s v="APOSENTADORIA"/>
    <s v="Nathalia Louiz"/>
    <n v="-21.73"/>
    <s v="Saída"/>
    <x v="0"/>
  </r>
  <r>
    <x v="97"/>
    <s v="Lisboa e Lisboa"/>
    <s v="Suprimentos"/>
    <x v="26"/>
    <x v="1"/>
    <s v="R3 SUPRIMENTOS CORPORATIVOS LTDA"/>
    <s v="R3 SUPRIMENTOS CORPORATIVOS LTDA"/>
    <m/>
    <m/>
    <s v="Nathalia Louiz"/>
    <n v="-501.99"/>
    <s v="Saída"/>
    <x v="0"/>
  </r>
  <r>
    <x v="97"/>
    <s v="Sarah Alves Lisboa"/>
    <s v="Certidão de Militância"/>
    <x v="7"/>
    <x v="5"/>
    <s v="MARIA DA SILVA NOGUEIRA"/>
    <s v="MARIA DA SILVA NOGUEIRA"/>
    <m/>
    <s v="ATRASADOS"/>
    <s v="Nathalia Louiz"/>
    <n v="-21.73"/>
    <s v="Saída"/>
    <x v="0"/>
  </r>
  <r>
    <x v="97"/>
    <s v="Sarah Alves Lisboa"/>
    <s v="ALIMENTAÇÃO VIAGEM"/>
    <x v="11"/>
    <x v="1"/>
    <s v="JERIVA"/>
    <s v="JERIVA"/>
    <m/>
    <m/>
    <s v="Nathalia Louiz"/>
    <n v="-39.6"/>
    <s v="Saída"/>
    <x v="0"/>
  </r>
  <r>
    <x v="97"/>
    <s v="Sarah Alves Lisboa"/>
    <s v="COMBUSTIVEL VIAGEM"/>
    <x v="31"/>
    <x v="4"/>
    <s v="POSTO SHUKRAN"/>
    <s v="POSTO SHUKRAN"/>
    <m/>
    <m/>
    <s v="Nathalia Louiz"/>
    <n v="-143.57"/>
    <s v="Saída"/>
    <x v="0"/>
  </r>
  <r>
    <x v="97"/>
    <s v="Sarah Alves Lisboa"/>
    <s v="ALIMENTAÇÃO - VIAGEM"/>
    <x v="11"/>
    <x v="1"/>
    <s v="SUPERMERCADO MOREIRA"/>
    <s v="SUPERMERCADO MOREIRA"/>
    <m/>
    <m/>
    <s v="Nathalia Louiz"/>
    <n v="-12.96"/>
    <s v="Saída"/>
    <x v="0"/>
  </r>
  <r>
    <x v="98"/>
    <s v="Sarah Alves Lisboa"/>
    <s v="COMBUSTIVEL VIAGEM"/>
    <x v="31"/>
    <x v="4"/>
    <s v="POSTO GM"/>
    <s v="POSTO GM"/>
    <m/>
    <m/>
    <s v="Nathalia Louiz"/>
    <n v="-122.3"/>
    <s v="Saída"/>
    <x v="0"/>
  </r>
  <r>
    <x v="98"/>
    <s v="Sarah Alves Lisboa"/>
    <s v="30% sobre a RPV"/>
    <x v="2"/>
    <x v="2"/>
    <s v="WANADY JARBAS GRACIO SOARES"/>
    <s v="WANADY JARBAS GRACIO SOARES"/>
    <m/>
    <s v="AUXILIO DOENÇA"/>
    <s v="Thaynara Borges"/>
    <n v="435.79"/>
    <s v="Entrada"/>
    <x v="1"/>
  </r>
  <r>
    <x v="98"/>
    <s v="Lisboa e Lisboa"/>
    <s v="Energia contrato 0067122721"/>
    <x v="21"/>
    <x v="1"/>
    <s v="EQUATORIAL GOIAS 0067122721"/>
    <s v="EQUATORIAL GOIAS 0067122721"/>
    <m/>
    <m/>
    <s v="Thaynara Borges"/>
    <n v="-643.27"/>
    <s v="Saída"/>
    <x v="0"/>
  </r>
  <r>
    <x v="98"/>
    <s v="Sarah Alves Lisboa"/>
    <s v="COMBUSTIVEL VIAGEM"/>
    <x v="31"/>
    <x v="4"/>
    <s v="POSTO GM"/>
    <s v="POSTO GM"/>
    <m/>
    <m/>
    <s v="Nathalia Louiz"/>
    <n v="-6"/>
    <s v="Saída"/>
    <x v="0"/>
  </r>
  <r>
    <x v="98"/>
    <s v="Lisboa e Lisboa"/>
    <s v="Energia contrato 0067122663"/>
    <x v="21"/>
    <x v="1"/>
    <s v="EQUATORIAL GOIAS 0067122663"/>
    <s v="EQUATORIAL GOIAS 0067122663"/>
    <m/>
    <m/>
    <s v="Thaynara Borges"/>
    <n v="-538.15"/>
    <s v="Saída"/>
    <x v="0"/>
  </r>
  <r>
    <x v="98"/>
    <s v="Sarah Alves Lisboa"/>
    <s v="20% sob implantação"/>
    <x v="2"/>
    <x v="2"/>
    <s v="PAULA EMILYE ROSA"/>
    <s v="PAULA EMILYE ROSA"/>
    <m/>
    <s v="SALÁRIO MATERNIDADE"/>
    <s v="Nathalia Louiz"/>
    <n v="1396.65"/>
    <s v="Entrada"/>
    <x v="1"/>
  </r>
  <r>
    <x v="99"/>
    <s v="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99"/>
    <s v="Lisboa e Lisboa"/>
    <s v="Rescisão Contratual"/>
    <x v="15"/>
    <x v="6"/>
    <s v="Katyucia Gomes"/>
    <s v="Katyucia Gomes"/>
    <m/>
    <m/>
    <s v="Thaynara Borges"/>
    <n v="-3748.74"/>
    <s v="Saída"/>
    <x v="0"/>
  </r>
  <r>
    <x v="99"/>
    <s v="Thaynara Borges Pereira"/>
    <s v="30% Dr Silvio"/>
    <x v="28"/>
    <x v="7"/>
    <s v="PAULA EMILYE ROSA"/>
    <s v="PAULA EMILYE ROSA"/>
    <m/>
    <s v="SALÁRIO MATERNIDADE"/>
    <s v="Nathalia Louiz"/>
    <n v="-418.99"/>
    <s v="Saída"/>
    <x v="0"/>
  </r>
  <r>
    <x v="99"/>
    <s v="Lisboa e Lisboa"/>
    <s v="FGTS DE RESCISÃO"/>
    <x v="19"/>
    <x v="6"/>
    <s v="INSS - INSTITUTO NACIONAL DO SEGURO SOCIAL"/>
    <s v="INSS - INSTITUTO NACIONAL DO SEGURO SOCIAL"/>
    <m/>
    <m/>
    <s v="Nathalia Louiz"/>
    <n v="-303.33"/>
    <s v="Saída"/>
    <x v="0"/>
  </r>
  <r>
    <x v="99"/>
    <s v="Sarah Alves Lisboa"/>
    <s v="Retirada"/>
    <x v="22"/>
    <x v="8"/>
    <s v="Thaynara Borges Pereira"/>
    <s v="Thaynara Borges Pereira"/>
    <m/>
    <m/>
    <s v="Thaynara Borges"/>
    <n v="-3648.98"/>
    <s v="Saída"/>
    <x v="0"/>
  </r>
  <r>
    <x v="99"/>
    <s v="Lisboa e Lisboa"/>
    <s v="Bolsa Estagio"/>
    <x v="13"/>
    <x v="6"/>
    <s v="Laura Barbosa Marques"/>
    <s v="Laura Barbosa Marques"/>
    <m/>
    <m/>
    <s v="Thaynara Borges"/>
    <n v="-1300"/>
    <s v="Saída"/>
    <x v="0"/>
  </r>
  <r>
    <x v="99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99"/>
    <s v="Lisboa e Lisboa"/>
    <s v="DÍVIDA DO SIMPLES NACIONAL"/>
    <x v="20"/>
    <x v="7"/>
    <s v="Simples Nacional"/>
    <s v="Simples Nacional"/>
    <m/>
    <m/>
    <s v="Nathalia Louiz"/>
    <n v="-3074.22"/>
    <s v="Saída"/>
    <x v="0"/>
  </r>
  <r>
    <x v="99"/>
    <s v="Lisboa e Lisboa"/>
    <s v="Salário"/>
    <x v="15"/>
    <x v="6"/>
    <s v="Nina Araujo"/>
    <s v="Nina Araujo"/>
    <m/>
    <m/>
    <s v="Thaynara Borges"/>
    <n v="-3195.89"/>
    <s v="Saída"/>
    <x v="0"/>
  </r>
  <r>
    <x v="99"/>
    <s v="Sarah Alves Lisboa"/>
    <s v="Comissão evento de Brasilia"/>
    <x v="28"/>
    <x v="7"/>
    <s v="Laura Barbosa Marques"/>
    <s v="Laura Barbosa Marques"/>
    <m/>
    <m/>
    <s v="Thaynara Borges"/>
    <n v="-200"/>
    <s v="Saída"/>
    <x v="0"/>
  </r>
  <r>
    <x v="99"/>
    <s v="Sarah Alves Lisboa"/>
    <s v="TAXA DE TED (4 operações de R$12,70)"/>
    <x v="30"/>
    <x v="9"/>
    <s v="BANCO ITAU"/>
    <s v="BANCO ITAU"/>
    <m/>
    <m/>
    <s v="Nathalia Louiz"/>
    <n v="-50.8"/>
    <s v="Saída"/>
    <x v="0"/>
  </r>
  <r>
    <x v="99"/>
    <s v="Lisboa e Lisboa"/>
    <s v="Salário"/>
    <x v="15"/>
    <x v="6"/>
    <s v="Raffaela Nunes"/>
    <s v="Raffaela Nunes"/>
    <m/>
    <m/>
    <s v="Thaynara Borges"/>
    <n v="-2570.6"/>
    <s v="Saída"/>
    <x v="0"/>
  </r>
  <r>
    <x v="99"/>
    <s v="Sarah Alves Lisboa"/>
    <s v="Retirada"/>
    <x v="22"/>
    <x v="8"/>
    <s v="Sarah Alves Lisboa"/>
    <s v="Sarah Alves Lisboa"/>
    <m/>
    <m/>
    <s v="Thaynara Borges"/>
    <n v="-6148.98"/>
    <s v="Saída"/>
    <x v="0"/>
  </r>
  <r>
    <x v="99"/>
    <s v="Lisboa e Lisboa"/>
    <s v="PRÓ-LABORE"/>
    <x v="23"/>
    <x v="8"/>
    <s v="Sarah Alves Lisboa"/>
    <s v="Sarah Alves Lisboa"/>
    <m/>
    <m/>
    <s v="Thaynara Borges"/>
    <n v="-1351.02"/>
    <s v="Saída"/>
    <x v="0"/>
  </r>
  <r>
    <x v="99"/>
    <s v="Lisboa e Lisboa"/>
    <s v="PRÓ-LABORE"/>
    <x v="23"/>
    <x v="8"/>
    <s v="Thaynara Borges Pereira"/>
    <s v="Thaynara Borges Pereira"/>
    <m/>
    <m/>
    <s v="Thaynara Borges"/>
    <n v="-1351.02"/>
    <s v="Saída"/>
    <x v="0"/>
  </r>
  <r>
    <x v="100"/>
    <s v="Cartão de Crédito Dr Ivanildo"/>
    <s v="CANAÃ FRIOS"/>
    <x v="11"/>
    <x v="1"/>
    <s v="BANCO ITAU"/>
    <s v="BANCO ITAU"/>
    <m/>
    <m/>
    <s v="Nathalia Louiz"/>
    <n v="-56.54"/>
    <s v="Saída"/>
    <x v="0"/>
  </r>
  <r>
    <x v="100"/>
    <s v="Cartão de Crédito Dr Ivanildo"/>
    <s v="Pagamento Cartão de Crédito Dr Ivanildo"/>
    <x v="6"/>
    <x v="1"/>
    <s v="BANCO ITAU"/>
    <s v="BANCO ITAU"/>
    <m/>
    <m/>
    <s v="Thaynara Borges"/>
    <n v="1859.47"/>
    <s v="Entrada"/>
    <x v="1"/>
  </r>
  <r>
    <x v="100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100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100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100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00"/>
    <s v="Cartão de Crédito Dr Ivanildo"/>
    <s v="Google One"/>
    <x v="12"/>
    <x v="1"/>
    <s v="BANCO ITAU"/>
    <s v="BANCO ITAU"/>
    <m/>
    <m/>
    <s v="Thaynara Borges"/>
    <n v="-49.99"/>
    <s v="Saída"/>
    <x v="0"/>
  </r>
  <r>
    <x v="100"/>
    <s v="Itaú - Lisboa e Lisboa"/>
    <s v="SERVIÇOS DE TI"/>
    <x v="3"/>
    <x v="1"/>
    <s v="Rhuan Carlos Batista"/>
    <s v="Rhuan Carlos Batista"/>
    <m/>
    <m/>
    <s v="Nathalia Louiz"/>
    <n v="-200"/>
    <s v="Saída"/>
    <x v="0"/>
  </r>
  <r>
    <x v="100"/>
    <s v="Cartão de Crédito Dr Ivanildo"/>
    <s v="Jusbrasil"/>
    <x v="12"/>
    <x v="1"/>
    <s v="BANCO ITAU"/>
    <s v="BANCO ITAU"/>
    <m/>
    <m/>
    <s v="Thaynara Borges"/>
    <n v="-58.9"/>
    <s v="Saída"/>
    <x v="0"/>
  </r>
  <r>
    <x v="100"/>
    <s v="Cartão de Crédito Dr Ivanildo"/>
    <s v="CANAÃ FRIOS"/>
    <x v="11"/>
    <x v="1"/>
    <s v="BANCO ITAU"/>
    <s v="BANCO ITAU"/>
    <m/>
    <m/>
    <s v="Nathalia Louiz"/>
    <n v="-44.76"/>
    <s v="Saída"/>
    <x v="0"/>
  </r>
  <r>
    <x v="100"/>
    <s v="Cartão de Crédito Dr Ivanildo"/>
    <s v="Prévius"/>
    <x v="12"/>
    <x v="1"/>
    <s v="BANCO ITAU"/>
    <s v="BANCO ITAU"/>
    <m/>
    <m/>
    <s v="Thaynara Borges"/>
    <n v="-80.91"/>
    <s v="Saída"/>
    <x v="0"/>
  </r>
  <r>
    <x v="100"/>
    <s v="Cartão de Crédito Dr Ivanildo"/>
    <s v="Jusbrasil"/>
    <x v="12"/>
    <x v="1"/>
    <s v="BANCO ITAU"/>
    <s v="BANCO ITAU"/>
    <m/>
    <m/>
    <s v="Thaynara Borges"/>
    <n v="-58.9"/>
    <s v="Saída"/>
    <x v="0"/>
  </r>
  <r>
    <x v="100"/>
    <s v="Cartão de Crédito Dr Ivanildo"/>
    <s v="DROGASIL"/>
    <x v="27"/>
    <x v="4"/>
    <s v="BANCO ITAU"/>
    <s v="BANCO ITAU"/>
    <m/>
    <m/>
    <s v="Nathalia Louiz"/>
    <n v="-120.87"/>
    <s v="Saída"/>
    <x v="0"/>
  </r>
  <r>
    <x v="100"/>
    <s v="Cartão de Crédito Dr Ivanildo"/>
    <s v="NORD 23"/>
    <x v="11"/>
    <x v="1"/>
    <s v="BANCO ITAU"/>
    <s v="BANCO ITAU"/>
    <m/>
    <m/>
    <s v="Nathalia Louiz"/>
    <n v="-577.54"/>
    <s v="Saída"/>
    <x v="0"/>
  </r>
  <r>
    <x v="100"/>
    <s v="Cartão de Crédito Dr Ivanildo"/>
    <s v="Google One"/>
    <x v="12"/>
    <x v="1"/>
    <s v="BANCO ITAU"/>
    <s v="BANCO ITAU"/>
    <m/>
    <m/>
    <s v="Thaynara Borges"/>
    <n v="-14.99"/>
    <s v="Saída"/>
    <x v="0"/>
  </r>
  <r>
    <x v="100"/>
    <s v="Cartão de Crédito Dr Ivanildo"/>
    <s v="CANAÃ FRIOS"/>
    <x v="11"/>
    <x v="1"/>
    <s v="BANCO ITAU"/>
    <s v="BANCO ITAU"/>
    <m/>
    <m/>
    <s v="Nathalia Louiz"/>
    <n v="-56.63"/>
    <s v="Saída"/>
    <x v="0"/>
  </r>
  <r>
    <x v="100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100"/>
    <s v="Cartão de Crédito Dr Ivanildo"/>
    <s v="ASA CURSOS"/>
    <x v="32"/>
    <x v="6"/>
    <s v="BANCO ITAU"/>
    <s v="BANCO ITAU"/>
    <m/>
    <m/>
    <s v="Nathalia Louiz"/>
    <n v="-59.9"/>
    <s v="Saída"/>
    <x v="0"/>
  </r>
  <r>
    <x v="100"/>
    <s v="Banco do Brasil - Sarah Alves Lisboa"/>
    <s v="Confraternização de 21/05"/>
    <x v="11"/>
    <x v="1"/>
    <s v="Nina Araujo"/>
    <s v="Nina Araujo"/>
    <m/>
    <m/>
    <s v="Thaynara Borges"/>
    <n v="-164.6"/>
    <s v="Saída"/>
    <x v="0"/>
  </r>
  <r>
    <x v="100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100"/>
    <s v="Cartão de Crédito Dr Ivanildo"/>
    <s v="ASSAI ATACADISTA"/>
    <x v="26"/>
    <x v="1"/>
    <s v="BANCO ITAU"/>
    <s v="BANCO ITAU"/>
    <m/>
    <m/>
    <s v="Nathalia Louiz"/>
    <n v="-206.5"/>
    <s v="Saída"/>
    <x v="0"/>
  </r>
  <r>
    <x v="101"/>
    <s v="Itaú - Lisboa e Lisboa"/>
    <s v="Taxa de Condomínio Vaga Garagem A-88"/>
    <x v="10"/>
    <x v="1"/>
    <s v="ATON BUSINESS STYLE"/>
    <s v="ATON BUSINESS STYLE"/>
    <m/>
    <m/>
    <s v="Thaynara Borges"/>
    <n v="-67.58"/>
    <s v="Saída"/>
    <x v="0"/>
  </r>
  <r>
    <x v="101"/>
    <s v="Cartão de Crédito Dra Thaynara"/>
    <s v="Cálculo Jurídico"/>
    <x v="12"/>
    <x v="1"/>
    <s v="C6"/>
    <s v="C6"/>
    <m/>
    <m/>
    <s v="Thaynara Borges"/>
    <n v="-120.29"/>
    <s v="Saída"/>
    <x v="0"/>
  </r>
  <r>
    <x v="101"/>
    <s v="Itaú - Lisboa e Lisboa"/>
    <s v="Cartão de Crédito Dr Ivanilldo"/>
    <x v="6"/>
    <x v="1"/>
    <s v="BANCO ITAU"/>
    <s v="BANCO ITAU"/>
    <m/>
    <m/>
    <s v="Thaynara Borges"/>
    <n v="-1859.47"/>
    <s v="Saída"/>
    <x v="0"/>
  </r>
  <r>
    <x v="101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101"/>
    <s v="Cartão de Crédito Dra Thaynara"/>
    <s v="Pagamento Cartão de Crédito Dra Thaynara"/>
    <x v="6"/>
    <x v="1"/>
    <s v="C6"/>
    <s v="C6"/>
    <m/>
    <m/>
    <s v="Nathalia Louiz"/>
    <n v="952.25"/>
    <s v="Entrada"/>
    <x v="1"/>
  </r>
  <r>
    <x v="101"/>
    <s v="Banco do Brasil - Sarah Alves Lisboa"/>
    <s v="ANUIDADE 12X"/>
    <x v="2"/>
    <x v="2"/>
    <s v="ANA PEREIRA DA SILVA JESUS"/>
    <s v="ANA PEREIRA DA SILVA JESUS"/>
    <m/>
    <s v="AMPARA AO IDOSO"/>
    <s v="Nathalia Louiz"/>
    <n v="303.60000000000002"/>
    <s v="Entrada"/>
    <x v="1"/>
  </r>
  <r>
    <x v="101"/>
    <s v="Cartão de Crédito Dra Thaynara"/>
    <s v="ASTREA"/>
    <x v="12"/>
    <x v="1"/>
    <s v="C6"/>
    <s v="C6"/>
    <m/>
    <m/>
    <s v="Thaynara Borges"/>
    <n v="-456.75"/>
    <s v="Saída"/>
    <x v="0"/>
  </r>
  <r>
    <x v="101"/>
    <s v="Itaú - Lisboa e Lisboa"/>
    <s v="Taxa de Condomínio Vaga Garagem A-82"/>
    <x v="10"/>
    <x v="1"/>
    <s v="ATON BUSINESS STYLE"/>
    <s v="ATON BUSINESS STYLE"/>
    <m/>
    <m/>
    <s v="Thaynara Borges"/>
    <n v="-67.58"/>
    <s v="Saída"/>
    <x v="0"/>
  </r>
  <r>
    <x v="101"/>
    <s v="Itaú - Lisboa e Lisboa"/>
    <s v="Taxa de Condomínio Vaga Garagem A-81"/>
    <x v="10"/>
    <x v="1"/>
    <s v="ATON BUSINESS STYLE"/>
    <s v="ATON BUSINESS STYLE"/>
    <m/>
    <m/>
    <s v="Thaynara Borges"/>
    <n v="-67.58"/>
    <s v="Saída"/>
    <x v="0"/>
  </r>
  <r>
    <x v="101"/>
    <s v="Itaú - Lisboa e Lisboa"/>
    <s v="Taxa de Condomínio Sala B-73"/>
    <x v="10"/>
    <x v="1"/>
    <s v="ATON BUSINESS STYLE"/>
    <s v="ATON BUSINESS STYLE"/>
    <m/>
    <m/>
    <s v="Thaynara Borges"/>
    <n v="-1378.53"/>
    <s v="Saída"/>
    <x v="0"/>
  </r>
  <r>
    <x v="101"/>
    <s v="Itaú - Lisboa e Lisboa"/>
    <s v="Taxa de Condomínio Vaga Garagem A-78"/>
    <x v="10"/>
    <x v="1"/>
    <s v="ATON BUSINESS STYLE"/>
    <s v="ATON BUSINESS STYLE"/>
    <m/>
    <m/>
    <s v="Thaynara Borges"/>
    <n v="-67.58"/>
    <s v="Saída"/>
    <x v="0"/>
  </r>
  <r>
    <x v="101"/>
    <s v="Cartão de Crédito Dra Thaynara"/>
    <s v="GOOGLE GSUITE_PREVLEX."/>
    <x v="12"/>
    <x v="1"/>
    <s v="C6"/>
    <s v="C6"/>
    <m/>
    <m/>
    <s v="Thaynara Borges"/>
    <n v="-126"/>
    <s v="Saída"/>
    <x v="0"/>
  </r>
  <r>
    <x v="101"/>
    <s v="Itaú - Lisboa e Lisboa"/>
    <s v="Plano mensal - conta corrente"/>
    <x v="4"/>
    <x v="3"/>
    <s v="BANCO ITAU"/>
    <s v="BANCO ITAU"/>
    <m/>
    <m/>
    <s v="Thaynara Borges"/>
    <n v="-79.5"/>
    <s v="Saída"/>
    <x v="0"/>
  </r>
  <r>
    <x v="101"/>
    <s v="Itaú - Lisboa e Lisboa"/>
    <s v="Taxa de Condomínio Vaga Garagem A-83"/>
    <x v="10"/>
    <x v="1"/>
    <s v="ATON BUSINESS STYLE"/>
    <s v="ATON BUSINESS STYLE"/>
    <m/>
    <m/>
    <s v="Thaynara Borges"/>
    <n v="-67.58"/>
    <s v="Saída"/>
    <x v="0"/>
  </r>
  <r>
    <x v="101"/>
    <s v="Itaú - Lisboa e Lisboa"/>
    <s v="Taxa de Condomínio Sala B-74"/>
    <x v="10"/>
    <x v="1"/>
    <s v="ATON BUSINESS STYLE"/>
    <s v="ATON BUSINESS STYLE"/>
    <m/>
    <m/>
    <s v="Thaynara Borges"/>
    <n v="-1379.08"/>
    <s v="Saída"/>
    <x v="0"/>
  </r>
  <r>
    <x v="102"/>
    <s v="Banco do Brasil - Sarah Alves Lisboa"/>
    <s v="PLANEJAMENTO"/>
    <x v="2"/>
    <x v="2"/>
    <s v="ISMAEL ALVES MADUREIRA"/>
    <s v="ISMAEL ALVES MADUREIRA"/>
    <m/>
    <m/>
    <s v="Nathalia Louiz"/>
    <n v="300"/>
    <s v="Entrada"/>
    <x v="1"/>
  </r>
  <r>
    <x v="102"/>
    <s v="Banco do Brasil - Sarah Alves Lisboa"/>
    <s v="Implantação 30%"/>
    <x v="2"/>
    <x v="2"/>
    <s v="VALDECI ALVES MOREIRA"/>
    <s v="VALDECI ALVES MOREIRA"/>
    <m/>
    <s v="AUXILIO DOENÇA"/>
    <s v="Thaynara Borges"/>
    <n v="1961.23"/>
    <s v="Entrada"/>
    <x v="1"/>
  </r>
  <r>
    <x v="102"/>
    <s v="Itaú - Lisboa e Lisboa"/>
    <s v="Celular"/>
    <x v="8"/>
    <x v="1"/>
    <s v="VIVO"/>
    <s v="VIVO"/>
    <m/>
    <m/>
    <s v="Thaynara Borges"/>
    <n v="-137.37"/>
    <s v="Saída"/>
    <x v="0"/>
  </r>
  <r>
    <x v="102"/>
    <s v="Banco do Brasil - Sarah Alves Lisboa"/>
    <s v="30% SOB IMPLANTAÇÃO"/>
    <x v="2"/>
    <x v="2"/>
    <s v="MARIA EVA PEREIRA DE QUEIROZ"/>
    <s v="MARIA EVA PEREIRA DE QUEIROZ"/>
    <m/>
    <s v="BENEFÍCIO POR INCAPACIDADE"/>
    <s v="Nathalia Louiz"/>
    <n v="1005.55"/>
    <s v="Entrada"/>
    <x v="1"/>
  </r>
  <r>
    <x v="103"/>
    <s v="Banco do Brasil - Sarah Alves Lisboa"/>
    <s v="Implantação 30%"/>
    <x v="2"/>
    <x v="2"/>
    <s v="VERA LUCIA PEREIRA DE OLIVEIRA"/>
    <s v="VERA LUCIA PEREIRA DE OLIVEIRA"/>
    <m/>
    <s v="BENEFÍCIO POR INCAPACIDADE"/>
    <s v="Thaynara Borges"/>
    <n v="910.8"/>
    <s v="Entrada"/>
    <x v="1"/>
  </r>
  <r>
    <x v="104"/>
    <s v="Banco do Brasil - Sarah Alves Lisboa"/>
    <s v="Cha de Bebe Surpresa"/>
    <x v="11"/>
    <x v="1"/>
    <s v="Sarah Alves Lisboa"/>
    <s v="Sarah Alves Lisboa"/>
    <m/>
    <m/>
    <s v="Thaynara Borges"/>
    <n v="-189.68"/>
    <s v="Saída"/>
    <x v="0"/>
  </r>
  <r>
    <x v="104"/>
    <s v="Itaú - Lisboa e Lisboa"/>
    <s v="Renovação de Certificado Digital PJ"/>
    <x v="27"/>
    <x v="4"/>
    <s v="ZOOP tecnologia"/>
    <s v="ZOOP tecnologia"/>
    <m/>
    <m/>
    <s v="Nathalia Louiz"/>
    <n v="-250"/>
    <s v="Saída"/>
    <x v="0"/>
  </r>
  <r>
    <x v="104"/>
    <s v="Itaú - Lisboa e Lisboa"/>
    <s v="CONTRATO 9621661899"/>
    <x v="8"/>
    <x v="1"/>
    <s v="VIVO FIXO"/>
    <s v="VIVO FIXO"/>
    <m/>
    <m/>
    <s v="Thaynara Borges"/>
    <n v="-259.27"/>
    <s v="Saída"/>
    <x v="0"/>
  </r>
  <r>
    <x v="104"/>
    <s v="Itaú - Lisboa e Lisboa"/>
    <s v="CONTRATO 9309114969"/>
    <x v="8"/>
    <x v="1"/>
    <s v="VIVO FIXO"/>
    <s v="VIVO FIXO"/>
    <m/>
    <m/>
    <s v="Thaynara Borges"/>
    <n v="-127.08"/>
    <s v="Saída"/>
    <x v="0"/>
  </r>
  <r>
    <x v="105"/>
    <s v="Banco do Brasil - 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105"/>
    <s v="Itaú - Lisboa e Lisboa"/>
    <s v="2 Benefícios parcelados em 6x"/>
    <x v="2"/>
    <x v="2"/>
    <s v="ISABEL PEREIRA SOUSA"/>
    <s v="ISABEL PEREIRA SOUSA"/>
    <m/>
    <s v="APOSENTADORIA POR IDADE"/>
    <s v="Thaynara Borges"/>
    <n v="370"/>
    <s v="Entrada"/>
    <x v="1"/>
  </r>
  <r>
    <x v="105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05"/>
    <s v="Itaú - Lisboa e Lisboa"/>
    <s v="30% do periodo 07/02/2022 - 31/07/2023"/>
    <x v="2"/>
    <x v="2"/>
    <s v="LUCIA ALMEIDA VIEIRA"/>
    <s v="LUCIA ALMEIDA VIEIRA"/>
    <m/>
    <s v="AUXILIO DOENÇA/APOSENTADORIA POR INVALIDEZ"/>
    <s v="Thaynara Borges"/>
    <n v="8343.1"/>
    <s v="Entrada"/>
    <x v="2"/>
  </r>
  <r>
    <x v="106"/>
    <s v="Itaú - Lisboa e Lisboa"/>
    <s v="30% Sob RPV"/>
    <x v="2"/>
    <x v="2"/>
    <s v="FRANCISCA DA COSTA GOMES OLIVEIRA"/>
    <s v="FRANCISCA DA COSTA GOMES OLIVEIRA"/>
    <m/>
    <s v="AUXILIO DOENÇA"/>
    <s v="Nathalia Louiz"/>
    <n v="8250.41"/>
    <s v="Entrada"/>
    <x v="1"/>
  </r>
  <r>
    <x v="106"/>
    <s v="Itaú - Lisboa e Lisboa"/>
    <s v="30% Sob RPV"/>
    <x v="2"/>
    <x v="2"/>
    <s v="ANA PEREIRA DA SILVA JESUS"/>
    <s v="ANA PEREIRA DA SILVA JESUS"/>
    <m/>
    <s v="AMPARA AO IDOSO"/>
    <s v="Nathalia Louiz"/>
    <n v="8133.11"/>
    <s v="Entrada"/>
    <x v="1"/>
  </r>
  <r>
    <x v="106"/>
    <s v="Banco do Brasil - Sarah Alves Lisboa"/>
    <s v="Tarifa Bancária"/>
    <x v="4"/>
    <x v="3"/>
    <s v="BANCO DO BRASIL S/A"/>
    <s v="BANCO DO BRASIL S/A"/>
    <m/>
    <m/>
    <s v="Thaynara Borges"/>
    <n v="-15"/>
    <s v="Saída"/>
    <x v="0"/>
  </r>
  <r>
    <x v="106"/>
    <s v="Banco do Brasil - Sarah Alves Lisboa"/>
    <s v="Honorários contratuais 50%"/>
    <x v="2"/>
    <x v="2"/>
    <s v="BENEDITO ADELAR DA SILVA"/>
    <s v="BENEDITO ADELAR DA SILVA"/>
    <m/>
    <s v="RESTABELECIEMNTO DE AUXILIO DOENÇA, CONCESSAO DE AUXILIO ACIDENTE/ APOSENTADORIA POR INVALIDEZ"/>
    <s v="Thaynara Borges"/>
    <n v="28467.7"/>
    <s v="Entrada"/>
    <x v="1"/>
  </r>
  <r>
    <x v="106"/>
    <s v="Banco do Brasil - Sarah Alves Lisboa"/>
    <s v="Indicação Dra Karine. 30%"/>
    <x v="28"/>
    <x v="7"/>
    <s v="DARLENE CAIXETA DOS SANTOS"/>
    <s v="DARLENE CAIXETA DOS SANTOS"/>
    <m/>
    <s v="BENEFÍCIO POR INCAPACIDADE"/>
    <s v="Nathalia Louiz"/>
    <n v="-136.62"/>
    <s v="Saída"/>
    <x v="0"/>
  </r>
  <r>
    <x v="106"/>
    <s v="Itaú - Lisboa e Lisboa"/>
    <s v="30% sob implantação + 3 Beneficios"/>
    <x v="2"/>
    <x v="2"/>
    <s v="IURY RENNER PEREIRA DE SOUZA"/>
    <s v="IURY RENNER PEREIRA DE SOUZA"/>
    <m/>
    <s v="BENEFÍCIO POR INCAPACIDADE"/>
    <s v="Nathalia Louiz"/>
    <n v="4210.33"/>
    <s v="Entrada"/>
    <x v="1"/>
  </r>
  <r>
    <x v="106"/>
    <s v="Itaú - Lisboa e Lisboa"/>
    <s v="IEL Estagiárias"/>
    <x v="13"/>
    <x v="6"/>
    <s v="IEL"/>
    <s v="IEL"/>
    <m/>
    <m/>
    <s v="Thaynara Borges"/>
    <n v="-106.73"/>
    <s v="Saída"/>
    <x v="0"/>
  </r>
  <r>
    <x v="106"/>
    <s v="Itaú - Lisboa e Lisboa"/>
    <s v="30% Sob a implantação"/>
    <x v="2"/>
    <x v="2"/>
    <s v="FRYDA MYRNA GONÇALVES PRATES DE OLIVEIRA REIS"/>
    <s v="FRYDA MYRNA GONÇALVES PRATES DE OLIVEIRA REIS"/>
    <m/>
    <s v="FRYDA MYRNA GONÇALVES PRATES DE OLIVEIRA REIS x INSS"/>
    <s v="Nathalia Louiz"/>
    <n v="429.92"/>
    <s v="Entrada"/>
    <x v="1"/>
  </r>
  <r>
    <x v="106"/>
    <s v="Banco do Brasil - Sarah Alves Lisboa"/>
    <s v="ANUIDADE (3 BENEFICIOS)"/>
    <x v="2"/>
    <x v="2"/>
    <s v="DARLENE CAIXETA DOS SANTOS"/>
    <s v="DARLENE CAIXETA DOS SANTOS"/>
    <m/>
    <s v="BENEFÍCIO POR INCAPACIDADE"/>
    <s v="Nathalia Louiz"/>
    <n v="455.4"/>
    <s v="Entrada"/>
    <x v="1"/>
  </r>
  <r>
    <x v="106"/>
    <s v="Itaú - Lisboa e Lisboa"/>
    <s v="30% Sob RPV"/>
    <x v="2"/>
    <x v="2"/>
    <s v="HERBERTH ALVES PEREIRA"/>
    <s v="HERBERTH ALVES PEREIRA"/>
    <m/>
    <s v="AUXILIO ACIDENTE"/>
    <s v="Nathalia Louiz"/>
    <n v="16159.9"/>
    <s v="Entrada"/>
    <x v="1"/>
  </r>
  <r>
    <x v="106"/>
    <s v="Itaú - Lisboa e Lisboa"/>
    <s v="Restante da anuidade - Descontado na RPV"/>
    <x v="2"/>
    <x v="2"/>
    <s v="ANA PEREIRA DA SILVA JESUS"/>
    <s v="ANA PEREIRA DA SILVA JESUS"/>
    <m/>
    <s v="AMPARA AO IDOSO"/>
    <s v="Nathalia Louiz"/>
    <n v="2428.8000000000002"/>
    <s v="Entrada"/>
    <x v="1"/>
  </r>
  <r>
    <x v="106"/>
    <s v="Caixa Físico"/>
    <s v="Desconto R$12,00 (cliente não pagou)"/>
    <x v="2"/>
    <x v="2"/>
    <s v="ISABEL PEREIRA SOUSA"/>
    <s v="ISABEL PEREIRA SOUSA"/>
    <m/>
    <s v="APOSENTADORIA POR IDADE"/>
    <s v="Nathalia Louiz"/>
    <n v="12"/>
    <s v="Entrada"/>
    <x v="1"/>
  </r>
  <r>
    <x v="107"/>
    <s v="Banco do Brasil - Sarah Alves Lisboa"/>
    <s v="Implantação 30%"/>
    <x v="2"/>
    <x v="2"/>
    <s v="ANTONIO FERNANDES DA SILVA"/>
    <s v="ANTONIO FERNANDES DA SILVA"/>
    <m/>
    <s v="AUXILIO DOENÇA/ APOSENTADORIA POR INVALIDEZ"/>
    <s v="Thaynara Borges"/>
    <n v="684.3"/>
    <s v="Entrada"/>
    <x v="1"/>
  </r>
  <r>
    <x v="107"/>
    <s v="Itaú - Lisboa e Lisboa"/>
    <s v="30% + 3 BENEFICIOS"/>
    <x v="2"/>
    <x v="2"/>
    <s v="GILBERTO ORTIZ DA CRUZ"/>
    <s v="GILBERTO ORTIZ DA CRUZ"/>
    <m/>
    <s v="APOSENTADORIA POR TEMPO DE CONTRIBUIÇÃO"/>
    <s v="Nathalia Louiz"/>
    <n v="6518"/>
    <s v="Entrada"/>
    <x v="2"/>
  </r>
  <r>
    <x v="108"/>
    <s v="Banco do Brasil - Sarah Alves Lisboa"/>
    <s v="Implantação 30%"/>
    <x v="2"/>
    <x v="2"/>
    <s v="MARTA FREITAS DA COSTA"/>
    <s v="MARTA FREITAS DA COSTA"/>
    <m/>
    <s v="BENEFICIO POR INCAPACIDADE"/>
    <s v="Thaynara Borges"/>
    <n v="1125"/>
    <s v="Entrada"/>
    <x v="1"/>
  </r>
  <r>
    <x v="108"/>
    <s v="Banco do Brasil - Sarah Alves Lisboa"/>
    <s v="40% implantação"/>
    <x v="2"/>
    <x v="2"/>
    <s v="SERGIO HENRIQUE  MOREIRA LOPES"/>
    <s v="SERGIO HENRIQUE  MOREIRA LOPES"/>
    <m/>
    <s v="BENEFÍCIO POR INCAPACIDADE"/>
    <s v="Nathalia Louiz"/>
    <n v="1343.46"/>
    <s v="Entrada"/>
    <x v="1"/>
  </r>
  <r>
    <x v="108"/>
    <s v="Banco do Brasil - Sarah Alves Lisboa"/>
    <s v="30% SOB IMPLANTAÇÃO"/>
    <x v="2"/>
    <x v="2"/>
    <s v="ADOLFA MARIA DE JESUS ALMEIDA"/>
    <s v="ADOLFA MARIA DE JESUS ALMEIDA"/>
    <m/>
    <s v="BENEFÍCIO POR INCAPACIDADE"/>
    <s v="Nathalia Louiz"/>
    <n v="683.1"/>
    <s v="Entrada"/>
    <x v="1"/>
  </r>
  <r>
    <x v="109"/>
    <s v="Banco do Brasil - Sarah Alves Lisboa"/>
    <s v="Cartão de Crédito Dra Thaynara"/>
    <x v="6"/>
    <x v="1"/>
    <s v="C6"/>
    <s v="C6"/>
    <m/>
    <m/>
    <s v="Thaynara Borges"/>
    <n v="-952.25"/>
    <s v="Saída"/>
    <x v="0"/>
  </r>
  <r>
    <x v="110"/>
    <s v="Banco do Brasil - Sarah Alves Lisboa"/>
    <s v="COMBUSTIVEL"/>
    <x v="35"/>
    <x v="4"/>
    <s v="POSTO ANTONELLI"/>
    <s v="POSTO ANTONELLI"/>
    <m/>
    <m/>
    <s v="Nathalia Louiz"/>
    <n v="-147.49"/>
    <s v="Saída"/>
    <x v="0"/>
  </r>
  <r>
    <x v="110"/>
    <s v="Itaú - Lisboa e Lisboa"/>
    <s v="PARCERIA VANESSA"/>
    <x v="28"/>
    <x v="7"/>
    <s v="BENEDITO ADELAR DA SILVA"/>
    <s v="BENEDITO ADELAR DA SILVA"/>
    <m/>
    <s v="RESTABELECIEMNTO DE AUXILIO DOENÇA, CONCESSAO DE AUXILIO ACIDENTE/ APOSENTADORIA POR INVALIDEZ"/>
    <s v="Nathalia Louiz"/>
    <n v="-13370.84"/>
    <s v="Saída"/>
    <x v="0"/>
  </r>
  <r>
    <x v="110"/>
    <s v="Itaú - Lisboa e Lisboa"/>
    <s v="HONORÁRIOS - PARCERIA DR GIULIANO"/>
    <x v="28"/>
    <x v="7"/>
    <s v="BENEDITO ADELAR DA SILVA"/>
    <s v="BENEDITO ADELAR DA SILVA"/>
    <m/>
    <s v="RESTABELECIEMNTO DE AUXILIO DOENÇA, CONCESSAO DE AUXILIO ACIDENTE/ APOSENTADORIA POR INVALIDEZ"/>
    <s v="Nathalia Louiz"/>
    <n v="-5705.55"/>
    <s v="Saída"/>
    <x v="0"/>
  </r>
  <r>
    <x v="110"/>
    <s v="Banco do Brasil - Sarah Alves Lisboa"/>
    <s v="REUNIÃO"/>
    <x v="27"/>
    <x v="4"/>
    <s v="Laura Barbosa Marques"/>
    <s v="Laura Barbosa Marques"/>
    <m/>
    <m/>
    <s v="Nathalia Louiz"/>
    <n v="-100"/>
    <s v="Saída"/>
    <x v="0"/>
  </r>
  <r>
    <x v="110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10"/>
    <s v="Banco do Brasil - Sarah Alves Lisboa"/>
    <s v="LANCHES DA REUNIÃO"/>
    <x v="36"/>
    <x v="4"/>
    <s v="SUPERMERCADO MOREIRA"/>
    <s v="SUPERMERCADO MOREIRA"/>
    <m/>
    <m/>
    <s v="Nathalia Louiz"/>
    <n v="-97.08"/>
    <s v="Saída"/>
    <x v="0"/>
  </r>
  <r>
    <x v="110"/>
    <s v="Banco do Brasil - Sarah Alves Lisboa"/>
    <s v="REUNIÃO"/>
    <x v="27"/>
    <x v="4"/>
    <s v="Maria Lourdes Feitosa do Nascimento"/>
    <s v="Maria Lourdes Feitosa do Nascimento"/>
    <m/>
    <m/>
    <s v="Nathalia Louiz"/>
    <n v="-200"/>
    <s v="Saída"/>
    <x v="0"/>
  </r>
  <r>
    <x v="110"/>
    <s v="Banco do Brasil - Sarah Alves Lisboa"/>
    <s v="Exame admissional"/>
    <x v="27"/>
    <x v="4"/>
    <s v="MARIA EDUARDA SOUZA"/>
    <s v="MARIA EDUARDA SOUZA"/>
    <m/>
    <m/>
    <s v="Nathalia Louiz"/>
    <n v="-48"/>
    <s v="Saída"/>
    <x v="0"/>
  </r>
  <r>
    <x v="111"/>
    <s v="Itaú - Lisboa e Lisboa"/>
    <s v="30% Honorários"/>
    <x v="2"/>
    <x v="2"/>
    <s v="APARECIDA DOS SANTOS/ ADRIANA PAULA DOS SANTOS VIVEIROS/ DANIELA PAULA"/>
    <s v="APARECIDA DOS SANTOS/ ADRIANA PAULA DOS SANTOS VIVEIROS/ DANIELA PAULA"/>
    <m/>
    <s v="APARECIDA DOS SANTOS/ ADRIANA PAULA DOS SANTOS VIVEIROS/ DANIELA PAULA DOS SANTOS VIVEIROS CAMPOS x"/>
    <s v="Nathalia Louiz"/>
    <n v="18995.61"/>
    <s v="Entrada"/>
    <x v="1"/>
  </r>
  <r>
    <x v="111"/>
    <s v="Banco do Brasil - Sarah Alves Lisboa"/>
    <s v="COMBUSTIVÉL"/>
    <x v="35"/>
    <x v="4"/>
    <s v="POSTO 2824"/>
    <s v="POSTO 2824"/>
    <m/>
    <m/>
    <s v="Nathalia Louiz"/>
    <n v="-77.89"/>
    <s v="Saída"/>
    <x v="0"/>
  </r>
  <r>
    <x v="112"/>
    <s v="Banco do Brasil - Sarah Alves Lisboa"/>
    <s v="HONORÁRIOS"/>
    <x v="2"/>
    <x v="2"/>
    <s v="LUENE DE OLIVEIRA GOMES"/>
    <s v="LUENE DE OLIVEIRA GOMES"/>
    <m/>
    <s v="PROCESSO CRIMINAL"/>
    <s v="Nathalia Louiz"/>
    <n v="390"/>
    <s v="Entrada"/>
    <x v="1"/>
  </r>
  <r>
    <x v="112"/>
    <s v="Banco do Brasil - Sarah Alves Lisboa"/>
    <s v="Reembolso guia certidão de militância"/>
    <x v="37"/>
    <x v="10"/>
    <s v="AMARILDO DE MOURA"/>
    <s v="AMARILDO DE MOURA"/>
    <m/>
    <m/>
    <s v="Thaynara Borges"/>
    <n v="21.73"/>
    <s v="Entrada"/>
    <x v="1"/>
  </r>
  <r>
    <x v="112"/>
    <s v="Itaú - Lisboa e Lisboa"/>
    <s v="IPTU - BOX 88"/>
    <x v="29"/>
    <x v="1"/>
    <s v="PREFEITURA MUNICIPAL DE GOIÂNIA"/>
    <s v="PREFEITURA MUNICIPAL DE GOIÂNIA"/>
    <m/>
    <m/>
    <s v="Nathalia Louiz"/>
    <n v="-42.74"/>
    <s v="Saída"/>
    <x v="0"/>
  </r>
  <r>
    <x v="112"/>
    <s v="Banco do Brasil - Sarah Alves Lisboa"/>
    <s v="30% Sob atrasados"/>
    <x v="2"/>
    <x v="2"/>
    <s v="AMARILDO DE MOURA"/>
    <s v="AMARILDO DE MOURA"/>
    <m/>
    <s v="APOSENTADORIA"/>
    <s v="Nathalia Louiz"/>
    <n v="8555.36"/>
    <s v="Entrada"/>
    <x v="1"/>
  </r>
  <r>
    <x v="112"/>
    <s v="Itaú - Lisboa e Lisboa"/>
    <s v="IPTU - BOX 81"/>
    <x v="29"/>
    <x v="1"/>
    <s v="PREFEITURA MUNICIPAL DE GOIÂNIA"/>
    <s v="PREFEITURA MUNICIPAL DE GOIÂNIA"/>
    <m/>
    <m/>
    <s v="Nathalia Louiz"/>
    <n v="-42.74"/>
    <s v="Saída"/>
    <x v="0"/>
  </r>
  <r>
    <x v="112"/>
    <s v="Banco do Brasil - Sarah Alves Lisboa"/>
    <s v="40% sobre os atrasados"/>
    <x v="2"/>
    <x v="2"/>
    <s v="MARIA DA SILVA NOGUEIRA"/>
    <s v="MARIA DA SILVA NOGUEIRA"/>
    <m/>
    <s v="ATRASADOS"/>
    <s v="Thaynara Borges"/>
    <n v="19089.810000000001"/>
    <s v="Entrada"/>
    <x v="1"/>
  </r>
  <r>
    <x v="112"/>
    <s v="Itaú - Lisboa e Lisboa"/>
    <s v="IPTU - BOX 82"/>
    <x v="29"/>
    <x v="1"/>
    <s v="PREFEITURA MUNICIPAL DE GOIÂNIA"/>
    <s v="PREFEITURA MUNICIPAL DE GOIÂNIA"/>
    <s v=""/>
    <m/>
    <s v="Nathalia Louiz"/>
    <n v="-42.74"/>
    <s v="Saída"/>
    <x v="0"/>
  </r>
  <r>
    <x v="112"/>
    <s v="Itaú - Lisboa e Lisboa"/>
    <s v="Água"/>
    <x v="17"/>
    <x v="1"/>
    <s v="SANEAGO GOIAS S/A"/>
    <s v="SANEAGO GOIAS S/A"/>
    <m/>
    <m/>
    <s v="Thaynara Borges"/>
    <n v="-110.73"/>
    <s v="Saída"/>
    <x v="0"/>
  </r>
  <r>
    <x v="112"/>
    <s v="Itaú - Lisboa e Lisboa"/>
    <s v="IPTU - BOX 83"/>
    <x v="29"/>
    <x v="1"/>
    <s v="PREFEITURA MUNICIPAL DE GOIÂNIA"/>
    <s v="PREFEITURA MUNICIPAL DE GOIÂNIA"/>
    <m/>
    <m/>
    <s v="Nathalia Louiz"/>
    <n v="-42.74"/>
    <s v="Saída"/>
    <x v="0"/>
  </r>
  <r>
    <x v="112"/>
    <s v="Itaú - Lisboa e Lisboa"/>
    <s v="FGTS"/>
    <x v="18"/>
    <x v="6"/>
    <s v="FGTS"/>
    <s v="FGTS"/>
    <m/>
    <m/>
    <s v="Thaynara Borges"/>
    <n v="-509.23"/>
    <s v="Saída"/>
    <x v="0"/>
  </r>
  <r>
    <x v="112"/>
    <s v="Banco do Brasil - Sarah Alves Lisboa"/>
    <s v="Reembolso guia certidão de militância"/>
    <x v="37"/>
    <x v="10"/>
    <s v="MARIA DA SILVA NOGUEIRA"/>
    <s v="MARIA DA SILVA NOGUEIRA"/>
    <m/>
    <m/>
    <s v="Thaynara Borges"/>
    <n v="21.73"/>
    <s v="Entrada"/>
    <x v="1"/>
  </r>
  <r>
    <x v="112"/>
    <s v="Itaú - Lisboa e Lisboa"/>
    <s v="Alteração de CNPJ"/>
    <x v="27"/>
    <x v="4"/>
    <s v="OAB"/>
    <s v="OAB"/>
    <m/>
    <m/>
    <s v="Nathalia Louiz"/>
    <n v="-350"/>
    <s v="Saída"/>
    <x v="0"/>
  </r>
  <r>
    <x v="112"/>
    <s v="Itaú - Lisboa e Lisboa"/>
    <s v="IPTU - BOX 78"/>
    <x v="29"/>
    <x v="1"/>
    <s v="PREFEITURA MUNICIPAL DE GOIÂNIA"/>
    <s v="PREFEITURA MUNICIPAL DE GOIÂNIA"/>
    <m/>
    <m/>
    <s v="Nathalia Louiz"/>
    <n v="-42.74"/>
    <s v="Saída"/>
    <x v="0"/>
  </r>
  <r>
    <x v="112"/>
    <s v="Itaú - Lisboa e Lisboa"/>
    <s v="IPTU - SALA B74"/>
    <x v="29"/>
    <x v="1"/>
    <s v="PREFEITURA MUNICIPAL DE GOIÂNIA"/>
    <s v="PREFEITURA MUNICIPAL DE GOIÂNIA"/>
    <m/>
    <m/>
    <s v="Nathalia Louiz"/>
    <n v="-125.57"/>
    <s v="Saída"/>
    <x v="0"/>
  </r>
  <r>
    <x v="112"/>
    <s v="Itaú - Lisboa e Lisboa"/>
    <s v="Simples Nacional"/>
    <x v="20"/>
    <x v="7"/>
    <s v="Simples Nacional"/>
    <s v="Simples Nacional"/>
    <m/>
    <m/>
    <s v="Thaynara Borges"/>
    <n v="-8811.99"/>
    <s v="Saída"/>
    <x v="0"/>
  </r>
  <r>
    <x v="112"/>
    <s v="Itaú - Lisboa e Lisboa"/>
    <s v="INSS"/>
    <x v="19"/>
    <x v="6"/>
    <s v="RECEITA FEDERAL"/>
    <s v="RECEITA FEDERAL"/>
    <m/>
    <m/>
    <s v="Thaynara Borges"/>
    <n v="-3957.59"/>
    <s v="Saída"/>
    <x v="0"/>
  </r>
  <r>
    <x v="113"/>
    <s v="Banco do Brasil - Sarah Alves Lisboa"/>
    <s v="30% sob Implantação"/>
    <x v="2"/>
    <x v="2"/>
    <s v="VALDELICE DA SILVA MENDES"/>
    <s v="VALDELICE DA SILVA MENDES"/>
    <m/>
    <s v="BENEFÍCIO POR INCAPACIDADE"/>
    <s v="Nathalia Louiz"/>
    <n v="759"/>
    <s v="Entrada"/>
    <x v="1"/>
  </r>
  <r>
    <x v="113"/>
    <s v="Itaú - Lisboa e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2"/>
  </r>
  <r>
    <x v="113"/>
    <s v="Banco do Brasil - Sarah Alves Lisboa"/>
    <s v="30+20 SOB ATRASADOS"/>
    <x v="2"/>
    <x v="2"/>
    <s v="SANDRA MARIA SOARES"/>
    <s v="SANDRA MARIA SOARES"/>
    <m/>
    <s v="RESTABELECIMENTO AUXILIO DOENÇA"/>
    <s v="Nathalia Louiz"/>
    <n v="13034.11"/>
    <s v="Entrada"/>
    <x v="1"/>
  </r>
  <r>
    <x v="113"/>
    <s v="Banco do Brasil - Sarah Alves Lisboa"/>
    <s v="Reembolso guia certidão de militância"/>
    <x v="37"/>
    <x v="10"/>
    <s v="SANDRA MARIA SOARES"/>
    <s v="SANDRA MARIA SOARES"/>
    <m/>
    <m/>
    <s v="Nathalia Louiz"/>
    <n v="21.73"/>
    <s v="Entrada"/>
    <x v="1"/>
  </r>
  <r>
    <x v="114"/>
    <s v="Banco do Brasil - Sarah Alves Lisboa"/>
    <s v="Comissão sobre indicação 10% a João Batista pai da Thaynara"/>
    <x v="28"/>
    <x v="7"/>
    <s v="MARIA DA SILVA NOGUEIRA"/>
    <s v="MARIA DA SILVA NOGUEIRA"/>
    <m/>
    <s v="ATRASADOS"/>
    <s v="Thaynara Borges"/>
    <n v="-1663.48"/>
    <s v="Saída"/>
    <x v="0"/>
  </r>
  <r>
    <x v="115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5"/>
    <s v="Banco do Brasil - Sarah Alves Lisboa"/>
    <s v="30% sobre a implantação"/>
    <x v="2"/>
    <x v="2"/>
    <s v="AVENIR RODRIGUES GOMES SOBRINHO"/>
    <s v="AVENIR RODRIGUES GOMES SOBRINHO"/>
    <m/>
    <s v="BENEFÍCIO POR INCAPACIDADE"/>
    <s v="Thaynara Borges"/>
    <n v="1170.25"/>
    <s v="Entrada"/>
    <x v="1"/>
  </r>
  <r>
    <x v="115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5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15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6"/>
    <s v="Itaú - Lisboa e Lisboa"/>
    <s v="Energia contrato 0067122663"/>
    <x v="21"/>
    <x v="1"/>
    <s v="EQUATORIAL GOIAS 0067122663"/>
    <s v="EQUATORIAL GOIAS 0067122663"/>
    <m/>
    <m/>
    <s v="Thaynara Borges"/>
    <n v="-489.86"/>
    <s v="Saída"/>
    <x v="0"/>
  </r>
  <r>
    <x v="116"/>
    <s v="Itaú - Lisboa e Lisboa"/>
    <s v="Energia contrato 0067122721"/>
    <x v="21"/>
    <x v="1"/>
    <s v="EQUATORIAL GOIAS 0067122721"/>
    <s v="EQUATORIAL GOIAS 0067122721"/>
    <m/>
    <m/>
    <s v="Thaynara Borges"/>
    <n v="-432.99"/>
    <s v="Saída"/>
    <x v="0"/>
  </r>
  <r>
    <x v="117"/>
    <s v="Banco do Brasil - Sarah Alves Lisboa"/>
    <s v="20% do Precatório total recebido"/>
    <x v="2"/>
    <x v="2"/>
    <s v="ROSALIA SOARES LEITE"/>
    <s v="ROSALIA SOARES LEITE"/>
    <m/>
    <s v="PRECATÓRIO - PROAD"/>
    <s v="Thaynara Borges"/>
    <n v="18190.25"/>
    <s v="Entrada"/>
    <x v="1"/>
  </r>
  <r>
    <x v="117"/>
    <s v="Banco do Brasil - Sarah Alves Lisboa"/>
    <s v="ASSESSORIA DE CONTABILIDADE"/>
    <x v="1"/>
    <x v="1"/>
    <s v="ELLEN BORGES PEREIRA"/>
    <s v="ELLEN BORGES PEREIRA"/>
    <m/>
    <m/>
    <s v="Nathalia Louiz"/>
    <n v="-150"/>
    <s v="Saída"/>
    <x v="0"/>
  </r>
  <r>
    <x v="118"/>
    <s v="Banco do Brasil - Sarah Alves Lisboa"/>
    <s v="30% sob implantação"/>
    <x v="2"/>
    <x v="2"/>
    <s v="EDSON RAEL DE OLIVEIRA"/>
    <s v="EDSON RAEL DE OLIVEIRA"/>
    <m/>
    <s v="BENEFÍCIO POR INCAPACIDADE"/>
    <s v="Nathalia Louiz"/>
    <n v="266.5"/>
    <s v="Entrada"/>
    <x v="1"/>
  </r>
  <r>
    <x v="118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8"/>
    <s v="Banco do Brasil - Sarah Alves Lisboa"/>
    <s v="RESTITUIÇÃO DE IMPOSTO DE RENDA"/>
    <x v="30"/>
    <x v="9"/>
    <s v="SARAH ALVES LISBOA"/>
    <s v="SARAH ALVES LISBOA"/>
    <m/>
    <m/>
    <s v="Nathalia Louiz"/>
    <n v="-5159.51"/>
    <s v="Saída"/>
    <x v="0"/>
  </r>
  <r>
    <x v="119"/>
    <s v="Banco do Brasil - Sarah Alves Lisbo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119"/>
    <s v="Itaú - Lisboa e Lisboa"/>
    <s v="PRÓ-LABORE"/>
    <x v="23"/>
    <x v="8"/>
    <s v="Thaynara Borges Pereira"/>
    <s v="Thaynara Borges Pereira"/>
    <m/>
    <m/>
    <s v="Thaynara Borges"/>
    <n v="-1351.02"/>
    <s v="Saída"/>
    <x v="0"/>
  </r>
  <r>
    <x v="119"/>
    <s v="Itaú - Lisboa e Lisboa"/>
    <s v="Bolsa Estagio"/>
    <x v="13"/>
    <x v="6"/>
    <s v="Laura Barbosa Marques"/>
    <s v="Laura Barbosa Marques"/>
    <m/>
    <m/>
    <s v="Thaynara Borges"/>
    <n v="-1300"/>
    <s v="Saída"/>
    <x v="0"/>
  </r>
  <r>
    <x v="119"/>
    <s v="Itaú - Lisboa e Lisboa"/>
    <s v="Salário"/>
    <x v="15"/>
    <x v="6"/>
    <s v="Raffaela Nunes"/>
    <s v="Raffaela Nunes"/>
    <m/>
    <m/>
    <s v="Thaynara Borges"/>
    <n v="-2559.96"/>
    <s v="Saída"/>
    <x v="0"/>
  </r>
  <r>
    <x v="119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119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9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119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9"/>
    <s v="Itaú - Lisboa e Lisboa"/>
    <s v="Salário"/>
    <x v="15"/>
    <x v="6"/>
    <s v="Nina Araujo"/>
    <s v="Nina Araujo"/>
    <m/>
    <m/>
    <s v="Thaynara Borges"/>
    <n v="-3208.61"/>
    <s v="Saída"/>
    <x v="0"/>
  </r>
  <r>
    <x v="119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19"/>
    <s v="Banco do Brasil - Sarah Alves Lisboa"/>
    <s v="3 Beneficios"/>
    <x v="2"/>
    <x v="2"/>
    <s v="IRISOLANDA AMARAL DA SILVA"/>
    <s v="IRISOLANDA AMARAL DA SILVA"/>
    <m/>
    <s v="APOSENTADORIA POR IDADE"/>
    <s v="Thaynara Borges"/>
    <n v="2900"/>
    <s v="Entrada"/>
    <x v="1"/>
  </r>
  <r>
    <x v="119"/>
    <s v="Itaú - Lisboa e Lisboa"/>
    <s v="Retirada"/>
    <x v="22"/>
    <x v="8"/>
    <s v="Thaynara Borges Pereira"/>
    <s v="Thaynara Borges Pereira"/>
    <m/>
    <m/>
    <s v="Thaynara Borges"/>
    <n v="-3648.98"/>
    <s v="Saída"/>
    <x v="0"/>
  </r>
  <r>
    <x v="119"/>
    <s v="Itaú - Lisboa e Lisboa"/>
    <s v="Reembolso de despesas comerciais"/>
    <x v="30"/>
    <x v="9"/>
    <s v="CARLOS ALBERTO GRACIANO RODRIGUES"/>
    <s v="CARLOS ALBERTO GRACIANO RODRIGUES"/>
    <m/>
    <m/>
    <s v="Nathalia Louiz"/>
    <n v="-1246.81"/>
    <s v="Saída"/>
    <x v="0"/>
  </r>
  <r>
    <x v="119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9"/>
    <s v="Itaú - Lisboa e Lisboa"/>
    <s v="Salário"/>
    <x v="15"/>
    <x v="6"/>
    <s v="MARIA EDUARDA DE SOUZA"/>
    <s v="MARIA EDUARDA DE SOUZA"/>
    <m/>
    <m/>
    <s v="Nathalia Louiz"/>
    <n v="-925"/>
    <s v="Saída"/>
    <x v="0"/>
  </r>
  <r>
    <x v="119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120"/>
    <s v="Itaú - Lisboa e Lisboa"/>
    <s v="Rendimentos para acerto de saldo"/>
    <x v="4"/>
    <x v="3"/>
    <s v="BANCO ITAU"/>
    <s v="BANCO ITAU"/>
    <m/>
    <m/>
    <s v="Thaynara Borges"/>
    <n v="1.31"/>
    <s v="Entrada"/>
    <x v="1"/>
  </r>
  <r>
    <x v="121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121"/>
    <s v="Cartão de Crédito Dr Ivanildo"/>
    <s v="SHOPPING FILT"/>
    <x v="26"/>
    <x v="1"/>
    <s v="BANCO ITAU"/>
    <s v="BANCO ITAU"/>
    <m/>
    <m/>
    <s v="Nathalia Louiz"/>
    <n v="-129"/>
    <s v="Saída"/>
    <x v="0"/>
  </r>
  <r>
    <x v="121"/>
    <s v="Cartão de Crédito Dr Ivanildo"/>
    <s v="CANNAÃ FRIOS"/>
    <x v="11"/>
    <x v="1"/>
    <s v="BANCO ITAU"/>
    <s v="BANCO ITAU"/>
    <m/>
    <m/>
    <s v="Nathalia Louiz"/>
    <n v="-38.9"/>
    <s v="Saída"/>
    <x v="0"/>
  </r>
  <r>
    <x v="121"/>
    <s v="Cartão de Crédito Dr Ivanildo"/>
    <s v="CANAÃ FRIOS"/>
    <x v="11"/>
    <x v="1"/>
    <s v="BANCO ITAU"/>
    <s v="BANCO ITAU"/>
    <m/>
    <m/>
    <s v="Nathalia Louiz"/>
    <n v="-48.94"/>
    <s v="Saída"/>
    <x v="0"/>
  </r>
  <r>
    <x v="121"/>
    <s v="Cartão de Crédito Dr Ivanildo"/>
    <s v="MAU NENHUM RESTAURANTE"/>
    <x v="11"/>
    <x v="1"/>
    <s v="BANCO ITAU"/>
    <s v="BANCO ITAU"/>
    <m/>
    <m/>
    <s v="Nathalia Louiz"/>
    <n v="-391.09"/>
    <s v="Saída"/>
    <x v="0"/>
  </r>
  <r>
    <x v="121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121"/>
    <s v="Banco do Brasil - Sarah Alves Lisboa"/>
    <s v="Diferença ref.: 3 Beneficios"/>
    <x v="2"/>
    <x v="2"/>
    <s v="IRISOLANDA AMARAL DA SILVA"/>
    <s v="IRISOLANDA AMARAL DA SILVA"/>
    <m/>
    <s v="APOSENTADORIA POR IDADE"/>
    <s v="Thaynara Borges"/>
    <n v="1654"/>
    <s v="Entrada"/>
    <x v="1"/>
  </r>
  <r>
    <x v="121"/>
    <s v="Banco do Brasil - Sarah Alves Lisboa"/>
    <s v="COMISSÃO POR INDICAÇÃO - NINA"/>
    <x v="28"/>
    <x v="7"/>
    <s v="HERBERTH ALVES PEREIRA"/>
    <s v="HERBERTH ALVES PEREIRA"/>
    <m/>
    <s v="AUXILIO ACIDENTE"/>
    <s v="Nathalia Louiz"/>
    <n v="-1408.17"/>
    <s v="Saída"/>
    <x v="0"/>
  </r>
  <r>
    <x v="121"/>
    <s v="Cartão de Crédito Dr Ivanildo"/>
    <s v="NOBREAK E CIA"/>
    <x v="14"/>
    <x v="1"/>
    <s v="BANCO ITAU"/>
    <s v="BANCO ITAU"/>
    <m/>
    <m/>
    <s v="Nathalia Louiz"/>
    <n v="-292"/>
    <s v="Saída"/>
    <x v="0"/>
  </r>
  <r>
    <x v="121"/>
    <s v="Cartão de Crédito Dr Ivanildo"/>
    <s v="Pagamento Cartão de Crédito Dr Ivanildo"/>
    <x v="6"/>
    <x v="1"/>
    <s v="BANCO ITAU"/>
    <s v="BANCO ITAU"/>
    <m/>
    <m/>
    <s v="Thaynara Borges"/>
    <n v="2202.8200000000002"/>
    <s v="Entrada"/>
    <x v="1"/>
  </r>
  <r>
    <x v="121"/>
    <s v="Itaú - Lisboa e Lisboa"/>
    <s v="HONORÁRIOS INTEGRALMENTE REPASSADOS A VANESSA (LANÇAR COMO RETIRADA SARAH)"/>
    <x v="28"/>
    <x v="7"/>
    <s v="ROSALIA SOARES LEITE"/>
    <s v="ROSALIA SOARES LEITE"/>
    <m/>
    <s v="PRECATÓRIO - PROAD"/>
    <s v="Nathalia Louiz"/>
    <n v="-15850.98"/>
    <s v="Saída"/>
    <x v="0"/>
  </r>
  <r>
    <x v="121"/>
    <s v="Cartão de Crédito Dr Ivanildo"/>
    <s v="CANAÃ FRIOS - ALIMENTAÇÃO"/>
    <x v="11"/>
    <x v="1"/>
    <s v="BANCO ITAU"/>
    <s v="BANCO ITAU"/>
    <m/>
    <m/>
    <s v="Nathalia Louiz"/>
    <n v="-54"/>
    <s v="Saída"/>
    <x v="0"/>
  </r>
  <r>
    <x v="121"/>
    <s v="Cartão de Crédito Dr Ivanildo"/>
    <s v="ASA CURSOS"/>
    <x v="34"/>
    <x v="1"/>
    <s v="BANCO ITAU"/>
    <s v="BANCO ITAU"/>
    <m/>
    <m/>
    <s v="Nathalia Louiz"/>
    <n v="-59.9"/>
    <s v="Saída"/>
    <x v="0"/>
  </r>
  <r>
    <x v="121"/>
    <s v="Cartão de Crédito Dr Ivanildo"/>
    <s v="Prévius"/>
    <x v="12"/>
    <x v="1"/>
    <s v="BANCO ITAU"/>
    <s v="BANCO ITAU"/>
    <m/>
    <m/>
    <s v="Thaynara Borges"/>
    <n v="-80.91"/>
    <s v="Saída"/>
    <x v="0"/>
  </r>
  <r>
    <x v="121"/>
    <s v="Cartão de Crédito Dr Ivanildo"/>
    <s v="CANAÃ FRIOS"/>
    <x v="11"/>
    <x v="1"/>
    <s v="BANCO ITAU"/>
    <s v="BANCO ITAU"/>
    <m/>
    <m/>
    <s v="Nathalia Louiz"/>
    <n v="-55.4"/>
    <s v="Saída"/>
    <x v="0"/>
  </r>
  <r>
    <x v="121"/>
    <s v="Cartão de Crédito Dr Ivanildo"/>
    <s v="SOLUTE CERTIFICADOS"/>
    <x v="30"/>
    <x v="9"/>
    <s v="BANCO ITAU"/>
    <s v="BANCO ITAU"/>
    <m/>
    <m/>
    <s v="Nathalia Louiz"/>
    <n v="-132"/>
    <s v="Saída"/>
    <x v="0"/>
  </r>
  <r>
    <x v="121"/>
    <s v="Cartão de Crédito Dr Ivanildo"/>
    <s v="SUPERMERCADO UNIÃO"/>
    <x v="26"/>
    <x v="1"/>
    <s v="BANCO ITAU"/>
    <s v="BANCO ITAU"/>
    <m/>
    <m/>
    <s v="Nathalia Louiz"/>
    <n v="-193.65"/>
    <s v="Saída"/>
    <x v="0"/>
  </r>
  <r>
    <x v="121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121"/>
    <s v="Itaú - Lisboa e Lisboa"/>
    <s v="RENDIMENTOS"/>
    <x v="38"/>
    <x v="0"/>
    <s v="BANCO ITAU"/>
    <s v="BANCO ITAU"/>
    <m/>
    <m/>
    <s v="Nathalia Louiz"/>
    <n v="3.92"/>
    <s v="Entrada"/>
    <x v="1"/>
  </r>
  <r>
    <x v="121"/>
    <s v="Cartão de Crédito Dr Ivanildo"/>
    <s v="JL PARK ESTACIONAMENTO"/>
    <x v="39"/>
    <x v="1"/>
    <s v="BANCO ITAU"/>
    <s v="BANCO ITAU"/>
    <m/>
    <m/>
    <s v="Nathalia Louiz"/>
    <n v="-26"/>
    <s v="Saída"/>
    <x v="0"/>
  </r>
  <r>
    <x v="121"/>
    <s v="Cartão de Crédito Dr Ivanildo"/>
    <s v="Google One"/>
    <x v="12"/>
    <x v="1"/>
    <s v="BANCO ITAU"/>
    <s v="BANCO ITAU"/>
    <m/>
    <m/>
    <s v="Thaynara Borges"/>
    <n v="-49.99"/>
    <s v="Saída"/>
    <x v="0"/>
  </r>
  <r>
    <x v="121"/>
    <s v="Cartão de Crédito Dr Ivanildo"/>
    <s v="Google One"/>
    <x v="12"/>
    <x v="1"/>
    <s v="BANCO ITAU"/>
    <s v="BANCO ITAU"/>
    <m/>
    <m/>
    <s v="Thaynara Borges"/>
    <n v="-14.99"/>
    <s v="Saída"/>
    <x v="0"/>
  </r>
  <r>
    <x v="121"/>
    <s v="Cartão de Crédito Dr Ivanildo"/>
    <s v="AMAZON"/>
    <x v="26"/>
    <x v="1"/>
    <s v="BANCO ITAU"/>
    <s v="BANCO ITAU"/>
    <m/>
    <m/>
    <s v="Nathalia Louiz"/>
    <n v="-18.23"/>
    <s v="Saída"/>
    <x v="0"/>
  </r>
  <r>
    <x v="121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121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121"/>
    <s v="Cartão de Crédito Dr Ivanildo"/>
    <s v="AMAZON"/>
    <x v="26"/>
    <x v="1"/>
    <s v="BANCO ITAU"/>
    <s v="BANCO ITAU"/>
    <m/>
    <m/>
    <s v="Nathalia Louiz"/>
    <n v="-26.98"/>
    <s v="Saída"/>
    <x v="0"/>
  </r>
  <r>
    <x v="121"/>
    <s v="Cartão de Crédito Dr Ivanildo"/>
    <s v="Jusbrasil"/>
    <x v="12"/>
    <x v="1"/>
    <s v="BANCO ITAU"/>
    <s v="BANCO ITAU"/>
    <m/>
    <m/>
    <s v="Thaynara Borges"/>
    <n v="-58.9"/>
    <s v="Saída"/>
    <x v="0"/>
  </r>
  <r>
    <x v="121"/>
    <s v="Cartão de Crédito Dr Ivanildo"/>
    <s v="Jusbrasil"/>
    <x v="12"/>
    <x v="1"/>
    <s v="BANCO ITAU"/>
    <s v="BANCO ITAU"/>
    <m/>
    <m/>
    <s v="Thaynara Borges"/>
    <n v="-58.9"/>
    <s v="Saída"/>
    <x v="0"/>
  </r>
  <r>
    <x v="122"/>
    <s v="Banco do Brasil - Sarah Alves Lisboa"/>
    <s v="COMISSÃO POR CUMPRIMENTO DE META"/>
    <x v="28"/>
    <x v="7"/>
    <s v="Laura Barbosa Marques"/>
    <s v="Laura Barbosa Marques"/>
    <m/>
    <m/>
    <s v="Nathalia Louiz"/>
    <n v="-100"/>
    <s v="Saída"/>
    <x v="0"/>
  </r>
  <r>
    <x v="122"/>
    <s v="Banco do Brasil - Sarah Alves Lisboa"/>
    <s v="Comissão a Ednaldo 10%"/>
    <x v="28"/>
    <x v="7"/>
    <s v="IRISOLANDA AMARAL DA SILVA"/>
    <s v="IRISOLANDA AMARAL DA SILVA"/>
    <m/>
    <s v="APOSENTADORIA POR IDADE"/>
    <s v="Thaynara Borges"/>
    <n v="-396.83"/>
    <s v="Saída"/>
    <x v="0"/>
  </r>
  <r>
    <x v="122"/>
    <s v="Banco do Brasil - Sarah Alves Lisboa"/>
    <s v="COMISSÃO POR CUMPRIMENTO DE META"/>
    <x v="28"/>
    <x v="7"/>
    <s v="MARIA EDUARDA DE SOUZA"/>
    <s v="MARIA EDUARDA DE SOUZA"/>
    <m/>
    <m/>
    <s v="Nathalia Louiz"/>
    <n v="-100"/>
    <s v="Saída"/>
    <x v="0"/>
  </r>
  <r>
    <x v="122"/>
    <s v="Banco do Brasil - Sarah Alves Lisboa"/>
    <s v="COMISSÃO POR CUMPRIMENTO DE META"/>
    <x v="28"/>
    <x v="7"/>
    <s v="Thaynara Borges Pereira"/>
    <s v="Thaynara Borges Pereira"/>
    <m/>
    <m/>
    <s v="Nathalia Louiz"/>
    <n v="-100"/>
    <s v="Saída"/>
    <x v="0"/>
  </r>
  <r>
    <x v="122"/>
    <s v="Itaú - Lisboa e Lisboa"/>
    <s v="serviços de TI"/>
    <x v="3"/>
    <x v="1"/>
    <s v="Rhuan Carlos Batista"/>
    <s v="Rhuan Carlos Batista"/>
    <m/>
    <m/>
    <s v="Nathalia Louiz"/>
    <n v="-310"/>
    <s v="Saída"/>
    <x v="0"/>
  </r>
  <r>
    <x v="122"/>
    <s v="Banco do Brasil - Sarah Alves Lisboa"/>
    <s v="COMISSÃO POR CUMPRIMENTO DE META"/>
    <x v="28"/>
    <x v="7"/>
    <s v="EVANILZA ARAUJO MORAES"/>
    <s v="EVANILZA ARAUJO MORAES"/>
    <m/>
    <m/>
    <s v="Nathalia Louiz"/>
    <n v="-100"/>
    <s v="Saída"/>
    <x v="0"/>
  </r>
  <r>
    <x v="122"/>
    <s v="Banco do Brasil - Sarah Alves Lisboa"/>
    <s v="COMISSÃO POR CUMPRIMENTO DE META"/>
    <x v="28"/>
    <x v="7"/>
    <s v="SARAH ALVES LISBOA"/>
    <s v="SARAH ALVES LISBOA"/>
    <m/>
    <m/>
    <s v="Nathalia Louiz"/>
    <n v="-100"/>
    <s v="Saída"/>
    <x v="0"/>
  </r>
  <r>
    <x v="122"/>
    <s v="Banco do Brasil - Sarah Alves Lisboa"/>
    <s v="COMISSÃO POR CUMPRIMENTO DE META"/>
    <x v="28"/>
    <x v="7"/>
    <s v="Raffaela Nunes"/>
    <s v="Raffaela Nunes"/>
    <m/>
    <m/>
    <s v="Nathalia Louiz"/>
    <n v="-100"/>
    <s v="Saída"/>
    <x v="0"/>
  </r>
  <r>
    <x v="123"/>
    <s v="Itaú - Lisboa e Lisboa"/>
    <s v="Cartão de Crédito Dr Ivanilldo"/>
    <x v="6"/>
    <x v="1"/>
    <s v="BANCO ITAU"/>
    <s v="BANCO ITAU"/>
    <m/>
    <m/>
    <s v="Thaynara Borges"/>
    <n v="-2202.8200000000002"/>
    <s v="Saída"/>
    <x v="0"/>
  </r>
  <r>
    <x v="123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123"/>
    <s v="Cartão de Crédito Dra Thaynara"/>
    <s v="PACOTE OFFICE"/>
    <x v="25"/>
    <x v="0"/>
    <s v="C6"/>
    <s v="C6"/>
    <m/>
    <m/>
    <s v="Nathalia Louiz"/>
    <n v="-51"/>
    <s v="Saída"/>
    <x v="0"/>
  </r>
  <r>
    <x v="123"/>
    <s v="Cartão de Crédito Dra Thaynara"/>
    <s v="Cálculo Jurídico"/>
    <x v="12"/>
    <x v="1"/>
    <s v="C6"/>
    <s v="C6"/>
    <m/>
    <m/>
    <s v="Thaynara Borges"/>
    <n v="-40.340000000000003"/>
    <s v="Saída"/>
    <x v="0"/>
  </r>
  <r>
    <x v="123"/>
    <s v="Itaú - Lisboa e Lisboa"/>
    <s v="Taxa de Condomínio Vaga Garagem A-81"/>
    <x v="10"/>
    <x v="1"/>
    <s v="ATON BUSINESS STYLE"/>
    <s v="ATON BUSINESS STYLE"/>
    <m/>
    <m/>
    <s v="Thaynara Borges"/>
    <n v="-64.56"/>
    <s v="Saída"/>
    <x v="0"/>
  </r>
  <r>
    <x v="123"/>
    <s v="Itaú - Lisboa e Lisboa"/>
    <s v="Taxa de Condomínio Vaga Garagem A-78"/>
    <x v="10"/>
    <x v="1"/>
    <s v="ATON BUSINESS STYLE"/>
    <s v="ATON BUSINESS STYLE"/>
    <m/>
    <m/>
    <s v="Thaynara Borges"/>
    <n v="-64.56"/>
    <s v="Saída"/>
    <x v="0"/>
  </r>
  <r>
    <x v="123"/>
    <s v="Cartão de Crédito Dra Thaynara"/>
    <s v="Pagamento Cartão de Crédito Dra Thaynara"/>
    <x v="6"/>
    <x v="1"/>
    <s v="C6"/>
    <s v="C6"/>
    <m/>
    <m/>
    <s v="Nathalia Louiz"/>
    <n v="877.25"/>
    <s v="Entrada"/>
    <x v="1"/>
  </r>
  <r>
    <x v="123"/>
    <s v="Itaú - Lisboa e Lisboa"/>
    <s v="Taxa de Condomínio Vaga Garagem A-82"/>
    <x v="10"/>
    <x v="1"/>
    <s v="ATON BUSINESS STYLE"/>
    <s v="ATON BUSINESS STYLE"/>
    <m/>
    <m/>
    <s v="Thaynara Borges"/>
    <n v="-64.56"/>
    <s v="Saída"/>
    <x v="0"/>
  </r>
  <r>
    <x v="123"/>
    <s v="Banco do Brasil - Sarah Alves Lisboa"/>
    <s v="MATERIAL DE LIMPEZA"/>
    <x v="26"/>
    <x v="1"/>
    <s v="EVANILZA ARAUJO MORAES"/>
    <s v="EVANILZA ARAUJO MORAES"/>
    <m/>
    <m/>
    <s v="Nathalia Louiz"/>
    <n v="-54.44"/>
    <s v="Saída"/>
    <x v="0"/>
  </r>
  <r>
    <x v="123"/>
    <s v="Itaú - Lisboa e Lisboa"/>
    <s v="Taxa de Condomínio Vaga Garagem A-88"/>
    <x v="10"/>
    <x v="1"/>
    <s v="ATON BUSINESS STYLE"/>
    <s v="ATON BUSINESS STYLE"/>
    <m/>
    <m/>
    <s v="Thaynara Borges"/>
    <n v="-64.56"/>
    <s v="Saída"/>
    <x v="0"/>
  </r>
  <r>
    <x v="123"/>
    <s v="Banco do Brasil - Sarah Alves Lisboa"/>
    <s v="3 BENEFICIOS"/>
    <x v="2"/>
    <x v="2"/>
    <s v="SERGIO HENRIQUE  MOREIRA LOPES"/>
    <s v="SERGIO HENRIQUE  MOREIRA LOPES"/>
    <m/>
    <s v="BENEFÍCIO POR INCAPACIDADE"/>
    <s v="Nathalia Louiz"/>
    <n v="1007.59"/>
    <s v="Entrada"/>
    <x v="1"/>
  </r>
  <r>
    <x v="123"/>
    <s v="Itaú - Lisboa e Lisboa"/>
    <s v="Taxa de Condomínio Sala B-73"/>
    <x v="10"/>
    <x v="1"/>
    <s v="ATON BUSINESS STYLE"/>
    <s v="ATON BUSINESS STYLE"/>
    <m/>
    <m/>
    <s v="Thaynara Borges"/>
    <n v="-1296.1099999999999"/>
    <s v="Saída"/>
    <x v="0"/>
  </r>
  <r>
    <x v="123"/>
    <s v="Cartão de Crédito Dra Thaynara"/>
    <s v="Cálculo Jurídico"/>
    <x v="27"/>
    <x v="4"/>
    <s v="C6"/>
    <s v="C6"/>
    <m/>
    <m/>
    <s v="Nathalia Louiz"/>
    <n v="-79.95"/>
    <s v="Saída"/>
    <x v="0"/>
  </r>
  <r>
    <x v="123"/>
    <s v="Itaú - Lisboa e Lisboa"/>
    <s v="Taxa de Condomínio Sala B-74"/>
    <x v="10"/>
    <x v="1"/>
    <s v="ATON BUSINESS STYLE"/>
    <s v="ATON BUSINESS STYLE"/>
    <m/>
    <m/>
    <s v="Thaynara Borges"/>
    <n v="-1295.55"/>
    <s v="Saída"/>
    <x v="0"/>
  </r>
  <r>
    <x v="123"/>
    <s v="Cartão de Crédito Dra Thaynara"/>
    <s v="ASTREA"/>
    <x v="12"/>
    <x v="1"/>
    <s v="C6"/>
    <s v="C6"/>
    <m/>
    <m/>
    <s v="Thaynara Borges"/>
    <n v="-456.75"/>
    <s v="Saída"/>
    <x v="0"/>
  </r>
  <r>
    <x v="123"/>
    <s v="Itaú - Lisboa e Lisboa"/>
    <s v="Taxa de Condomínio Vaga Garagem A-83"/>
    <x v="10"/>
    <x v="1"/>
    <s v="ATON BUSINESS STYLE"/>
    <s v="ATON BUSINESS STYLE"/>
    <m/>
    <m/>
    <s v="Thaynara Borges"/>
    <n v="-64.56"/>
    <s v="Saída"/>
    <x v="0"/>
  </r>
  <r>
    <x v="124"/>
    <s v="Itaú - Lisboa e Lisboa"/>
    <s v="50% Sob RPV"/>
    <x v="2"/>
    <x v="2"/>
    <s v="IRANY CARDOSO TEIXEIRA"/>
    <s v="IRANY CARDOSO TEIXEIRA"/>
    <m/>
    <s v="APOSENTADORIA RURAL"/>
    <s v="Nathalia Louiz"/>
    <n v="5852.82"/>
    <s v="Entrada"/>
    <x v="1"/>
  </r>
  <r>
    <x v="124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24"/>
    <s v="Itaú - Lisboa e Lisboa"/>
    <s v="Celular"/>
    <x v="8"/>
    <x v="1"/>
    <s v="VIVO"/>
    <s v="VIVO"/>
    <m/>
    <m/>
    <s v="Thaynara Borges"/>
    <n v="-137.37"/>
    <s v="Saída"/>
    <x v="0"/>
  </r>
  <r>
    <x v="124"/>
    <s v="Itaú - Lisboa e Lisboa"/>
    <s v="30% Sob RPV"/>
    <x v="2"/>
    <x v="2"/>
    <s v="VERA LUCIA PEREIRA DE OLIVEIRA"/>
    <s v="VERA LUCIA PEREIRA DE OLIVEIRA"/>
    <m/>
    <s v="AUXÍLIO DOENÇA"/>
    <s v="Nathalia Louiz"/>
    <n v="3117.13"/>
    <s v="Entrada"/>
    <x v="1"/>
  </r>
  <r>
    <x v="125"/>
    <s v="Cartão de Crédito Dra Sarah"/>
    <s v="ESTORNO DE COMPRA JANEIRO/2025"/>
    <x v="37"/>
    <x v="10"/>
    <s v="BANCO ITAU"/>
    <s v="BANCO ITAU"/>
    <m/>
    <m/>
    <s v="Nathalia Louiz"/>
    <n v="308.25"/>
    <s v="Entrada"/>
    <x v="1"/>
  </r>
  <r>
    <x v="125"/>
    <s v="Cartão de Crédito Dra Sarah"/>
    <s v="Cartão de crédito Dra Sarah"/>
    <x v="6"/>
    <x v="1"/>
    <s v="BANCO ITAU"/>
    <s v="BANCO ITAU"/>
    <m/>
    <m/>
    <s v="Nathalia Louiz"/>
    <n v="336.42"/>
    <s v="Entrada"/>
    <x v="1"/>
  </r>
  <r>
    <x v="125"/>
    <s v="Itaú - Lisboa e Lisboa"/>
    <s v="CONTRATO 9309114969"/>
    <x v="8"/>
    <x v="1"/>
    <s v="VIVO FIXO"/>
    <s v="VIVO FIXO"/>
    <m/>
    <m/>
    <s v="Thaynara Borges"/>
    <n v="-130.53"/>
    <s v="Saída"/>
    <x v="0"/>
  </r>
  <r>
    <x v="125"/>
    <s v="Banco do Brasil - Sarah Alves Lisboa"/>
    <s v="EVENTO: A COMUNIDADE: VIRANDO A CHAVE DO NETWORKING"/>
    <x v="27"/>
    <x v="4"/>
    <s v="SYMPLA"/>
    <s v="SYMPLA"/>
    <m/>
    <m/>
    <s v="Nathalia Louiz"/>
    <n v="-81.5"/>
    <s v="Saída"/>
    <x v="0"/>
  </r>
  <r>
    <x v="125"/>
    <s v="Itaú - Lisboa e Lisboa"/>
    <s v="Pagamento cartão Dra Sarah"/>
    <x v="6"/>
    <x v="1"/>
    <s v="BANCO ITAU"/>
    <s v="BANCO ITAU"/>
    <m/>
    <m/>
    <s v="Nathalia Louiz"/>
    <n v="-336.42"/>
    <s v="Saída"/>
    <x v="0"/>
  </r>
  <r>
    <x v="125"/>
    <s v="Itaú - Lisboa e Lisboa"/>
    <s v="CONTRATO 9621661899"/>
    <x v="8"/>
    <x v="1"/>
    <s v="VIVO FIXO"/>
    <s v="VIVO FIXO"/>
    <m/>
    <m/>
    <s v="Thaynara Borges"/>
    <n v="-131.37"/>
    <s v="Saída"/>
    <x v="0"/>
  </r>
  <r>
    <x v="125"/>
    <s v="Itaú - Lisboa e Lisboa"/>
    <s v="Diferença ref.: 2 Benefícios parcelados em 6x"/>
    <x v="2"/>
    <x v="2"/>
    <s v="ISABEL PEREIRA SOUSA"/>
    <s v="ISABEL PEREIRA SOUSA"/>
    <m/>
    <s v="APOSENTADORIA POR IDADE"/>
    <s v="Thaynara Borges"/>
    <n v="0.01"/>
    <s v="Entrada"/>
    <x v="1"/>
  </r>
  <r>
    <x v="125"/>
    <s v="Cartão de Crédito Dra Sarah"/>
    <s v="TERMO SUL ENGENHARIA"/>
    <x v="14"/>
    <x v="1"/>
    <s v="BANCO ITAU"/>
    <s v="BANCO ITAU"/>
    <m/>
    <m/>
    <s v="Nathalia Louiz"/>
    <n v="-419.68"/>
    <s v="Saída"/>
    <x v="0"/>
  </r>
  <r>
    <x v="125"/>
    <s v="Cartão de Crédito Dra Sarah"/>
    <s v="COMPRA MERCADO LIVRE"/>
    <x v="6"/>
    <x v="1"/>
    <s v="BANCO ITAU"/>
    <s v="BANCO ITAU"/>
    <m/>
    <m/>
    <s v="Nathalia Louiz"/>
    <n v="-224.99"/>
    <s v="Saída"/>
    <x v="0"/>
  </r>
  <r>
    <x v="125"/>
    <s v="Banco do Brasil - Sarah Alves Lisboa"/>
    <s v="ANUIDADE (3 BENEFICIOS)"/>
    <x v="2"/>
    <x v="2"/>
    <s v="DARLENE CAIXETA DOS SANTOS"/>
    <s v="DARLENE CAIXETA DOS SANTOS"/>
    <m/>
    <s v="BENEFÍCIO POR INCAPACIDADE"/>
    <s v="Nathalia Louiz"/>
    <n v="455.4"/>
    <s v="Entrada"/>
    <x v="1"/>
  </r>
  <r>
    <x v="126"/>
    <s v="Banco do Brasil - Sarah Alves Lisboa"/>
    <s v="Tarifa de pacote de serviços"/>
    <x v="30"/>
    <x v="9"/>
    <s v="BANCO DO BRASIL S/A"/>
    <s v="BANCO DO BRASIL S/A"/>
    <m/>
    <m/>
    <s v="Nathalia Louiz"/>
    <n v="-15"/>
    <s v="Saída"/>
    <x v="0"/>
  </r>
  <r>
    <x v="126"/>
    <s v="Banco do Brasil - 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126"/>
    <s v="Banco do Brasil - Sarah Alves Lisboa"/>
    <s v="50% dos honorários (Parceria Dr Ajnaldo)"/>
    <x v="2"/>
    <x v="2"/>
    <s v="LEILA DO CARMO GONÇALVES OLIVEIRA"/>
    <s v="LEILA DO CARMO GONÇALVES OLIVEIRA"/>
    <m/>
    <s v="APOSENTADORIA POR IDADE RURAL"/>
    <s v="Thaynara Borges"/>
    <n v="445.5"/>
    <s v="Entrada"/>
    <x v="1"/>
  </r>
  <r>
    <x v="126"/>
    <s v="Banco do Brasil - Sarah Alves Lisboa"/>
    <s v="30% Sob Implantação - VALOR TOTAL (R$891 - 50% ajnaldo) - Abatido no Débito da Leila"/>
    <x v="2"/>
    <x v="2"/>
    <s v="CAIO FERNANDES BORGES"/>
    <s v="CAIO FERNANDES BORGES"/>
    <m/>
    <s v="BENEFÍCIO POR INCAPACIDADE"/>
    <s v="Nathalia Louiz"/>
    <n v="445.5"/>
    <s v="Entrada"/>
    <x v="1"/>
  </r>
  <r>
    <x v="126"/>
    <s v="Itaú - Lisboa e Lisboa"/>
    <s v="IEL Estagiárias"/>
    <x v="13"/>
    <x v="6"/>
    <s v="IEL"/>
    <s v="IEL"/>
    <m/>
    <m/>
    <s v="Thaynara Borges"/>
    <n v="-426.92"/>
    <s v="Saída"/>
    <x v="0"/>
  </r>
  <r>
    <x v="127"/>
    <s v="Itaú - Lisboa e Lisboa"/>
    <s v="Honorários referente a estudo/planejamento previdenciário"/>
    <x v="2"/>
    <x v="2"/>
    <s v="JOSE VITORIO DE CARVALHO JUNIOR"/>
    <s v="JOSE VITORIO DE CARVALHO JUNIOR"/>
    <m/>
    <s v="PLANEJAMENTO PREVIDENCIÁRIO"/>
    <s v="Thaynara Borges"/>
    <n v="97.15"/>
    <s v="Entrada"/>
    <x v="1"/>
  </r>
  <r>
    <x v="128"/>
    <s v="Banco do Brasil - Sarah Alves Lisboa"/>
    <s v="30% Sob implantação"/>
    <x v="2"/>
    <x v="2"/>
    <s v="DALILA DE JESUS MORAES ROCHA"/>
    <s v="DALILA DE JESUS MORAES ROCHA"/>
    <m/>
    <s v="AUXILIO DOENÇA"/>
    <s v="Nathalia Louiz"/>
    <n v="152"/>
    <s v="Entrada"/>
    <x v="1"/>
  </r>
  <r>
    <x v="129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30"/>
    <s v="Banco do Brasil - Sarah Alves Lisboa"/>
    <s v="Cartão de Crédito Dra Thaynara"/>
    <x v="6"/>
    <x v="1"/>
    <s v="C6"/>
    <s v="C6"/>
    <m/>
    <m/>
    <s v="Thaynara Borges"/>
    <n v="-877.25"/>
    <s v="Saída"/>
    <x v="0"/>
  </r>
  <r>
    <x v="131"/>
    <s v="Banco do Brasil - Sarah Alves Lisboa"/>
    <s v="30% Sob implantação"/>
    <x v="2"/>
    <x v="2"/>
    <s v="MARCOS HENRIQUE SILVA SANTOS"/>
    <s v="MARCOS HENRIQUE SILVA SANTOS"/>
    <m/>
    <s v="BENEFÍCIO POR INCAPACIDADE"/>
    <s v="Nathalia Louiz"/>
    <n v="477"/>
    <s v="Entrada"/>
    <x v="1"/>
  </r>
  <r>
    <x v="131"/>
    <s v="Itaú - Lisboa e Lisboa"/>
    <s v="Rescisão de Contrato Trabalhista"/>
    <x v="15"/>
    <x v="6"/>
    <s v="Raffaela Nunes"/>
    <s v="Raffaela Nunes"/>
    <m/>
    <m/>
    <s v="Nathalia Louiz"/>
    <n v="-2616.83"/>
    <s v="Saída"/>
    <x v="0"/>
  </r>
  <r>
    <x v="132"/>
    <s v="Itaú - Lisboa e Lisboa"/>
    <s v="INSS"/>
    <x v="19"/>
    <x v="6"/>
    <s v="RECEITA FEDERAL"/>
    <s v="RECEITA FEDERAL"/>
    <m/>
    <m/>
    <s v="Thaynara Borges"/>
    <n v="-3219.5"/>
    <s v="Saída"/>
    <x v="0"/>
  </r>
  <r>
    <x v="132"/>
    <s v="Itaú - Lisboa e Lisboa"/>
    <s v="FGTS"/>
    <x v="18"/>
    <x v="6"/>
    <s v="FGTS"/>
    <s v="FGTS"/>
    <m/>
    <m/>
    <s v="Thaynara Borges"/>
    <n v="-589.23"/>
    <s v="Saída"/>
    <x v="0"/>
  </r>
  <r>
    <x v="132"/>
    <s v="Itaú - Lisboa e Lisboa"/>
    <s v="GUIA GFD - Rescisão de Contrato - Raffaela"/>
    <x v="18"/>
    <x v="6"/>
    <s v="FGTS"/>
    <s v="FGTS"/>
    <m/>
    <m/>
    <s v="Nathalia Louiz"/>
    <n v="-145.6"/>
    <s v="Saída"/>
    <x v="0"/>
  </r>
  <r>
    <x v="132"/>
    <s v="Itaú - Lisboa e Lisboa"/>
    <s v="Simples Nacional"/>
    <x v="20"/>
    <x v="7"/>
    <s v="Simples Nacional"/>
    <s v="Simples Nacional"/>
    <m/>
    <m/>
    <s v="Thaynara Borges"/>
    <n v="-16067.33"/>
    <s v="Saída"/>
    <x v="0"/>
  </r>
  <r>
    <x v="132"/>
    <s v="Banco do Brasil - Sarah Alves Lisboa"/>
    <s v="LIMPEZA"/>
    <x v="9"/>
    <x v="1"/>
    <s v="ELIZANGELA FERREIRA DA SILVA"/>
    <s v="ELIZANGELA FERREIRA DA SILVA"/>
    <m/>
    <m/>
    <s v="Nathalia Louiz"/>
    <n v="-170"/>
    <s v="Saída"/>
    <x v="0"/>
  </r>
  <r>
    <x v="133"/>
    <s v="Banco do Brasil - Sarah Alves Lisboa"/>
    <s v="30% sob ação de indenização"/>
    <x v="2"/>
    <x v="2"/>
    <s v="CAROLINE MATOS DE SOUZA"/>
    <s v="CAROLINE MATOS DE SOUZA"/>
    <m/>
    <s v="INDENIZAÇÃO DE DANOS MORAIS"/>
    <s v="Nathalia Louiz"/>
    <n v="1350"/>
    <s v="Entrada"/>
    <x v="1"/>
  </r>
  <r>
    <x v="133"/>
    <s v="Itaú - Lisboa e Lisboa"/>
    <s v="Água"/>
    <x v="17"/>
    <x v="1"/>
    <s v="SANEAGO GOIAS S/A"/>
    <s v="SANEAGO GOIAS S/A"/>
    <m/>
    <m/>
    <s v="Thaynara Borges"/>
    <n v="-134.25"/>
    <s v="Saída"/>
    <x v="0"/>
  </r>
  <r>
    <x v="134"/>
    <s v="Banco do Brasil - Sarah Alves Lisboa"/>
    <s v="Compras para Escritório"/>
    <x v="26"/>
    <x v="1"/>
    <s v="COSTA ATACADISTA"/>
    <s v="COSTA ATACADISTA"/>
    <m/>
    <m/>
    <s v="Nathalia Louiz"/>
    <n v="-451.16"/>
    <s v="Saída"/>
    <x v="0"/>
  </r>
  <r>
    <x v="134"/>
    <s v="Itaú - Lisboa e Lisboa"/>
    <s v="IPTU - BOX 82"/>
    <x v="29"/>
    <x v="1"/>
    <s v="PREFEITURA MUNICIPAL DE GOIÂNIA"/>
    <s v="PREFEITURA MUNICIPAL DE GOIÂNIA"/>
    <s v=""/>
    <m/>
    <s v="Nathalia Louiz"/>
    <n v="-42.74"/>
    <s v="Saída"/>
    <x v="0"/>
  </r>
  <r>
    <x v="134"/>
    <s v="Itaú - Lisboa e Lisboa"/>
    <s v="IPTU - BOX 83"/>
    <x v="29"/>
    <x v="1"/>
    <s v="PREFEITURA MUNICIPAL DE GOIÂNIA"/>
    <s v="PREFEITURA MUNICIPAL DE GOIÂNIA"/>
    <m/>
    <m/>
    <s v="Nathalia Louiz"/>
    <n v="-42.74"/>
    <s v="Saída"/>
    <x v="0"/>
  </r>
  <r>
    <x v="134"/>
    <s v="Itaú - Lisboa e Lisboa"/>
    <s v="IPTU - BOX 78"/>
    <x v="29"/>
    <x v="1"/>
    <s v="PREFEITURA MUNICIPAL DE GOIÂNIA"/>
    <s v="PREFEITURA MUNICIPAL DE GOIÂNIA"/>
    <m/>
    <m/>
    <s v="Nathalia Louiz"/>
    <n v="-42.74"/>
    <s v="Saída"/>
    <x v="0"/>
  </r>
  <r>
    <x v="134"/>
    <s v="Itaú - Lisboa e Lisboa"/>
    <s v="IPTU - BOX 88"/>
    <x v="29"/>
    <x v="1"/>
    <s v="PREFEITURA MUNICIPAL DE GOIÂNIA"/>
    <s v="PREFEITURA MUNICIPAL DE GOIÂNIA"/>
    <m/>
    <m/>
    <s v="Nathalia Louiz"/>
    <n v="-42.74"/>
    <s v="Saída"/>
    <x v="0"/>
  </r>
  <r>
    <x v="134"/>
    <s v="Banco do Brasil - Sarah Alves Lisboa"/>
    <s v="CURSO - IMERSÃO R.E.I VOX"/>
    <x v="32"/>
    <x v="6"/>
    <s v="EDUZZ TECNOLOGIA LTDA"/>
    <s v="EDUZZ TECNOLOGIA LTDA"/>
    <m/>
    <m/>
    <s v="Nathalia Louiz"/>
    <n v="-497"/>
    <s v="Saída"/>
    <x v="0"/>
  </r>
  <r>
    <x v="134"/>
    <s v="Itaú - Lisboa e Lisboa"/>
    <s v="IPTU - SALA B74"/>
    <x v="29"/>
    <x v="1"/>
    <s v="PREFEITURA MUNICIPAL DE GOIÂNIA"/>
    <s v="PREFEITURA MUNICIPAL DE GOIÂNIA"/>
    <m/>
    <m/>
    <s v="Nathalia Louiz"/>
    <n v="-125.57"/>
    <s v="Saída"/>
    <x v="0"/>
  </r>
  <r>
    <x v="134"/>
    <s v="Itaú - Lisboa e Lisboa"/>
    <s v="IPTU - BOX 81"/>
    <x v="29"/>
    <x v="1"/>
    <s v="PREFEITURA MUNICIPAL DE GOIÂNIA"/>
    <s v="PREFEITURA MUNICIPAL DE GOIÂNIA"/>
    <m/>
    <m/>
    <s v="Nathalia Louiz"/>
    <n v="-42.74"/>
    <s v="Saída"/>
    <x v="0"/>
  </r>
  <r>
    <x v="135"/>
    <s v="Banco do Brasil - Sarah Alves Lisboa"/>
    <s v="3 Benefícios - Implantação"/>
    <x v="2"/>
    <x v="2"/>
    <s v="MARIA MADALENA ALVES DA SILVA PAULA"/>
    <s v="MARIA MADALENA ALVES DA SILVA PAULA"/>
    <m/>
    <s v="PENSÃO POR MORTE"/>
    <s v="Nathalia Louiz"/>
    <n v="2277"/>
    <s v="Entrada"/>
    <x v="1"/>
  </r>
  <r>
    <x v="136"/>
    <s v="Banco do Brasil - Sarah Alves Lisboa"/>
    <s v="30% comissão Dra Karine"/>
    <x v="28"/>
    <x v="7"/>
    <s v="DARLENE CAIXETA DOS SANTOS"/>
    <s v="DARLENE CAIXETA DOS SANTOS"/>
    <m/>
    <s v="BENEFÍCIO POR INCAPACIDADE"/>
    <s v="Nathalia Louiz"/>
    <n v="-136.62"/>
    <s v="Saída"/>
    <x v="0"/>
  </r>
  <r>
    <x v="136"/>
    <s v="Banco do Brasil - Sarah Alves Lisboa"/>
    <s v="30% Sob implantação"/>
    <x v="2"/>
    <x v="2"/>
    <s v="LENY CORREIA DOS SANTOS"/>
    <s v="LENY CORREIA DOS SANTOS"/>
    <m/>
    <s v="APOSENTADORIA HÍBRIDA"/>
    <s v="Nathalia Louiz"/>
    <n v="455.4"/>
    <s v="Entrada"/>
    <x v="1"/>
  </r>
  <r>
    <x v="137"/>
    <s v="Banco do Brasil - Sarah Alves Lisboa"/>
    <s v="Honorários sob Ação de Interdição"/>
    <x v="2"/>
    <x v="2"/>
    <s v="LUCIANNA LEAO DIAS DOS REIS"/>
    <s v="LUCIANNA LEAO DIAS DOS REIS"/>
    <m/>
    <s v="INTERDIÇÃO"/>
    <s v="Nathalia Louiz"/>
    <n v="3500"/>
    <s v="Entrada"/>
    <x v="1"/>
  </r>
  <r>
    <x v="137"/>
    <s v="Banco do Brasil - Sarah Alves Lisboa"/>
    <s v="Combustível viagem Dr Sarah"/>
    <x v="35"/>
    <x v="4"/>
    <s v="POSTO 2824"/>
    <s v="POSTO 2824"/>
    <m/>
    <m/>
    <s v="Nathalia Louiz"/>
    <n v="-213.66"/>
    <s v="Saída"/>
    <x v="0"/>
  </r>
  <r>
    <x v="138"/>
    <s v="Itaú - Lisboa e Lisboa"/>
    <s v="Energia contrato 0067122663"/>
    <x v="21"/>
    <x v="1"/>
    <s v="EQUATORIAL GOIAS 0067122663"/>
    <s v="EQUATORIAL GOIAS 0067122663"/>
    <m/>
    <m/>
    <s v="Thaynara Borges"/>
    <n v="-477.27"/>
    <s v="Saída"/>
    <x v="0"/>
  </r>
  <r>
    <x v="138"/>
    <s v="Banco do Brasil - Sarah Alves Lisboa"/>
    <s v="Honorários de parceria caso VALENTINA SOUSA FONSECA"/>
    <x v="2"/>
    <x v="2"/>
    <s v="DR SILVIO CARNEIRO"/>
    <s v="DR SILVIO CARNEIRO"/>
    <m/>
    <m/>
    <s v="Nathalia Louiz"/>
    <n v="150"/>
    <s v="Entrada"/>
    <x v="1"/>
  </r>
  <r>
    <x v="138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38"/>
    <s v="Banco do Brasil - Sarah Alves Lisboa"/>
    <s v="RENDIMENTOS"/>
    <x v="38"/>
    <x v="0"/>
    <s v="BANCO DO BRASIL S/A"/>
    <s v="BANCO DO BRASIL S/A"/>
    <m/>
    <m/>
    <s v="Nathalia Louiz"/>
    <n v="0.3"/>
    <s v="Entrada"/>
    <x v="1"/>
  </r>
  <r>
    <x v="138"/>
    <s v="Itaú - Lisboa e Lisboa"/>
    <s v="Energia contrato 0067122721"/>
    <x v="21"/>
    <x v="1"/>
    <s v="EQUATORIAL GOIAS 0067122721"/>
    <s v="EQUATORIAL GOIAS 0067122721"/>
    <m/>
    <m/>
    <s v="Thaynara Borges"/>
    <n v="-369.56"/>
    <s v="Saída"/>
    <x v="0"/>
  </r>
  <r>
    <x v="138"/>
    <s v="Banco do Brasil - Sarah Alves Lisboa"/>
    <s v="Compras para escritório"/>
    <x v="26"/>
    <x v="1"/>
    <s v="SUPERMERCADO MOREIRA"/>
    <s v="SUPERMERCADO MOREIRA"/>
    <m/>
    <m/>
    <s v="Nathalia Louiz"/>
    <n v="-16.47"/>
    <s v="Saída"/>
    <x v="0"/>
  </r>
  <r>
    <x v="138"/>
    <s v="Banco do Brasil - Sarah Alves Lisboa"/>
    <s v="Valor de saque em Agência Avenida T-7 (Dinheiro para levar em viagem - Dra Sarah)"/>
    <x v="27"/>
    <x v="4"/>
    <s v="SAQUE DE VALORES"/>
    <s v="SAQUE DE VALORES"/>
    <m/>
    <m/>
    <s v="Nathalia Louiz"/>
    <n v="-500"/>
    <s v="Saída"/>
    <x v="0"/>
  </r>
  <r>
    <x v="139"/>
    <s v="Itaú - Lisboa e Lisboa"/>
    <s v="Bolsa Estagio"/>
    <x v="13"/>
    <x v="6"/>
    <s v="Laura Barbosa Marques"/>
    <s v="Laura Barbosa Marques"/>
    <m/>
    <m/>
    <s v="Thaynara Borges"/>
    <n v="-1300"/>
    <s v="Saída"/>
    <x v="0"/>
  </r>
  <r>
    <x v="139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139"/>
    <s v="Itaú - Lisboa e Lisboa"/>
    <s v="Honorário R$ 2.277,00 - Parceria com Dr Fernando  (50%)"/>
    <x v="2"/>
    <x v="2"/>
    <s v="JAIME RODRIGUES DE SOUZA"/>
    <s v="JAIME RODRIGUES DE SOUZA"/>
    <m/>
    <s v="APOSENTADORIA POR TEMPO DE CONTRIBUIÇÃO COM IDADE MÍNIMA"/>
    <s v="Nathalia Louiz"/>
    <n v="756.15"/>
    <s v="Entrada"/>
    <x v="1"/>
  </r>
  <r>
    <x v="139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139"/>
    <s v="Itaú - Lisboa e Lisboa"/>
    <s v="Retirada"/>
    <x v="22"/>
    <x v="8"/>
    <s v="Thaynara Borges Pereira"/>
    <s v="Thaynara Borges Pereira"/>
    <m/>
    <m/>
    <s v="Thaynara Borges"/>
    <n v="-4594.6899999999996"/>
    <s v="Saída"/>
    <x v="0"/>
  </r>
  <r>
    <x v="139"/>
    <s v="Banco do Brasil - Sarah Alves Lisboa"/>
    <s v="Salário"/>
    <x v="15"/>
    <x v="6"/>
    <s v="Raffaela Nunes"/>
    <s v="Raffaela Nunes"/>
    <m/>
    <m/>
    <s v="Thaynara Borges"/>
    <n v="-1920"/>
    <s v="Saída"/>
    <x v="0"/>
  </r>
  <r>
    <x v="139"/>
    <s v="Itaú - Lisboa e Lisboa"/>
    <s v="Salário"/>
    <x v="15"/>
    <x v="6"/>
    <s v="Nina Araujo"/>
    <s v="Nina Araujo"/>
    <m/>
    <m/>
    <s v="Thaynara Borges"/>
    <n v="-3208.61"/>
    <s v="Saída"/>
    <x v="0"/>
  </r>
  <r>
    <x v="139"/>
    <s v="Itaú - Lisboa e Lisboa"/>
    <s v="PRÓ-LABORE"/>
    <x v="23"/>
    <x v="8"/>
    <s v="Thaynara Borges Pereira"/>
    <s v="Thaynara Borges Pereira"/>
    <m/>
    <m/>
    <s v="Thaynara Borges"/>
    <n v="-405.31"/>
    <s v="Saída"/>
    <x v="0"/>
  </r>
  <r>
    <x v="139"/>
    <s v="Itaú - Lisboa e Lisboa"/>
    <s v="Salário"/>
    <x v="15"/>
    <x v="6"/>
    <s v="MARIA EDUARDA DE SOUZA"/>
    <s v="MARIA EDUARDA DE SOUZA"/>
    <m/>
    <m/>
    <s v="Nathalia Louiz"/>
    <n v="-2297.77"/>
    <s v="Saída"/>
    <x v="0"/>
  </r>
  <r>
    <x v="139"/>
    <s v="Banco do Brasil - Sarah Alves Lisboa"/>
    <s v="Cartucho para impressora"/>
    <x v="26"/>
    <x v="1"/>
    <s v="EXTRA CARTUCHOS"/>
    <s v="EXTRA CARTUCHOS"/>
    <m/>
    <m/>
    <s v="Nathalia Louiz"/>
    <n v="-180"/>
    <s v="Saída"/>
    <x v="0"/>
  </r>
  <r>
    <x v="139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140"/>
    <s v="Cartão de Crédito Dr Ivanildo"/>
    <s v="NB BAR E RESTAURANTE"/>
    <x v="11"/>
    <x v="1"/>
    <s v="BANCO ITAU"/>
    <s v="BANCO ITAU"/>
    <m/>
    <m/>
    <s v="Nathalia Louiz"/>
    <n v="-523.38"/>
    <s v="Saída"/>
    <x v="0"/>
  </r>
  <r>
    <x v="140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140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140"/>
    <s v="Cartão de Crédito Dr Ivanildo"/>
    <s v="SUPERMERCADO MOREIRA"/>
    <x v="11"/>
    <x v="1"/>
    <s v="BANCO ITAU"/>
    <s v="BANCO ITAU"/>
    <m/>
    <m/>
    <s v="Nathalia Louiz"/>
    <n v="-65.5"/>
    <s v="Saída"/>
    <x v="0"/>
  </r>
  <r>
    <x v="140"/>
    <s v="Cartão de Crédito Dr Ivanildo"/>
    <s v="CANAA FRIOS"/>
    <x v="11"/>
    <x v="1"/>
    <s v="BANCO ITAU"/>
    <s v="BANCO ITAU"/>
    <m/>
    <m/>
    <s v="Nathalia Louiz"/>
    <n v="-37.700000000000003"/>
    <s v="Saída"/>
    <x v="0"/>
  </r>
  <r>
    <x v="140"/>
    <s v="Cartão de Crédito Dr Ivanildo"/>
    <s v="Jusbrasil"/>
    <x v="12"/>
    <x v="1"/>
    <s v="BANCO ITAU"/>
    <s v="BANCO ITAU"/>
    <m/>
    <m/>
    <s v="Thaynara Borges"/>
    <n v="-58.9"/>
    <s v="Saída"/>
    <x v="0"/>
  </r>
  <r>
    <x v="140"/>
    <s v="Cartão de Crédito Dr Ivanildo"/>
    <s v="ASSAI ATACADISTA"/>
    <x v="11"/>
    <x v="1"/>
    <s v="BANCO ITAU"/>
    <s v="BANCO ITAU"/>
    <m/>
    <m/>
    <s v="Nathalia Louiz"/>
    <n v="-72.489999999999995"/>
    <s v="Saída"/>
    <x v="0"/>
  </r>
  <r>
    <x v="140"/>
    <s v="Cartão de Crédito Dr Ivanildo"/>
    <s v="Pagamento Cartão de Crédito Dr Ivanildo"/>
    <x v="6"/>
    <x v="1"/>
    <s v="BANCO ITAU"/>
    <s v="BANCO ITAU"/>
    <m/>
    <m/>
    <s v="Thaynara Borges"/>
    <n v="1975.87"/>
    <s v="Entrada"/>
    <x v="1"/>
  </r>
  <r>
    <x v="140"/>
    <s v="Itaú - Lisboa e Lisboa"/>
    <s v="RENDIMENTOS"/>
    <x v="38"/>
    <x v="0"/>
    <s v="BANCO ITAU"/>
    <s v="BANCO ITAU"/>
    <m/>
    <m/>
    <s v="Nathalia Louiz"/>
    <n v="7.34"/>
    <s v="Entrada"/>
    <x v="1"/>
  </r>
  <r>
    <x v="140"/>
    <s v="Banco do Brasil - Sarah Alves Lisboa"/>
    <s v="Parcela - Valor da Implantação (R$4.554,00)"/>
    <x v="2"/>
    <x v="2"/>
    <s v="MARIA MADALENA ALVES DA SILVA PAULA"/>
    <s v="MARIA MADALENA ALVES DA SILVA PAULA"/>
    <m/>
    <s v="PENSÃO POR MORTE"/>
    <s v="Nathalia Louiz"/>
    <n v="1138.5"/>
    <s v="Entrada"/>
    <x v="1"/>
  </r>
  <r>
    <x v="140"/>
    <s v="Cartão de Crédito Dr Ivanildo"/>
    <s v="Google One"/>
    <x v="12"/>
    <x v="1"/>
    <s v="BANCO ITAU"/>
    <s v="BANCO ITAU"/>
    <m/>
    <m/>
    <s v="Thaynara Borges"/>
    <n v="-14.99"/>
    <s v="Saída"/>
    <x v="0"/>
  </r>
  <r>
    <x v="140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140"/>
    <s v="Cartão de Crédito Dr Ivanildo"/>
    <s v="Jusbrasil"/>
    <x v="12"/>
    <x v="1"/>
    <s v="BANCO ITAU"/>
    <s v="BANCO ITAU"/>
    <m/>
    <m/>
    <s v="Thaynara Borges"/>
    <n v="-58.9"/>
    <s v="Saída"/>
    <x v="0"/>
  </r>
  <r>
    <x v="140"/>
    <s v="Cartão de Crédito Dr Ivanildo"/>
    <s v="CANAÃ FRIOS"/>
    <x v="11"/>
    <x v="1"/>
    <s v="BANCO ITAU"/>
    <s v="BANCO ITAU"/>
    <m/>
    <m/>
    <s v="Nathalia Louiz"/>
    <n v="-31.2"/>
    <s v="Saída"/>
    <x v="0"/>
  </r>
  <r>
    <x v="140"/>
    <s v="Cartão de Crédito Dr Ivanildo"/>
    <s v="ASA CURSOS"/>
    <x v="32"/>
    <x v="6"/>
    <s v="BANCO ITAU"/>
    <s v="BANCO ITAU"/>
    <m/>
    <m/>
    <s v="Nathalia Louiz"/>
    <n v="-59.9"/>
    <s v="Saída"/>
    <x v="0"/>
  </r>
  <r>
    <x v="140"/>
    <s v="Banco do Brasil - Sarah Alves Lisboa"/>
    <s v="Pagamento de Parceria para Dr Flavia : 50%"/>
    <x v="28"/>
    <x v="7"/>
    <s v="CAROLINE MATOS DE SOUZA"/>
    <s v="CAROLINE MATOS DE SOUZA"/>
    <m/>
    <s v="INDENIZAÇÃO DE DANOS MORAIS"/>
    <s v="Nathalia Louiz"/>
    <n v="-675"/>
    <s v="Saída"/>
    <x v="0"/>
  </r>
  <r>
    <x v="140"/>
    <s v="Cartão de Crédito Dr Ivanildo"/>
    <s v="CANAÃ FRIOS"/>
    <x v="11"/>
    <x v="1"/>
    <s v="BANCO ITAU"/>
    <s v="BANCO ITAU"/>
    <m/>
    <m/>
    <s v="Nathalia Louiz"/>
    <n v="-38.74"/>
    <s v="Saída"/>
    <x v="0"/>
  </r>
  <r>
    <x v="140"/>
    <s v="Banco do Brasil - Sarah Alves Lisboa"/>
    <s v="PAGAMENTO DE HONORÁRIOS - ACORDO APÓS EXECUÇÃO DO CONTRATO"/>
    <x v="2"/>
    <x v="2"/>
    <s v="MARCOS ANTONIO LOURENÇO DE TOLEDO"/>
    <s v="MARCOS ANTONIO LOURENÇO DE TOLEDO"/>
    <m/>
    <s v="AUXILIO DOENÇA"/>
    <s v="Nathalia Louiz"/>
    <n v="100"/>
    <s v="Entrada"/>
    <x v="1"/>
  </r>
  <r>
    <x v="140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140"/>
    <s v="Cartão de Crédito Dr Ivanildo"/>
    <s v="AMAZON BR"/>
    <x v="27"/>
    <x v="4"/>
    <s v="BANCO ITAU"/>
    <s v="BANCO ITAU"/>
    <m/>
    <m/>
    <s v="Nathalia Louiz"/>
    <n v="-44.99"/>
    <s v="Saída"/>
    <x v="0"/>
  </r>
  <r>
    <x v="140"/>
    <s v="Cartão de Crédito Dr Ivanildo"/>
    <s v="AMAZON BR"/>
    <x v="26"/>
    <x v="1"/>
    <s v="BANCO ITAU"/>
    <s v="BANCO ITAU"/>
    <m/>
    <m/>
    <s v="Nathalia Louiz"/>
    <n v="-280.52999999999997"/>
    <s v="Saída"/>
    <x v="0"/>
  </r>
  <r>
    <x v="140"/>
    <s v="Cartão de Crédito Dr Ivanildo"/>
    <s v="SUPERMERCADO MOREIRA"/>
    <x v="11"/>
    <x v="1"/>
    <s v="BANCO ITAU"/>
    <s v="BANCO ITAU"/>
    <m/>
    <m/>
    <s v="Nathalia Louiz"/>
    <n v="-84.71"/>
    <s v="Saída"/>
    <x v="0"/>
  </r>
  <r>
    <x v="140"/>
    <s v="Cartão de Crédito Dr Ivanildo"/>
    <s v="Google One"/>
    <x v="12"/>
    <x v="1"/>
    <s v="BANCO ITAU"/>
    <s v="BANCO ITAU"/>
    <m/>
    <m/>
    <s v="Thaynara Borges"/>
    <n v="-49.99"/>
    <s v="Saída"/>
    <x v="0"/>
  </r>
  <r>
    <x v="140"/>
    <s v="Cartão de Crédito Dr Ivanildo"/>
    <s v="Prévius - LOGIKE"/>
    <x v="12"/>
    <x v="1"/>
    <s v="BANCO ITAU"/>
    <s v="BANCO ITAU"/>
    <m/>
    <m/>
    <s v="Thaynara Borges"/>
    <n v="-80.91"/>
    <s v="Saída"/>
    <x v="0"/>
  </r>
  <r>
    <x v="140"/>
    <s v="Banco do Brasil - Sarah Alves Lisboa"/>
    <s v="30% sob implantação"/>
    <x v="2"/>
    <x v="2"/>
    <s v="MATHEUS HENRIQUE DE CARVALHO MIRANDA"/>
    <s v="MATHEUS HENRIQUE DE CARVALHO MIRANDA"/>
    <m/>
    <s v="PENSÃO POR MORTE"/>
    <s v="Nathalia Louiz"/>
    <n v="2300"/>
    <s v="Entrada"/>
    <x v="1"/>
  </r>
  <r>
    <x v="140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141"/>
    <s v="Banco do Brasil - Sarah Alves Lisboa"/>
    <s v="30% sobre implantação"/>
    <x v="2"/>
    <x v="2"/>
    <s v="DALILA DE JESUS MORAES ROCHA"/>
    <s v="DALILA DE JESUS MORAES ROCHA"/>
    <m/>
    <s v="AUXILIO DOENÇA"/>
    <s v="Nathalia Louiz"/>
    <n v="547"/>
    <s v="Entrada"/>
    <x v="1"/>
  </r>
  <r>
    <x v="141"/>
    <s v="Itaú - Lisboa e Lisboa"/>
    <s v="Honorários R$5000,00 (Parceria com Dr Luciano R$2.500) - 5 parcelas para cada."/>
    <x v="2"/>
    <x v="2"/>
    <s v="LUZIA VIEIRA DE JESUS NASCIMENTO"/>
    <s v="LUZIA VIEIRA DE JESUS NASCIMENTO"/>
    <m/>
    <s v="aposentadoria"/>
    <s v="Nathalia Louiz"/>
    <n v="500"/>
    <s v="Entrada"/>
    <x v="2"/>
  </r>
  <r>
    <x v="141"/>
    <s v="Banco do Brasil - Sarah Alves Lisboa"/>
    <s v="Honorários Sob Implantação"/>
    <x v="2"/>
    <x v="2"/>
    <s v="SEBASTIAO RIBEIRO NETO"/>
    <s v="SEBASTIAO RIBEIRO NETO"/>
    <m/>
    <s v="APOSENTADORIA POR TEMPO DE CONTRIBUIÇAO DA PESSOA COM DEFICIENCIA"/>
    <s v="Nathalia Louiz"/>
    <n v="1671"/>
    <s v="Entrada"/>
    <x v="1"/>
  </r>
  <r>
    <x v="142"/>
    <s v="Itaú - Lisboa e Lisboa"/>
    <s v="Plano mensal - conta corrente"/>
    <x v="4"/>
    <x v="3"/>
    <s v="BANCO ITAU"/>
    <s v="BANCO ITAU"/>
    <m/>
    <m/>
    <s v="Thaynara Borges"/>
    <n v="-261.75"/>
    <s v="Saída"/>
    <x v="4"/>
  </r>
  <r>
    <x v="143"/>
    <s v="Banco do Brasil - Sarah Alves Lisboa"/>
    <s v="3 BENEFICIOS"/>
    <x v="2"/>
    <x v="2"/>
    <s v="SERGIO HENRIQUE  MOREIRA LOPES"/>
    <s v="SERGIO HENRIQUE  MOREIRA LOPES"/>
    <m/>
    <s v="BENEFÍCIO POR INCAPACIDADE"/>
    <s v="Nathalia Louiz"/>
    <n v="1007.59"/>
    <s v="Entrada"/>
    <x v="1"/>
  </r>
  <r>
    <x v="143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43"/>
    <s v="Itaú - Lisboa e Lisboa"/>
    <s v="Parcelamento 3 BENEFICIOS"/>
    <x v="2"/>
    <x v="2"/>
    <s v="MATHEUS HENRIQUE DE CARVALHO MIRANDA"/>
    <s v="MATHEUS HENRIQUE DE CARVALHO MIRANDA"/>
    <m/>
    <s v="PENSÃO POR MORTE"/>
    <s v="Nathalia Louiz"/>
    <n v="563.5"/>
    <s v="Entrada"/>
    <x v="2"/>
  </r>
  <r>
    <x v="144"/>
    <s v="Cartão de Crédito Dra Thaynara"/>
    <s v="CALCULO JURIDICO - DIFERENÇA DE PLANO"/>
    <x v="12"/>
    <x v="1"/>
    <s v="C6"/>
    <s v="C6"/>
    <m/>
    <m/>
    <s v="Nathalia Louiz"/>
    <n v="-40.340000000000003"/>
    <s v="Saída"/>
    <x v="0"/>
  </r>
  <r>
    <x v="144"/>
    <s v="Cartão de Crédito Dra Thaynara"/>
    <s v="Cálculo Jurídico"/>
    <x v="12"/>
    <x v="1"/>
    <s v="C6"/>
    <s v="C6"/>
    <m/>
    <m/>
    <s v="Thaynara Borges"/>
    <n v="-79.95"/>
    <s v="Saída"/>
    <x v="0"/>
  </r>
  <r>
    <x v="144"/>
    <s v="Cartão de Crédito Dra Thaynara"/>
    <s v="ASTREA"/>
    <x v="12"/>
    <x v="1"/>
    <s v="C6"/>
    <s v="C6"/>
    <m/>
    <m/>
    <s v="Thaynara Borges"/>
    <n v="-501.05"/>
    <s v="Saída"/>
    <x v="0"/>
  </r>
  <r>
    <x v="144"/>
    <s v="Cartão de Crédito Dra Thaynara"/>
    <s v="Pagamento Cartão de Crédito Dra Thaynara"/>
    <x v="6"/>
    <x v="1"/>
    <s v="C6"/>
    <s v="C6"/>
    <m/>
    <m/>
    <s v="Nathalia Louiz"/>
    <n v="870.55"/>
    <s v="Entrada"/>
    <x v="1"/>
  </r>
  <r>
    <x v="144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145"/>
    <s v="Itaú - Lisboa e Lisboa"/>
    <s v="Taxa de Condomínio Vaga Garagem A-83"/>
    <x v="10"/>
    <x v="1"/>
    <s v="ATON BUSINESS STYLE"/>
    <s v="ATON BUSINESS STYLE"/>
    <m/>
    <m/>
    <s v="Thaynara Borges"/>
    <n v="-62.6"/>
    <s v="Saída"/>
    <x v="0"/>
  </r>
  <r>
    <x v="145"/>
    <s v="Itaú - Lisboa e Lisboa"/>
    <s v="Celular"/>
    <x v="8"/>
    <x v="1"/>
    <s v="VIVO"/>
    <s v="VIVO"/>
    <m/>
    <m/>
    <s v="Thaynara Borges"/>
    <n v="-137.37"/>
    <s v="Saída"/>
    <x v="0"/>
  </r>
  <r>
    <x v="145"/>
    <s v="Itaú - Lisboa e Lisboa"/>
    <s v="ANUIDADE (3 BENEFICIOS)"/>
    <x v="2"/>
    <x v="2"/>
    <s v="DARLENE CAIXETA DOS SANTOS"/>
    <s v="DARLENE CAIXETA DOS SANTOS"/>
    <m/>
    <s v="BENEFÍCIO POR INCAPACIDADE"/>
    <s v="Nathalia Louiz"/>
    <n v="455.4"/>
    <s v="Entrada"/>
    <x v="2"/>
  </r>
  <r>
    <x v="145"/>
    <s v="Itaú - Lisboa e Lisboa"/>
    <s v="Taxa de Condomínio Vaga Garagem A-82"/>
    <x v="10"/>
    <x v="1"/>
    <s v="ATON BUSINESS STYLE"/>
    <s v="ATON BUSINESS STYLE"/>
    <m/>
    <m/>
    <s v="Thaynara Borges"/>
    <n v="-62.6"/>
    <s v="Saída"/>
    <x v="0"/>
  </r>
  <r>
    <x v="145"/>
    <s v="Itaú - Lisboa e Lisboa"/>
    <s v="Taxa de Condomínio Vaga Garagem A-81"/>
    <x v="10"/>
    <x v="1"/>
    <s v="ATON BUSINESS STYLE"/>
    <s v="ATON BUSINESS STYLE"/>
    <m/>
    <m/>
    <s v="Thaynara Borges"/>
    <n v="-62.6"/>
    <s v="Saída"/>
    <x v="0"/>
  </r>
  <r>
    <x v="145"/>
    <s v="Itaú - Lisboa e Lisboa"/>
    <s v="Taxa de Condomínio Sala B-74"/>
    <x v="10"/>
    <x v="1"/>
    <s v="ATON BUSINESS STYLE"/>
    <s v="ATON BUSINESS STYLE"/>
    <m/>
    <m/>
    <s v="Thaynara Borges"/>
    <n v="-1445.14"/>
    <s v="Saída"/>
    <x v="0"/>
  </r>
  <r>
    <x v="145"/>
    <s v="Itaú - Lisboa e Lisboa"/>
    <s v="Cartão de Crédito Dr Ivanilldo"/>
    <x v="6"/>
    <x v="1"/>
    <s v="BANCO ITAU"/>
    <s v="BANCO ITAU"/>
    <m/>
    <m/>
    <s v="Thaynara Borges"/>
    <n v="-1975.87"/>
    <s v="Saída"/>
    <x v="0"/>
  </r>
  <r>
    <x v="145"/>
    <s v="Itaú - Lisboa e Lisboa"/>
    <s v="Taxa de Condomínio Vaga Garagem A-78"/>
    <x v="10"/>
    <x v="1"/>
    <s v="ATON BUSINESS STYLE"/>
    <s v="ATON BUSINESS STYLE"/>
    <m/>
    <m/>
    <s v="Thaynara Borges"/>
    <n v="-62.6"/>
    <s v="Saída"/>
    <x v="0"/>
  </r>
  <r>
    <x v="145"/>
    <s v="Banco do Brasil - Sarah Alves Lisboa"/>
    <s v="Parceria com Dr. Silvio"/>
    <x v="2"/>
    <x v="2"/>
    <s v="ANTONIO PEREIRA SOBRINHO"/>
    <s v="ANTONIO PEREIRA SOBRINHO"/>
    <m/>
    <m/>
    <s v="Thaynara Borges"/>
    <n v="354"/>
    <s v="Entrada"/>
    <x v="1"/>
  </r>
  <r>
    <x v="145"/>
    <s v="Itaú - Lisboa e Lisboa"/>
    <s v="Taxa de Condomínio Vaga Garagem A-88"/>
    <x v="10"/>
    <x v="1"/>
    <s v="ATON BUSINESS STYLE"/>
    <s v="ATON BUSINESS STYLE"/>
    <m/>
    <m/>
    <s v="Thaynara Borges"/>
    <n v="-62.6"/>
    <s v="Saída"/>
    <x v="0"/>
  </r>
  <r>
    <x v="145"/>
    <s v="Itaú - Lisboa e Lisboa"/>
    <s v="Taxa de Condomínio Sala B-73"/>
    <x v="10"/>
    <x v="1"/>
    <s v="ATON BUSINESS STYLE"/>
    <s v="ATON BUSINESS STYLE"/>
    <m/>
    <m/>
    <s v="Thaynara Borges"/>
    <n v="-1444.55"/>
    <s v="Saída"/>
    <x v="0"/>
  </r>
  <r>
    <x v="146"/>
    <s v="Banco do Brasil - Sarah Alves Lisboa"/>
    <s v="30% Sob implantação"/>
    <x v="2"/>
    <x v="2"/>
    <s v="SANDIA MOTTA MELO"/>
    <s v="SANDIA MOTTA MELO"/>
    <m/>
    <s v="APOSENTADORIA POR TEMPO DE CONTRIBUIÇÃO"/>
    <s v="Nathalia Louiz"/>
    <n v="3085.85"/>
    <s v="Entrada"/>
    <x v="1"/>
  </r>
  <r>
    <x v="146"/>
    <s v="Itaú - Lisboa e Lisboa"/>
    <s v="CONTRATO 9621661899"/>
    <x v="8"/>
    <x v="1"/>
    <s v="VIVO FIXO"/>
    <s v="VIVO FIXO"/>
    <m/>
    <m/>
    <s v="Thaynara Borges"/>
    <n v="-362.91"/>
    <s v="Saída"/>
    <x v="0"/>
  </r>
  <r>
    <x v="146"/>
    <s v="Itaú - Lisboa e Lisboa"/>
    <s v="CONTRATO 9309114969"/>
    <x v="8"/>
    <x v="1"/>
    <s v="VIVO FIXO"/>
    <s v="VIVO FIXO"/>
    <m/>
    <m/>
    <s v="Thaynara Borges"/>
    <n v="-130.53"/>
    <s v="Saída"/>
    <x v="0"/>
  </r>
  <r>
    <x v="147"/>
    <s v="Banco do Brasil - Sarah Alves Lisboa"/>
    <s v="3 BENEFICIOS"/>
    <x v="2"/>
    <x v="2"/>
    <s v="JOSELITA ALMEIDA DE SOUSA PEREIRA"/>
    <s v="JOSELITA ALMEIDA DE SOUSA PEREIRA"/>
    <m/>
    <s v="BENEFICIO ASSISTENCIAL AO DEFICIENTE"/>
    <s v="Nathalia Louiz"/>
    <n v="4554"/>
    <s v="Entrada"/>
    <x v="1"/>
  </r>
  <r>
    <x v="147"/>
    <s v="Itaú - Lisboa e Lisboa"/>
    <s v="Pagamento Cartão de Crédito Dra Sarah"/>
    <x v="6"/>
    <x v="1"/>
    <s v="BANCO ITAU"/>
    <s v="BANCO ITAU"/>
    <m/>
    <m/>
    <s v="Nathalia Louiz"/>
    <n v="-1482.74"/>
    <s v="Saída"/>
    <x v="0"/>
  </r>
  <r>
    <x v="147"/>
    <s v="Banco do Brasil - Sarah Alves Lisboa"/>
    <s v="40% sob Implantação"/>
    <x v="2"/>
    <x v="2"/>
    <s v="JOAO FERNANDES SOBRINHO"/>
    <s v="JOAO FERNANDES SOBRINHO"/>
    <m/>
    <s v="PENSÃO POR MORTE"/>
    <s v="Nathalia Louiz"/>
    <n v="4554"/>
    <s v="Entrada"/>
    <x v="1"/>
  </r>
  <r>
    <x v="147"/>
    <s v="Banco do Brasil - Sarah Alves Lisboa"/>
    <s v="30% sobre a implantação"/>
    <x v="2"/>
    <x v="2"/>
    <s v="ALINE NAOMI KAWAKAMI"/>
    <s v="ALINE NAOMI KAWAKAMI"/>
    <m/>
    <s v="BENEFÍCIO POR INCAPACIDADE"/>
    <s v="Thaynara Borges"/>
    <n v="2186.4"/>
    <s v="Entrada"/>
    <x v="1"/>
  </r>
  <r>
    <x v="148"/>
    <s v="Cartão de Crédito Dra Sarah"/>
    <s v="TERMO SUL ENGENHARIA"/>
    <x v="14"/>
    <x v="1"/>
    <s v="BANCO ITAU"/>
    <s v="BANCO ITAU"/>
    <m/>
    <m/>
    <s v="Nathalia Louiz"/>
    <n v="-300"/>
    <s v="Saída"/>
    <x v="0"/>
  </r>
  <r>
    <x v="148"/>
    <s v="Banco do Brasil - Sarah Alves Lisboa"/>
    <s v="Tarifa Bancária"/>
    <x v="4"/>
    <x v="3"/>
    <s v="BANCO DO BRASIL S/A"/>
    <s v="BANCO DO BRASIL S/A"/>
    <m/>
    <m/>
    <s v="Thaynara Borges"/>
    <n v="-15"/>
    <s v="Saída"/>
    <x v="0"/>
  </r>
  <r>
    <x v="148"/>
    <s v="Cartão de Crédito Dra Sarah"/>
    <s v="TERMO SUL ENGENHARIA"/>
    <x v="14"/>
    <x v="1"/>
    <s v="BANCO ITAU"/>
    <s v="BANCO ITAU"/>
    <m/>
    <m/>
    <s v="Nathalia Louiz"/>
    <n v="-394"/>
    <s v="Saída"/>
    <x v="0"/>
  </r>
  <r>
    <x v="148"/>
    <s v="Cartão de Crédito Dra Sarah"/>
    <s v="Cartão de crédito Dra Sarah"/>
    <x v="6"/>
    <x v="1"/>
    <s v="BANCO ITAU"/>
    <s v="BANCO ITAU"/>
    <m/>
    <m/>
    <s v="Nathalia Louiz"/>
    <n v="1482.74"/>
    <s v="Entrada"/>
    <x v="1"/>
  </r>
  <r>
    <x v="148"/>
    <s v="Cartão de Crédito Dra Sarah"/>
    <s v="TERMO SUL ENGENHARIA"/>
    <x v="14"/>
    <x v="1"/>
    <s v="BANCO ITAU"/>
    <s v="BANCO ITAU"/>
    <m/>
    <m/>
    <s v="Nathalia Louiz"/>
    <n v="-419.64"/>
    <s v="Saída"/>
    <x v="0"/>
  </r>
  <r>
    <x v="148"/>
    <s v="Cartão de Crédito Dra Sarah"/>
    <s v="ELVIRA ALVES DA SILVA"/>
    <x v="27"/>
    <x v="4"/>
    <s v="BANCO ITAU"/>
    <s v="BANCO ITAU"/>
    <m/>
    <m/>
    <s v="Nathalia Louiz"/>
    <n v="-144.99"/>
    <s v="Saída"/>
    <x v="0"/>
  </r>
  <r>
    <x v="148"/>
    <s v="Cartão de Crédito Dra Sarah"/>
    <s v="COMPRA MERCADO LIVRE"/>
    <x v="6"/>
    <x v="1"/>
    <s v="BANCO ITAU"/>
    <s v="BANCO ITAU"/>
    <m/>
    <m/>
    <s v="Nathalia Louiz"/>
    <n v="-224.11"/>
    <s v="Saída"/>
    <x v="0"/>
  </r>
  <r>
    <x v="148"/>
    <s v="Banco do Brasil - Sarah Alves Lisboa"/>
    <s v="30% + ANUIDADE"/>
    <x v="2"/>
    <x v="2"/>
    <s v="ISAEL MARCULINO DOS SANTOS"/>
    <s v="ISAEL MARCULINO DOS SANTOS"/>
    <m/>
    <s v="APOSENTADORIA POR TEMPO DE CONTRIBUIÇAO/ PORTADOR DE NECESSIDADES ESPECIAIS"/>
    <s v="Nathalia Louiz"/>
    <n v="3869.1"/>
    <s v="Entrada"/>
    <x v="1"/>
  </r>
  <r>
    <x v="148"/>
    <s v="Banco do Brasil - Sarah Alves Lisboa"/>
    <s v="Diferença ref.: 50% dos honorários (Parceria Dr Ajnaldo)"/>
    <x v="2"/>
    <x v="2"/>
    <s v="LEILA DO CARMO GONÇALVES OLIVEIRA"/>
    <s v="LEILA DO CARMO GONÇALVES OLIVEIRA"/>
    <m/>
    <s v="APOSENTADORIA POR IDADE RURAL"/>
    <s v="Thaynara Borges"/>
    <n v="305.8"/>
    <s v="Entrada"/>
    <x v="1"/>
  </r>
  <r>
    <x v="148"/>
    <s v="Itaú - Lisboa e Lisboa"/>
    <s v="IEL Estagiárias"/>
    <x v="13"/>
    <x v="6"/>
    <s v="IEL"/>
    <s v="IEL"/>
    <m/>
    <m/>
    <s v="Thaynara Borges"/>
    <n v="-106.73"/>
    <s v="Saída"/>
    <x v="0"/>
  </r>
  <r>
    <x v="149"/>
    <s v="Itaú - Lisboa e Lisboa"/>
    <s v="Honorários referente a estudo/planejamento previdenciário"/>
    <x v="2"/>
    <x v="2"/>
    <s v="JOSE VITORIO DE CARVALHO JUNIOR"/>
    <s v="JOSE VITORIO DE CARVALHO JUNIOR"/>
    <m/>
    <s v="PLANEJAMENTO PREVIDENCIÁRIO"/>
    <s v="Thaynara Borges"/>
    <n v="97.15"/>
    <s v="Entrada"/>
    <x v="1"/>
  </r>
  <r>
    <x v="149"/>
    <s v="Banco do Brasil - Sarah Alves Lisboa"/>
    <s v="100% Sucumbência"/>
    <x v="2"/>
    <x v="2"/>
    <s v="MARIA MACIEL DE CARVALHO"/>
    <s v="MARIA MACIEL DE CARVALHO"/>
    <m/>
    <s v="RESTABELECIMENTO DE PENSAO POR MORTE"/>
    <s v="Nathalia Louiz"/>
    <n v="6172.79"/>
    <s v="Entrada"/>
    <x v="1"/>
  </r>
  <r>
    <x v="149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50"/>
    <s v="Banco do Brasil - Sarah Alves Lisboa"/>
    <s v="30% Sob implantação"/>
    <x v="2"/>
    <x v="2"/>
    <s v="DALILA DE JESUS MORAES ROCHA"/>
    <s v="DALILA DE JESUS MORAES ROCHA"/>
    <m/>
    <s v="AUXILIO DOENÇA"/>
    <s v="Nathalia Louiz"/>
    <n v="60.6"/>
    <s v="Entrada"/>
    <x v="1"/>
  </r>
  <r>
    <x v="150"/>
    <s v="Banco do Brasil - Sarah Alves Lisboa"/>
    <s v="3 BENEFICIOS - PARCIAL (RESTANTE EM 3X de 759,00)"/>
    <x v="2"/>
    <x v="2"/>
    <s v="GENI MOURA NEVES"/>
    <s v="GENI MOURA NEVES"/>
    <m/>
    <s v="APOSENTADORIA POR IDADE URBANA"/>
    <s v="Nathalia Louiz"/>
    <n v="2277"/>
    <s v="Entrada"/>
    <x v="1"/>
  </r>
  <r>
    <x v="150"/>
    <s v="Banco do Brasil - Sarah Alves Lisboa"/>
    <s v="Implantação (R$ 4.544,00 sendo: R$ 4.000,00 dia 15/07/2025 e os R$ 554,00 no 5º dia útil de agosto)"/>
    <x v="2"/>
    <x v="2"/>
    <s v="NILVANDA CANDIDA DE MOURA OLIVEIRA"/>
    <s v="NILVANDA CANDIDA DE MOURA OLIVEIRA"/>
    <m/>
    <s v="APOSENTADORIA POR IDADE"/>
    <s v="Nathalia Louiz"/>
    <n v="4000"/>
    <s v="Entrada"/>
    <x v="1"/>
  </r>
  <r>
    <x v="150"/>
    <s v="Banco do Brasil - Sarah Alves Lisboa"/>
    <s v="Cartão de Crédito Dra Thaynara"/>
    <x v="6"/>
    <x v="1"/>
    <s v="C6"/>
    <s v="C6"/>
    <m/>
    <m/>
    <s v="Thaynara Borges"/>
    <n v="-870.55"/>
    <s v="Saída"/>
    <x v="0"/>
  </r>
  <r>
    <x v="150"/>
    <s v="Banco do Brasil - Sarah Alves Lisboa"/>
    <s v="70% Dr Vanessa - Comissão"/>
    <x v="28"/>
    <x v="7"/>
    <s v="MARIA MACIEL DE CARVALHO"/>
    <s v="MARIA MACIEL DE CARVALHO"/>
    <m/>
    <s v="RESTABELECIMENTO DE PENSAO POR MORTE"/>
    <s v="Nathalia Louiz"/>
    <n v="-4320.95"/>
    <s v="Saída"/>
    <x v="0"/>
  </r>
  <r>
    <x v="151"/>
    <s v="Banco do Brasil - Sarah Alves Lisboa"/>
    <s v="30% SOB IMPLANTAÇÃO"/>
    <x v="2"/>
    <x v="2"/>
    <s v="ANA CAROLINA SOARES DA SILVA"/>
    <s v="ANA CAROLINA SOARES DA SILVA"/>
    <m/>
    <s v="BENEFÍCIO POR INCAPACIDADE"/>
    <s v="Nathalia Louiz"/>
    <n v="993.3"/>
    <s v="Entrada"/>
    <x v="1"/>
  </r>
  <r>
    <x v="151"/>
    <s v="Itaú - Lisboa e Lisbo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2"/>
  </r>
  <r>
    <x v="152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52"/>
    <s v="Itaú - Lisboa e Lisboa"/>
    <s v="FGTS"/>
    <x v="18"/>
    <x v="6"/>
    <s v="FGTS"/>
    <s v="FGTS"/>
    <m/>
    <m/>
    <s v="Thaynara Borges"/>
    <n v="-485.23"/>
    <s v="Saída"/>
    <x v="0"/>
  </r>
  <r>
    <x v="152"/>
    <s v="Itaú - Lisboa e Lisboa"/>
    <s v="INSS"/>
    <x v="19"/>
    <x v="6"/>
    <s v="RECEITA FEDERAL"/>
    <s v="RECEITA FEDERAL"/>
    <m/>
    <m/>
    <s v="Thaynara Borges"/>
    <n v="-2923.83"/>
    <s v="Saída"/>
    <x v="0"/>
  </r>
  <r>
    <x v="153"/>
    <s v="Itaú - Lisboa e Lisboa"/>
    <s v="Água"/>
    <x v="17"/>
    <x v="1"/>
    <s v="SANEAGO GOIAS S/A"/>
    <s v="SANEAGO GOIAS S/A"/>
    <m/>
    <m/>
    <s v="Thaynara Borges"/>
    <n v="-108.71"/>
    <s v="Saída"/>
    <x v="0"/>
  </r>
  <r>
    <x v="153"/>
    <s v="Itaú - Lisboa e Lisboa"/>
    <s v="IPTU - SALA B74"/>
    <x v="29"/>
    <x v="1"/>
    <s v="PREFEITURA MUNICIPAL DE GOIÂNIA"/>
    <s v="PREFEITURA MUNICIPAL DE GOIÂNIA"/>
    <m/>
    <m/>
    <s v="Nathalia Louiz"/>
    <n v="-125.52"/>
    <s v="Saída"/>
    <x v="0"/>
  </r>
  <r>
    <x v="153"/>
    <s v="Itaú - Lisboa e Lisboa"/>
    <s v="Simples Nacional"/>
    <x v="20"/>
    <x v="7"/>
    <s v="Simples Nacional"/>
    <s v="Simples Nacional"/>
    <m/>
    <m/>
    <s v="Thaynara Borges"/>
    <n v="-788.63"/>
    <s v="Saída"/>
    <x v="0"/>
  </r>
  <r>
    <x v="153"/>
    <s v="Itaú - Lisboa e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2"/>
  </r>
  <r>
    <x v="154"/>
    <s v="Banco do Brasil - Sarah Alves Lisboa"/>
    <s v="30% SOB IMPLANTAÇÃO"/>
    <x v="2"/>
    <x v="2"/>
    <s v="NATANNE KELLY REIS DE SOUZA"/>
    <s v="NATANNE KELLY REIS DE SOUZA"/>
    <m/>
    <s v="BENEFÍCIO ASSISTENCIAL"/>
    <s v="Nathalia Louiz"/>
    <n v="455.4"/>
    <s v="Entrada"/>
    <x v="1"/>
  </r>
  <r>
    <x v="154"/>
    <s v="Banco do Brasil - Sarah Alves Lisboa"/>
    <s v="Anuidade R$ 8.967,07 (2.000 + 12x R$580,59)"/>
    <x v="2"/>
    <x v="2"/>
    <s v="ISAEL MARCULINO DOS SANTOS"/>
    <s v="ISAEL MARCULINO DOS SANTOS"/>
    <m/>
    <s v="APOSENTADORIA POR TEMPO DE CONTRIBUIÇAO/ PORTADOR DE NECESSIDADES ESPECIAIS"/>
    <s v="Nathalia Louiz"/>
    <n v="2000"/>
    <s v="Entrada"/>
    <x v="1"/>
  </r>
  <r>
    <x v="154"/>
    <s v="Banco do Brasil - 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154"/>
    <s v="Itaú - Lisboa e Lisboa"/>
    <s v="3 SALÁRIOS DE BENEFICIO"/>
    <x v="2"/>
    <x v="2"/>
    <s v="LUZIA FERREIRA AREBAS SHIMADA"/>
    <s v="LUZIA FERREIRA AREBAS SHIMADA"/>
    <m/>
    <s v="BENEFÍCIO ASSISTENCIAL AO IDOSO"/>
    <s v="Nathalia Louiz"/>
    <n v="4554"/>
    <s v="Entrada"/>
    <x v="2"/>
  </r>
  <r>
    <x v="155"/>
    <s v="Itaú - Lisboa e Lisboa"/>
    <s v="30% SOB ATRASADOS"/>
    <x v="2"/>
    <x v="2"/>
    <s v="MARIA EVA PEREIRA DE QUEIROZ"/>
    <s v="MARIA EVA PEREIRA DE QUEIROZ"/>
    <m/>
    <s v="BENEFÍCIO POR INCAPACIDADE"/>
    <s v="Nathalia Louiz"/>
    <n v="2682.46"/>
    <s v="Entrada"/>
    <x v="1"/>
  </r>
  <r>
    <x v="155"/>
    <s v="Banco do Brasil - Sarah Alves Lisboa"/>
    <s v="Comissão por Indicação ( DRA RAFFAELA)"/>
    <x v="28"/>
    <x v="7"/>
    <s v="NILVANDA CANDIDA DE MOURA OLIVEIRA"/>
    <s v="NILVANDA CANDIDA DE MOURA OLIVEIRA"/>
    <m/>
    <s v="APOSENTADORIA POR IDADE"/>
    <s v="Nathalia Louiz"/>
    <n v="-454.4"/>
    <s v="Saída"/>
    <x v="0"/>
  </r>
  <r>
    <x v="155"/>
    <s v="Banco do Brasil - Sarah Alves Lisboa"/>
    <s v="30% SOB IMPLANTAÇÃO (Menos 40% parceria Dr Kaique -  Valor total : 2155,2)"/>
    <x v="2"/>
    <x v="2"/>
    <s v="TELMA ROSA PEREIRA"/>
    <s v="TELMA ROSA PEREIRA"/>
    <m/>
    <s v="BENEFICIO POR INCAPACIDADE"/>
    <s v="Nathalia Louiz"/>
    <n v="1293.1199999999999"/>
    <s v="Entrada"/>
    <x v="1"/>
  </r>
  <r>
    <x v="155"/>
    <s v="Banco do Brasil - Sarah Alves Lisboa"/>
    <s v="30% sob implantação"/>
    <x v="2"/>
    <x v="2"/>
    <s v="Maria Alves Madureira"/>
    <s v="Maria Alves Madureira"/>
    <m/>
    <s v="AUXILIO DOENÇA/ APOSENTADORIA POR INVALIDEZ"/>
    <s v="Nathalia Louiz"/>
    <n v="910"/>
    <s v="Entrada"/>
    <x v="1"/>
  </r>
  <r>
    <x v="155"/>
    <s v="Banco do Brasil - Sarah Alves Lisboa"/>
    <s v="3 SALÁRIOS DE BENEFICIO (1000,00 + 5X 710,80)"/>
    <x v="2"/>
    <x v="2"/>
    <s v="ALDENY TELES DE OLIVEIRA NUNES"/>
    <s v="ALDENY TELES DE OLIVEIRA NUNES"/>
    <m/>
    <s v="APOSENTADORIA POR IDADE"/>
    <s v="Nathalia Louiz"/>
    <n v="1000"/>
    <s v="Entrada"/>
    <x v="1"/>
  </r>
  <r>
    <x v="155"/>
    <s v="Itaú - Lisboa e Lisboa"/>
    <s v="40% sob atrasados"/>
    <x v="2"/>
    <x v="2"/>
    <s v="LUCIANA TATIANA FERREIRA"/>
    <s v="LUCIANA TATIANA FERREIRA"/>
    <m/>
    <s v="BENEFÍCIO POR INCAPACIDADE"/>
    <s v="Nathalia Louiz"/>
    <n v="462.44"/>
    <s v="Entrada"/>
    <x v="1"/>
  </r>
  <r>
    <x v="155"/>
    <s v="Banco do Brasil - Sarah Alves Lisboa"/>
    <s v="30% SOB IMPLANTAÇÃO"/>
    <x v="2"/>
    <x v="2"/>
    <s v="LUCIMAR APARECIDA DOS REIS"/>
    <s v="LUCIMAR APARECIDA DOS REIS"/>
    <m/>
    <s v="Restabelecimento de Benefício por Incapacidade"/>
    <s v="Nathalia Louiz"/>
    <n v="910.8"/>
    <s v="Entrada"/>
    <x v="1"/>
  </r>
  <r>
    <x v="155"/>
    <s v="Itaú - Lisboa e Lisboa"/>
    <s v="30% sob ATRASADOS - RPV"/>
    <x v="2"/>
    <x v="2"/>
    <s v="VALDECI ALVES MOREIRA"/>
    <s v="VALDECI ALVES MOREIRA"/>
    <m/>
    <s v="AUXILIO DOENÇA"/>
    <s v="Nathalia Louiz"/>
    <n v="4183.8"/>
    <s v="Entrada"/>
    <x v="1"/>
  </r>
  <r>
    <x v="156"/>
    <s v="Banco do Brasil - Sarah Alves Lisboa"/>
    <s v="VIAGEM DRA SARAH"/>
    <x v="35"/>
    <x v="4"/>
    <s v="AUO POSTO MINAS"/>
    <s v="AUO POSTO MINAS"/>
    <m/>
    <m/>
    <s v="Nathalia Louiz"/>
    <n v="-220.38"/>
    <s v="Saída"/>
    <x v="0"/>
  </r>
  <r>
    <x v="156"/>
    <s v="Banco do Brasil - Sarah Alves Lisboa"/>
    <s v="VIAGEM "/>
    <x v="28"/>
    <x v="7"/>
    <s v="Laura Barbosa Marques"/>
    <s v="Laura Barbosa Marques"/>
    <m/>
    <m/>
    <s v="Nathalia Louiz"/>
    <n v="-100"/>
    <s v="Saída"/>
    <x v="0"/>
  </r>
  <r>
    <x v="156"/>
    <s v="Banco do Brasil - Sarah Alves Lisboa"/>
    <s v="LANCHES - VIAGEM DRA SARAH"/>
    <x v="11"/>
    <x v="1"/>
    <s v="EMPORIO WL BOLOS"/>
    <s v="EMPORIO WL BOLOS"/>
    <m/>
    <m/>
    <s v="Nathalia Louiz"/>
    <n v="-65.95"/>
    <s v="Saída"/>
    <x v="0"/>
  </r>
  <r>
    <x v="156"/>
    <s v="Banco do Brasil - Sarah Alves Lisboa"/>
    <s v="LANCHES - VIAGEM DRA SARAH"/>
    <x v="11"/>
    <x v="1"/>
    <s v="SUPERMERCADO MOREIRA"/>
    <s v="SUPERMERCADO MOREIRA"/>
    <m/>
    <m/>
    <s v="Nathalia Louiz"/>
    <n v="-41.43"/>
    <s v="Saída"/>
    <x v="0"/>
  </r>
  <r>
    <x v="156"/>
    <s v="Banco do Brasil - Sarah Alves Lisboa"/>
    <s v="PARCEIRIA DR SILVIO - Honorários de parceria caso VALENTINA SOUSA FONSECA"/>
    <x v="2"/>
    <x v="2"/>
    <s v="VALENTINA SOUSA FONSECA"/>
    <s v="VALENTINA SOUSA FONSECA"/>
    <m/>
    <s v="SOLICITAR PAGAMENTOS NÃO RECEBIDOS"/>
    <s v="Nathalia Louiz"/>
    <n v="168"/>
    <s v="Entrada"/>
    <x v="1"/>
  </r>
  <r>
    <x v="156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57"/>
    <s v="Itaú - Lisboa e Lisboa"/>
    <s v="TAXA DA MUDANÇA RAZÃO SOCIAL ESCRITÓRIO"/>
    <x v="30"/>
    <x v="9"/>
    <s v="PREFEITURA MUNICIPAL DE GOIÂNIA"/>
    <s v="PREFEITURA MUNICIPAL DE GOIÂNIA"/>
    <m/>
    <m/>
    <s v="Nathalia Louiz"/>
    <n v="-223.9"/>
    <s v="Saída"/>
    <x v="0"/>
  </r>
  <r>
    <x v="157"/>
    <s v="Banco do Brasil - Sarah Alves Lisboa"/>
    <s v="REENBOLSO - ANIVERSÁRIO DRA THAYNARA"/>
    <x v="37"/>
    <x v="10"/>
    <s v="SARAH ALVES LISBOA"/>
    <s v="SARAH ALVES LISBOA"/>
    <m/>
    <m/>
    <s v="Nathalia Louiz"/>
    <n v="-278.06"/>
    <s v="Saída"/>
    <x v="0"/>
  </r>
  <r>
    <x v="157"/>
    <s v="Itaú - Lisboa e Lisboa"/>
    <s v="OBRA - REFORMA DO ESCRITÓRIO"/>
    <x v="14"/>
    <x v="1"/>
    <s v="RAFHAEL LISBOA DA SILVA"/>
    <s v="RAFHAEL LISBOA DA SILVA"/>
    <m/>
    <m/>
    <s v="Nathalia Louiz"/>
    <n v="-2360"/>
    <s v="Saída"/>
    <x v="0"/>
  </r>
  <r>
    <x v="157"/>
    <s v="Banco do Brasil - Sarah Alves Lisboa"/>
    <s v="30% Sob Honorários"/>
    <x v="2"/>
    <x v="2"/>
    <s v="DOMINGOS DA TRINDADE SILVA"/>
    <s v="DOMINGOS DA TRINDADE SILVA"/>
    <m/>
    <s v="BENEFÍCIO POR INCAPACIDADE"/>
    <s v="Nathalia Louiz"/>
    <n v="819.3"/>
    <s v="Entrada"/>
    <x v="1"/>
  </r>
  <r>
    <x v="158"/>
    <s v="Banco do Brasil - Sarah Alves Lisboa"/>
    <s v="30% SOB IMPLANTAÇÃO"/>
    <x v="2"/>
    <x v="2"/>
    <s v="DIVINA PEREIRA DA SILVA"/>
    <s v="DIVINA PEREIRA DA SILVA"/>
    <m/>
    <s v="BENEFÍCIO POR INCAPACIDADE"/>
    <s v="Nathalia Louiz"/>
    <n v="495"/>
    <s v="Entrada"/>
    <x v="1"/>
  </r>
  <r>
    <x v="158"/>
    <s v="Itaú - Lisboa e Lisboa"/>
    <s v="Honorário R$ 2.277,00 - Parceria com Dr Fernando  (50%)"/>
    <x v="2"/>
    <x v="2"/>
    <s v="JAIME RODRIGUES DE SOUZA"/>
    <s v="JAIME RODRIGUES DE SOUZA"/>
    <m/>
    <s v="APOSENTADORIA POR TEMPO DE CONTRIBUIÇÃO COM IDADE MÍNIMA"/>
    <s v="Nathalia Louiz"/>
    <n v="756.15"/>
    <s v="Entrada"/>
    <x v="1"/>
  </r>
  <r>
    <x v="158"/>
    <s v="Itaú - Lisboa e Lisboa"/>
    <s v="Energia contrato 0067122721"/>
    <x v="21"/>
    <x v="1"/>
    <s v="EQUATORIAL GOIAS 0067122721"/>
    <s v="EQUATORIAL GOIAS 0067122721"/>
    <m/>
    <m/>
    <s v="Thaynara Borges"/>
    <n v="-323.64"/>
    <s v="Saída"/>
    <x v="0"/>
  </r>
  <r>
    <x v="158"/>
    <s v="Itaú - Lisboa e Lisboa"/>
    <s v="30% SOB IMPLANTAÇÃO"/>
    <x v="2"/>
    <x v="2"/>
    <s v="GLAUCINEIDE RODRIGUES DA SILVA"/>
    <s v="GLAUCINEIDE RODRIGUES DA SILVA"/>
    <m/>
    <s v="BENEFÍCIO POR INCAPACIDADE"/>
    <s v="Nathalia Louiz"/>
    <n v="623"/>
    <s v="Entrada"/>
    <x v="2"/>
  </r>
  <r>
    <x v="158"/>
    <s v="Itaú - Lisboa e Lisboa"/>
    <s v="Energia contrato 0067122663"/>
    <x v="21"/>
    <x v="1"/>
    <s v="EQUATORIAL GOIAS 0067122663"/>
    <s v="EQUATORIAL GOIAS 0067122663"/>
    <m/>
    <m/>
    <s v="Thaynara Borges"/>
    <n v="-339.2"/>
    <s v="Saída"/>
    <x v="0"/>
  </r>
  <r>
    <x v="159"/>
    <s v="Itaú - Lisboa e Lisboa"/>
    <s v="Retirada"/>
    <x v="22"/>
    <x v="8"/>
    <s v="Thaynara Borges Pereira"/>
    <s v="Thaynara Borges Pereira"/>
    <m/>
    <m/>
    <s v="Thaynara Borges"/>
    <n v="-5000"/>
    <s v="Saída"/>
    <x v="0"/>
  </r>
  <r>
    <x v="159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159"/>
    <s v="Banco do Brasil - Sarah Alves Lisboa"/>
    <s v="Salário"/>
    <x v="15"/>
    <x v="6"/>
    <s v="Raffaela Nunes"/>
    <s v="Raffaela Nunes"/>
    <m/>
    <m/>
    <s v="Thaynara Borges"/>
    <n v="-3200"/>
    <s v="Saída"/>
    <x v="0"/>
  </r>
  <r>
    <x v="159"/>
    <s v="Banco do Brasil - Sarah Alves Lisboa"/>
    <s v="COMISSÃO POR META BATIDA"/>
    <x v="28"/>
    <x v="7"/>
    <s v="MARIA EDUARDA DE SOUZA"/>
    <s v="MARIA EDUARDA DE SOUZA"/>
    <m/>
    <m/>
    <s v="Nathalia Louiz"/>
    <n v="-300"/>
    <s v="Saída"/>
    <x v="0"/>
  </r>
  <r>
    <x v="159"/>
    <s v="Banco do Brasil - Sarah Alves Lisboa"/>
    <s v="COMISSÃO POR META BATIDA"/>
    <x v="28"/>
    <x v="7"/>
    <s v="Sarah Alves Lisboa"/>
    <s v="Sarah Alves Lisboa"/>
    <m/>
    <m/>
    <s v="Nathalia Louiz"/>
    <n v="-300"/>
    <s v="Saída"/>
    <x v="0"/>
  </r>
  <r>
    <x v="159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159"/>
    <s v="Banco do Brasil - Sarah Alves Lisboa"/>
    <s v="COMPRAS PARA O ESCRITÓRIO"/>
    <x v="11"/>
    <x v="1"/>
    <s v="SUPERMERCADO MOREIRA"/>
    <s v="SUPERMERCADO MOREIRA"/>
    <m/>
    <m/>
    <s v="Nathalia Louiz"/>
    <n v="-111.11"/>
    <s v="Saída"/>
    <x v="0"/>
  </r>
  <r>
    <x v="159"/>
    <s v="Itaú - Lisboa e Lisboa"/>
    <s v="Salário"/>
    <x v="15"/>
    <x v="6"/>
    <s v="MARIA EDUARDA DE SOUZA"/>
    <s v="MARIA EDUARDA DE SOUZA"/>
    <m/>
    <m/>
    <s v="Nathalia Louiz"/>
    <n v="-2339.41"/>
    <s v="Saída"/>
    <x v="0"/>
  </r>
  <r>
    <x v="159"/>
    <s v="Itaú - Lisboa e Lisboa"/>
    <s v="Bolsa Estagio"/>
    <x v="13"/>
    <x v="6"/>
    <s v="Laura Barbosa Marques"/>
    <s v="Laura Barbosa Marques"/>
    <m/>
    <m/>
    <s v="Thaynara Borges"/>
    <n v="-1300"/>
    <s v="Saída"/>
    <x v="0"/>
  </r>
  <r>
    <x v="159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159"/>
    <s v="Banco do Brasil - Sarah Alves Lisboa"/>
    <s v="COMISSÃO POR META BATIDA"/>
    <x v="28"/>
    <x v="7"/>
    <s v="Raffaela Nunes"/>
    <s v="Raffaela Nunes"/>
    <m/>
    <m/>
    <s v="Nathalia Louiz"/>
    <n v="-300"/>
    <s v="Saída"/>
    <x v="0"/>
  </r>
  <r>
    <x v="159"/>
    <s v="Itaú - Lisboa e Lisboa"/>
    <s v="RENDIMENTOS"/>
    <x v="38"/>
    <x v="0"/>
    <s v="BANCO ITAÚ S/A"/>
    <s v="BANCO ITAÚ S/A"/>
    <m/>
    <m/>
    <s v="Nathalia Louiz"/>
    <n v="11.57"/>
    <s v="Entrada"/>
    <x v="1"/>
  </r>
  <r>
    <x v="159"/>
    <s v="Itaú - Lisboa e Lisboa"/>
    <s v="Salário"/>
    <x v="15"/>
    <x v="6"/>
    <s v="Nina Araujo"/>
    <s v="Nina Araujo"/>
    <m/>
    <m/>
    <s v="Thaynara Borges"/>
    <n v="-3381.96"/>
    <s v="Saída"/>
    <x v="0"/>
  </r>
  <r>
    <x v="159"/>
    <s v="Banco do Brasil - Sarah Alves Lisboa"/>
    <s v="REEMBOLSO DE FRIOS"/>
    <x v="37"/>
    <x v="10"/>
    <s v="EVANILZA ARAUJO MORAES"/>
    <s v="EVANILZA ARAUJO MORAES"/>
    <m/>
    <m/>
    <s v="Nathalia Louiz"/>
    <n v="22.36"/>
    <s v="Entrada"/>
    <x v="1"/>
  </r>
  <r>
    <x v="159"/>
    <s v="Banco do Brasil - Sarah Alves Lisboa"/>
    <s v="COMISSÃO POR META BATIDA"/>
    <x v="28"/>
    <x v="7"/>
    <s v="Thaynara Borges Pereira"/>
    <s v="Thaynara Borges Pereira"/>
    <m/>
    <m/>
    <s v="Nathalia Louiz"/>
    <n v="-300"/>
    <s v="Saída"/>
    <x v="0"/>
  </r>
  <r>
    <x v="159"/>
    <s v="Banco do Brasil - Sarah Alves Lisboa"/>
    <s v="COMISSÃO POR META BATIDA"/>
    <x v="28"/>
    <x v="7"/>
    <s v="EVANILZA ARAUJO MORAES"/>
    <s v="EVANILZA ARAUJO MORAES"/>
    <m/>
    <m/>
    <s v="Nathalia Louiz"/>
    <n v="-300"/>
    <s v="Saída"/>
    <x v="0"/>
  </r>
  <r>
    <x v="159"/>
    <s v="Banco do Brasil - Sarah Alves Lisboa"/>
    <s v="COMISSÃO DE META BATIDA"/>
    <x v="28"/>
    <x v="7"/>
    <s v="Laura Barbosa Marques"/>
    <s v="Laura Barbosa Marques"/>
    <m/>
    <m/>
    <s v="Nathalia Louiz"/>
    <n v="-300"/>
    <s v="Saída"/>
    <x v="0"/>
  </r>
  <r>
    <x v="160"/>
    <s v="Banco do Brasil - Sarah Alves Lisboa"/>
    <s v="ALMOÇO DE META BATIDA"/>
    <x v="11"/>
    <x v="1"/>
    <s v="CASERATTO"/>
    <s v="CASERATTO"/>
    <m/>
    <m/>
    <s v="Nathalia Louiz"/>
    <n v="-368.61"/>
    <s v="Saída"/>
    <x v="0"/>
  </r>
  <r>
    <x v="160"/>
    <s v="Cartão de Crédito Dra Sarah"/>
    <s v="TERMO SUL ENGENHARIA"/>
    <x v="6"/>
    <x v="1"/>
    <s v="BANCO ITAU"/>
    <s v="BANCO ITAU"/>
    <m/>
    <m/>
    <s v="Nathalia Louiz"/>
    <n v="-394"/>
    <s v="Saída"/>
    <x v="0"/>
  </r>
  <r>
    <x v="160"/>
    <s v="Cartão de Crédito Dr Ivanildo"/>
    <s v="Prévius"/>
    <x v="12"/>
    <x v="1"/>
    <s v="BANCO ITAU"/>
    <s v="BANCO ITAU"/>
    <m/>
    <m/>
    <s v="Thaynara Borges"/>
    <n v="-80.91"/>
    <s v="Saída"/>
    <x v="0"/>
  </r>
  <r>
    <x v="160"/>
    <s v="Cartão de Crédito Dr Ivanildo"/>
    <s v="MAXX FRIOS"/>
    <x v="11"/>
    <x v="1"/>
    <s v="BANCO ITAÚ S/A"/>
    <s v="BANCO ITAÚ S/A"/>
    <m/>
    <m/>
    <s v="Nathalia Louiz"/>
    <n v="-60.39"/>
    <s v="Saída"/>
    <x v="0"/>
  </r>
  <r>
    <x v="160"/>
    <s v="Banco do Brasil - Sarah Alves Lisboa"/>
    <s v="PAGAMENTO DE HONORÁRIOS - ACORDO APÓS EXECUÇÃO DO CONTRATO"/>
    <x v="2"/>
    <x v="2"/>
    <s v="MARCOS ANTONIO LOURENÇO DE TOLEDO"/>
    <s v="MARCOS ANTONIO LOURENÇO DE TOLEDO"/>
    <m/>
    <s v="AUXILIO DOENÇA"/>
    <s v="Nathalia Louiz"/>
    <n v="500"/>
    <s v="Entrada"/>
    <x v="1"/>
  </r>
  <r>
    <x v="160"/>
    <s v="Banco do Brasil - Sarah Alves Lisboa"/>
    <s v="ALMOÇO DE META BATIDA"/>
    <x v="11"/>
    <x v="1"/>
    <s v="CASERATTO"/>
    <s v="CASERATTO"/>
    <m/>
    <m/>
    <s v="Nathalia Louiz"/>
    <n v="-25"/>
    <s v="Saída"/>
    <x v="0"/>
  </r>
  <r>
    <x v="160"/>
    <s v="Cartão de Crédito Dr Ivanildo"/>
    <s v="Jusbrasil"/>
    <x v="12"/>
    <x v="1"/>
    <s v="BANCO ITAU"/>
    <s v="BANCO ITAU"/>
    <m/>
    <m/>
    <s v="Thaynara Borges"/>
    <n v="-58.9"/>
    <s v="Saída"/>
    <x v="0"/>
  </r>
  <r>
    <x v="160"/>
    <s v="Cartão de Crédito Dr Ivanildo"/>
    <s v="ASA CURSOS"/>
    <x v="32"/>
    <x v="6"/>
    <s v="BANCO ITAU"/>
    <s v="BANCO ITAU"/>
    <m/>
    <m/>
    <s v="Nathalia Louiz"/>
    <n v="-59.9"/>
    <s v="Saída"/>
    <x v="0"/>
  </r>
  <r>
    <x v="160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160"/>
    <s v="Banco do Brasil - Sarah Alves Lisboa"/>
    <s v="3 BENEFICIOS - PARCIAL (RESTANTE EM 3X de 759,00)"/>
    <x v="2"/>
    <x v="2"/>
    <s v="GENI MOURA NEVES"/>
    <s v="GENI MOURA NEVES"/>
    <m/>
    <s v="APOSENTADORIA POR IDADE URBANA"/>
    <s v="Nathalia Louiz"/>
    <n v="759"/>
    <s v="Entrada"/>
    <x v="1"/>
  </r>
  <r>
    <x v="160"/>
    <s v="Cartão de Crédito Dra Sarah"/>
    <s v="COMPRA MERCADO LIVRE"/>
    <x v="6"/>
    <x v="1"/>
    <s v="BANCO ITAU"/>
    <s v="BANCO ITAU"/>
    <m/>
    <m/>
    <s v="Nathalia Louiz"/>
    <n v="-224.99"/>
    <s v="Saída"/>
    <x v="0"/>
  </r>
  <r>
    <x v="160"/>
    <s v="Banco do Brasil - Sarah Alves Lisboa"/>
    <s v="RPV DE SUCUMBÊNCIA"/>
    <x v="2"/>
    <x v="2"/>
    <s v="ROSALIA SOARES LEITE"/>
    <s v="ROSALIA SOARES LEITE"/>
    <m/>
    <s v="CONCESSAO DE PROVENTOS INTEGRAIS DA APOSENTADORIA POR INVALIDEZ"/>
    <s v="Nathalia Louiz"/>
    <n v="4554.28"/>
    <s v="Entrada"/>
    <x v="1"/>
  </r>
  <r>
    <x v="160"/>
    <s v="Cartão de Crédito Dr Ivanildo"/>
    <s v="EXTRA CARTUCHOS"/>
    <x v="26"/>
    <x v="1"/>
    <s v="BANCO ITAÚ S/A"/>
    <s v="BANCO ITAÚ S/A"/>
    <m/>
    <m/>
    <s v="Nathalia Louiz"/>
    <n v="-120"/>
    <s v="Saída"/>
    <x v="0"/>
  </r>
  <r>
    <x v="160"/>
    <s v="Itaú - Lisboa e Lisboa"/>
    <s v="OBRA - CONSTRUTOR DA REFORMA (VALOR TOTAL R$8.500,00)"/>
    <x v="14"/>
    <x v="1"/>
    <s v="EDVAN CANDIDO DOS SANTOS"/>
    <s v="EDVAN CANDIDO DOS SANTOS"/>
    <m/>
    <m/>
    <s v="Nathalia Louiz"/>
    <n v="-4000"/>
    <s v="Saída"/>
    <x v="0"/>
  </r>
  <r>
    <x v="160"/>
    <s v="Banco do Brasil - Sarah Alves Lisboa"/>
    <s v="LIMPEZA POS OBRA"/>
    <x v="9"/>
    <x v="1"/>
    <s v="MIRIAM LINA PINTO DOS SANTOS"/>
    <s v="MIRIAM LINA PINTO DOS SANTOS"/>
    <m/>
    <m/>
    <s v="Nathalia Louiz"/>
    <n v="-200"/>
    <s v="Saída"/>
    <x v="0"/>
  </r>
  <r>
    <x v="160"/>
    <s v="Cartão de Crédito Dr Ivanildo"/>
    <s v="CANAÃ FRIOS"/>
    <x v="11"/>
    <x v="1"/>
    <s v="BANCO ITAU"/>
    <s v="BANCO ITAU"/>
    <m/>
    <m/>
    <s v="Nathalia Louiz"/>
    <n v="-29.46"/>
    <s v="Saída"/>
    <x v="0"/>
  </r>
  <r>
    <x v="160"/>
    <s v="Banco do Brasil - Sarah Alves Lisboa"/>
    <s v="LIMPEZA - 1 DIÁRIA"/>
    <x v="9"/>
    <x v="1"/>
    <s v="ELIZANGELA FERREIRA DA SILVA"/>
    <s v="ELIZANGELA FERREIRA DA SILVA"/>
    <m/>
    <m/>
    <s v="Nathalia Louiz"/>
    <n v="-170"/>
    <s v="Saída"/>
    <x v="0"/>
  </r>
  <r>
    <x v="160"/>
    <s v="Cartão de Crédito Dra Sarah"/>
    <s v="TERMO SUL ENGENHARIA"/>
    <x v="26"/>
    <x v="1"/>
    <s v="BANCO ITAU"/>
    <s v="BANCO ITAU"/>
    <m/>
    <m/>
    <s v="Nathalia Louiz"/>
    <n v="-419.68"/>
    <s v="Saída"/>
    <x v="0"/>
  </r>
  <r>
    <x v="160"/>
    <s v="Cartão de Crédito Dr Ivanildo"/>
    <s v="Google One"/>
    <x v="12"/>
    <x v="1"/>
    <s v="BANCO ITAU"/>
    <s v="BANCO ITAU"/>
    <m/>
    <m/>
    <s v="Thaynara Borges"/>
    <n v="-49.99"/>
    <s v="Saída"/>
    <x v="0"/>
  </r>
  <r>
    <x v="160"/>
    <s v="Cartão de Crédito Dr Ivanildo"/>
    <s v="CRISTAL FESTAS - FESTINHA DRA THAYNARA"/>
    <x v="11"/>
    <x v="1"/>
    <s v="BANCO ITAÚ S/A"/>
    <s v="BANCO ITAÚ S/A"/>
    <m/>
    <m/>
    <s v="Nathalia Louiz"/>
    <n v="-55.04"/>
    <s v="Saída"/>
    <x v="0"/>
  </r>
  <r>
    <x v="160"/>
    <s v="Cartão de Crédito Dra Sarah"/>
    <s v="TERMO SUL ENGENHARIA"/>
    <x v="26"/>
    <x v="1"/>
    <s v="BANCO ITAU"/>
    <s v="BANCO ITAU"/>
    <m/>
    <m/>
    <s v="Nathalia Louiz"/>
    <n v="-300"/>
    <s v="Saída"/>
    <x v="0"/>
  </r>
  <r>
    <x v="160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160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160"/>
    <s v="Cartão de Crédito Dr Ivanildo"/>
    <s v="Google One"/>
    <x v="12"/>
    <x v="1"/>
    <s v="BANCO ITAU"/>
    <s v="BANCO ITAU"/>
    <m/>
    <m/>
    <s v="Thaynara Borges"/>
    <n v="-14.99"/>
    <s v="Saída"/>
    <x v="0"/>
  </r>
  <r>
    <x v="160"/>
    <s v="Cartão de Crédito Dr Ivanildo"/>
    <s v="Jusbrasil"/>
    <x v="12"/>
    <x v="1"/>
    <s v="BANCO ITAU"/>
    <s v="BANCO ITAU"/>
    <m/>
    <m/>
    <s v="Thaynara Borges"/>
    <n v="-58.9"/>
    <s v="Saída"/>
    <x v="0"/>
  </r>
  <r>
    <x v="160"/>
    <s v="Cartão de Crédito Dra Sarah"/>
    <s v="Cartão de crédito Dra Sarah"/>
    <x v="6"/>
    <x v="1"/>
    <s v="BANCO ITAU"/>
    <s v="BANCO ITAU"/>
    <m/>
    <m/>
    <s v="Nathalia Louiz"/>
    <n v="1638.72"/>
    <s v="Entrada"/>
    <x v="1"/>
  </r>
  <r>
    <x v="160"/>
    <s v="Cartão de Crédito Dr Ivanildo"/>
    <s v="Pagamento Cartão de Crédito Dr Ivanildo"/>
    <x v="6"/>
    <x v="1"/>
    <s v="BANCO ITAU"/>
    <s v="BANCO ITAU"/>
    <m/>
    <m/>
    <s v="Thaynara Borges"/>
    <n v="1450.96"/>
    <s v="Entrada"/>
    <x v="1"/>
  </r>
  <r>
    <x v="160"/>
    <s v="Cartão de Crédito Dra Sarah"/>
    <s v="CONSULTORIA ESTRATEGIA"/>
    <x v="34"/>
    <x v="1"/>
    <s v="BANCO ITAU"/>
    <s v="BANCO ITAU"/>
    <m/>
    <m/>
    <s v="Nathalia Louiz"/>
    <n v="-300.05"/>
    <s v="Saída"/>
    <x v="0"/>
  </r>
  <r>
    <x v="160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160"/>
    <s v="Cartão de Crédito Dr Ivanildo"/>
    <s v="OBJECTI SOLUÇÕES"/>
    <x v="26"/>
    <x v="1"/>
    <s v="BANCO ITAU"/>
    <s v="BANCO ITAU"/>
    <m/>
    <m/>
    <s v="Nathalia Louiz"/>
    <n v="-316"/>
    <s v="Saída"/>
    <x v="0"/>
  </r>
  <r>
    <x v="160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160"/>
    <s v="Banco do Brasil - Sarah Alves Lisboa"/>
    <s v="40% SOB IMPLANTAÇÃO"/>
    <x v="2"/>
    <x v="2"/>
    <s v="ELIENE SOUZA SILVA"/>
    <s v="ELIENE SOUZA SILVA"/>
    <m/>
    <s v="BENEFÍCIO POR INCAPACIDADE"/>
    <s v="Nathalia Louiz"/>
    <n v="2476.6999999999998"/>
    <s v="Entrada"/>
    <x v="1"/>
  </r>
  <r>
    <x v="160"/>
    <s v="Cartão de Crédito Dr Ivanildo"/>
    <s v="ANDRE E ALZIRA FRIOS"/>
    <x v="11"/>
    <x v="1"/>
    <s v="BANCO ITAU"/>
    <s v="BANCO ITAU"/>
    <m/>
    <m/>
    <s v="Nathalia Louiz"/>
    <n v="-35.94"/>
    <s v="Saída"/>
    <x v="0"/>
  </r>
  <r>
    <x v="160"/>
    <s v="Cartão de Crédito Dr Ivanildo"/>
    <s v="ANUIDADE CARTÃO VANESSA"/>
    <x v="4"/>
    <x v="3"/>
    <s v="BANCO ITAÚ S/A"/>
    <s v="BANCO ITAÚ S/A"/>
    <m/>
    <m/>
    <s v="Nathalia Louiz"/>
    <n v="-18.75"/>
    <s v="Saída"/>
    <x v="0"/>
  </r>
  <r>
    <x v="160"/>
    <s v="Cartão de Crédito Dr Ivanildo"/>
    <s v="ANUIDADE CARTÃO IVANILDO"/>
    <x v="4"/>
    <x v="3"/>
    <s v="BANCO ITAÚ S/A"/>
    <s v="BANCO ITAÚ S/A"/>
    <m/>
    <m/>
    <s v="Nathalia Louiz"/>
    <n v="-18.75"/>
    <s v="Saída"/>
    <x v="0"/>
  </r>
  <r>
    <x v="161"/>
    <s v="Banco do Brasil - Sarah Alves Lisboa"/>
    <s v="Possivel Anuidade ** confirmar com Nina"/>
    <x v="2"/>
    <x v="2"/>
    <s v="SEBASTIAO RIBEIRO NETO"/>
    <s v="SEBASTIAO RIBEIRO NETO"/>
    <m/>
    <s v="APOSENTADORIA POR TEMPO DE CONTRIBUIÇAO DA PESSOA COM DEFICIENCIA"/>
    <s v="Nathalia Louiz"/>
    <n v="550"/>
    <s v="Entrada"/>
    <x v="1"/>
  </r>
  <r>
    <x v="161"/>
    <s v="Banco do Brasil - Sarah Alves Lisboa"/>
    <s v="Parcela - Valor da Implantação (R$4.554,00)"/>
    <x v="2"/>
    <x v="2"/>
    <s v="MARIA MADALENA ALVES DA SILVA PAULA"/>
    <s v="MARIA MADALENA ALVES DA SILVA PAULA"/>
    <m/>
    <s v="PENSÃO POR MORTE"/>
    <s v="Nathalia Louiz"/>
    <n v="1138.5"/>
    <s v="Entrada"/>
    <x v="1"/>
  </r>
  <r>
    <x v="161"/>
    <s v="Banco do Brasil - Sarah Alves Lisboa"/>
    <s v="LIMPEZA POS OBRA"/>
    <x v="9"/>
    <x v="1"/>
    <s v="DANIELA MIGUEL SILVA"/>
    <s v="DANIELA MIGUEL SILVA"/>
    <m/>
    <m/>
    <s v="Nathalia Louiz"/>
    <n v="-450"/>
    <s v="Saída"/>
    <x v="0"/>
  </r>
  <r>
    <x v="161"/>
    <s v="Banco do Brasil - Sarah Alves Lisboa"/>
    <s v="30% SOB IMPLANTAÇÃO"/>
    <x v="2"/>
    <x v="2"/>
    <s v="GLAUCINEIDE RODRIGUES DA SILVA"/>
    <s v="GLAUCINEIDE RODRIGUES DA SILVA"/>
    <m/>
    <s v="BENEFÍCIO POR INCAPACIDADE"/>
    <s v="Nathalia Louiz"/>
    <n v="623"/>
    <s v="Entrada"/>
    <x v="1"/>
  </r>
  <r>
    <x v="161"/>
    <s v="Banco do Brasil - Sarah Alves Lisboa"/>
    <s v="Parcelamento 3 BENEFICIOS"/>
    <x v="2"/>
    <x v="2"/>
    <s v="MATHEUS HENRIQUE DE CARVALHO MIRANDA"/>
    <s v="MATHEUS HENRIQUE DE CARVALHO MIRANDA"/>
    <m/>
    <s v="PENSÃO POR MORTE - RETROAÇÃO DA DIP"/>
    <s v="Nathalia Louiz"/>
    <n v="563.5"/>
    <s v="Entrada"/>
    <x v="1"/>
  </r>
  <r>
    <x v="161"/>
    <s v="Banco do Brasil - Sarah Alves Lisboa"/>
    <s v="Valor residual da implantação."/>
    <x v="2"/>
    <x v="2"/>
    <s v="NILVANDA CANDIDA DE MOURA OLIVEIRA"/>
    <s v="NILVANDA CANDIDA DE MOURA OLIVEIRA"/>
    <m/>
    <s v="APOSENTADORIA POR IDADE"/>
    <s v="Nathalia Louiz"/>
    <n v="554"/>
    <s v="Entrada"/>
    <x v="1"/>
  </r>
  <r>
    <x v="162"/>
    <s v="Itaú - Lisboa e Lisboa"/>
    <s v="Taxa de Condomínio Vaga Garagem A-83"/>
    <x v="10"/>
    <x v="1"/>
    <s v="ATON BUSINESS STYLE"/>
    <s v="ATON BUSINESS STYLE"/>
    <m/>
    <m/>
    <s v="Thaynara Borges"/>
    <n v="-64.900000000000006"/>
    <s v="Saída"/>
    <x v="0"/>
  </r>
  <r>
    <x v="162"/>
    <s v="Itaú - Lisboa e Lisboa"/>
    <s v="Taxa de Condomínio Vaga Garagem A-88"/>
    <x v="10"/>
    <x v="1"/>
    <s v="ATON BUSINESS STYLE"/>
    <s v="ATON BUSINESS STYLE"/>
    <m/>
    <m/>
    <s v="Thaynara Borges"/>
    <n v="-64.900000000000006"/>
    <s v="Saída"/>
    <x v="0"/>
  </r>
  <r>
    <x v="162"/>
    <s v="Itaú - Lisboa e Lisboa"/>
    <s v="Transferencia entre contas honorarios Eliene Souza Silva"/>
    <x v="40"/>
    <x v="11"/>
    <s v="Itaú - Lisboa e Lisboa"/>
    <s v="Itaú - Lisboa e Lisboa"/>
    <m/>
    <m/>
    <s v="Thaynara Borges"/>
    <n v="2476.6999999999998"/>
    <s v="Entrada"/>
    <x v="1"/>
  </r>
  <r>
    <x v="162"/>
    <s v="Itaú - Lisboa e Lisboa"/>
    <s v="Taxa de Condomínio Sala B-74"/>
    <x v="10"/>
    <x v="1"/>
    <s v="ATON BUSINESS STYLE"/>
    <s v="ATON BUSINESS STYLE"/>
    <m/>
    <m/>
    <s v="Thaynara Borges"/>
    <n v="-1450.77"/>
    <s v="Saída"/>
    <x v="0"/>
  </r>
  <r>
    <x v="162"/>
    <s v="Itaú - Lisboa e Lisboa"/>
    <s v="Taxa de Condomínio Vaga Garagem A-82"/>
    <x v="10"/>
    <x v="1"/>
    <s v="ATON BUSINESS STYLE"/>
    <s v="ATON BUSINESS STYLE"/>
    <m/>
    <m/>
    <s v="Thaynara Borges"/>
    <n v="-64.900000000000006"/>
    <s v="Saída"/>
    <x v="0"/>
  </r>
  <r>
    <x v="162"/>
    <s v="Itaú - Lisboa e Lisboa"/>
    <s v="Taxa de Condomínio Vaga Garagem A-81"/>
    <x v="10"/>
    <x v="1"/>
    <s v="ATON BUSINESS STYLE"/>
    <s v="ATON BUSINESS STYLE"/>
    <m/>
    <m/>
    <s v="Thaynara Borges"/>
    <n v="-64.900000000000006"/>
    <s v="Saída"/>
    <x v="0"/>
  </r>
  <r>
    <x v="162"/>
    <s v="Itaú - Lisboa e Lisboa"/>
    <s v="Taxa de Condomínio Vaga Garagem A-78"/>
    <x v="10"/>
    <x v="1"/>
    <s v="ATON BUSINESS STYLE"/>
    <s v="ATON BUSINESS STYLE"/>
    <m/>
    <m/>
    <s v="Thaynara Borges"/>
    <n v="-64.900000000000006"/>
    <s v="Saída"/>
    <x v="0"/>
  </r>
  <r>
    <x v="162"/>
    <s v="Itaú - Lisboa e Lisboa"/>
    <s v="Taxa de Condomínio Sala B-73"/>
    <x v="10"/>
    <x v="1"/>
    <s v="ATON BUSINESS STYLE"/>
    <s v="ATON BUSINESS STYLE"/>
    <m/>
    <m/>
    <s v="Thaynara Borges"/>
    <n v="-1450.19"/>
    <s v="Saída"/>
    <x v="0"/>
  </r>
  <r>
    <x v="162"/>
    <s v="Banco do Brasil - Sarah Alves Lisboa"/>
    <s v="REPASSE INTEGRAL DRA VANESSA - RPV DE SUCUMBÊNCIA DE 2006"/>
    <x v="28"/>
    <x v="7"/>
    <s v="ROSALIA SOARES LEITE"/>
    <s v="ROSALIA SOARES LEITE"/>
    <m/>
    <s v="CONCESSAO DE PROVENTOS INTEGRAIS DA APOSENTADORIA POR INVALIDEZ"/>
    <s v="Nathalia Louiz"/>
    <n v="-4554.28"/>
    <s v="Saída"/>
    <x v="0"/>
  </r>
  <r>
    <x v="162"/>
    <s v="Itaú - Lisboa e Lisboa"/>
    <s v="Cartão de Crédito Dr Ivanilldo"/>
    <x v="6"/>
    <x v="1"/>
    <s v="BANCO ITAU"/>
    <s v="BANCO ITAU"/>
    <m/>
    <m/>
    <s v="Thaynara Borges"/>
    <n v="-1450.96"/>
    <s v="Saída"/>
    <x v="0"/>
  </r>
  <r>
    <x v="162"/>
    <s v="Banco do Brasil - Sarah Alves Lisboa"/>
    <s v="Transferencia entre contas honorarios Eliene Souza Silva"/>
    <x v="40"/>
    <x v="11"/>
    <s v="Banco do Brasil - Sarah Alves Lisboa"/>
    <s v="Banco do Brasil - Sarah Alves Lisboa"/>
    <m/>
    <m/>
    <s v="Thaynara Borges"/>
    <n v="-2476.6999999999998"/>
    <s v="Saída"/>
    <x v="0"/>
  </r>
  <r>
    <x v="163"/>
    <s v="Itaú - Lisboa e Lisboa"/>
    <s v="Celular"/>
    <x v="8"/>
    <x v="1"/>
    <s v="VIVO"/>
    <s v="VIVO"/>
    <m/>
    <m/>
    <s v="Thaynara Borges"/>
    <n v="-137.37"/>
    <s v="Saída"/>
    <x v="0"/>
  </r>
  <r>
    <x v="163"/>
    <s v="Banco do Brasil - Sarah Alves Lisboa"/>
    <s v="3 BENEFICIOS"/>
    <x v="2"/>
    <x v="2"/>
    <s v="SERGIO HENRIQUE  MOREIRA LOPES"/>
    <s v="SERGIO HENRIQUE  MOREIRA LOPES"/>
    <m/>
    <s v="BENEFÍCIO POR INCAPACIDADE"/>
    <s v="Nathalia Louiz"/>
    <n v="1007"/>
    <s v="Entrada"/>
    <x v="1"/>
  </r>
  <r>
    <x v="164"/>
    <s v="Banco do Brasil - Sarah Alves Lisboa"/>
    <s v="Certidão de Militancia"/>
    <x v="7"/>
    <x v="5"/>
    <s v="DEA LUCIA DA SILVA DAVID"/>
    <s v="DEA LUCIA DA SILVA DAVID"/>
    <m/>
    <s v="APOSENTADORIA POR IDADE"/>
    <s v="Thaynara Borges"/>
    <n v="-21.73"/>
    <s v="Saída"/>
    <x v="0"/>
  </r>
  <r>
    <x v="164"/>
    <s v="Banco do Brasil - Sarah Alves Lisboa"/>
    <s v="Certidao de militancia LEANNE"/>
    <x v="7"/>
    <x v="5"/>
    <s v="MARIA APARECIDA SILVA ALVES/ IVANILTON ROCHA ALVES"/>
    <s v="MARIA APARECIDA SILVA ALVES/ IVANILTON ROCHA ALVES"/>
    <m/>
    <s v="APOSENTADORIA POR TEMPO DE CONTRIBUIÇAO / PORTADOR DE NESCESSIDADES ESPECIAIS"/>
    <s v="Thaynara Borges"/>
    <n v="-21.73"/>
    <s v="Saída"/>
    <x v="0"/>
  </r>
  <r>
    <x v="164"/>
    <s v="Itaú - Lisboa e Lisboa"/>
    <s v="Suprimentos pra escritório"/>
    <x v="26"/>
    <x v="1"/>
    <s v="R3 SUPRIMENTOS CORPORATIVOS LTDA"/>
    <s v="R3 SUPRIMENTOS CORPORATIVOS LTDA"/>
    <m/>
    <m/>
    <s v="Nathalia Louiz"/>
    <n v="-369.65"/>
    <s v="Saída"/>
    <x v="0"/>
  </r>
  <r>
    <x v="164"/>
    <s v="Banco do Brasil - Sarah Alves Lisboa"/>
    <s v="Certidao de militancia"/>
    <x v="7"/>
    <x v="5"/>
    <s v="CECILIA GONÇALVES DA SILVA"/>
    <s v="CECILIA GONÇALVES DA SILVA"/>
    <m/>
    <s v="AUXILIO DOENÇA"/>
    <s v="Thaynara Borges"/>
    <n v="-21.73"/>
    <s v="Saída"/>
    <x v="0"/>
  </r>
  <r>
    <x v="164"/>
    <s v="Banco do Brasil - Sarah Alves Lisboa"/>
    <s v="Certidao de militancia"/>
    <x v="7"/>
    <x v="5"/>
    <s v="HELIO CURADO FROES"/>
    <s v="HELIO CURADO FROES"/>
    <m/>
    <s v="APOSENTADORIA POR IDADE"/>
    <s v="Thaynara Borges"/>
    <n v="-21.73"/>
    <s v="Saída"/>
    <x v="0"/>
  </r>
  <r>
    <x v="164"/>
    <s v="Banco do Brasil - Sarah Alves Lisboa"/>
    <s v="Certidao de militancia"/>
    <x v="7"/>
    <x v="5"/>
    <s v="ROGERIO JOSE DA SILVEIRA"/>
    <s v="ROGERIO JOSE DA SILVEIRA"/>
    <m/>
    <s v="APOSENTADORIA ESPECIAL/ ELETRICISTA"/>
    <s v="Thaynara Borges"/>
    <n v="-21.73"/>
    <s v="Saída"/>
    <x v="0"/>
  </r>
  <r>
    <x v="164"/>
    <s v="Banco do Brasil - Sarah Alves Lisboa"/>
    <s v="Certidao de Militancia"/>
    <x v="7"/>
    <x v="5"/>
    <s v="JOSE RENATO MARTINS"/>
    <s v="JOSE RENATO MARTINS"/>
    <m/>
    <s v="APOSENTADORIA POR TEMPO DE CONTRIBUIÇÃO"/>
    <s v="Thaynara Borges"/>
    <n v="-21.73"/>
    <s v="Saída"/>
    <x v="0"/>
  </r>
  <r>
    <x v="165"/>
    <s v="Banco do Brasil - Sarah Alves Lisboa"/>
    <s v="Exame admissional "/>
    <x v="30"/>
    <x v="9"/>
    <s v="SAMARA ALMEIDA BOGEA"/>
    <s v="SAMARA ALMEIDA BOGEA"/>
    <m/>
    <m/>
    <s v="Nathalia Louiz"/>
    <n v="-48"/>
    <s v="Saída"/>
    <x v="0"/>
  </r>
  <r>
    <x v="165"/>
    <s v="Banco do Brasil - Sarah Alves Lisboa"/>
    <s v="Transferencia entre contas parcela 1/3 - 3 beneficios Geni Moura Neves"/>
    <x v="40"/>
    <x v="11"/>
    <s v="Banco do Brasil - Sarah Alves Lisboa"/>
    <s v="Banco do Brasil - Sarah Alves Lisboa"/>
    <m/>
    <m/>
    <s v="Thaynara Borges"/>
    <n v="-759"/>
    <s v="Saída"/>
    <x v="0"/>
  </r>
  <r>
    <x v="165"/>
    <s v="Itaú - Lisboa e Lisboa"/>
    <s v="CONTRATO 9621661899"/>
    <x v="8"/>
    <x v="1"/>
    <s v="VIVO FIXO"/>
    <s v="VIVO FIXO"/>
    <m/>
    <m/>
    <s v="Thaynara Borges"/>
    <n v="-260.58"/>
    <s v="Saída"/>
    <x v="0"/>
  </r>
  <r>
    <x v="165"/>
    <s v="Itaú - Lisboa e Lisboa"/>
    <s v="Serviços TI"/>
    <x v="3"/>
    <x v="1"/>
    <s v="Rhuan Carlos Batista"/>
    <s v="Rhuan Carlos Batista"/>
    <m/>
    <m/>
    <s v="Thaynara Borges"/>
    <n v="-130"/>
    <s v="Saída"/>
    <x v="0"/>
  </r>
  <r>
    <x v="165"/>
    <s v="Itaú - Lisboa e Lisboa"/>
    <s v="Anuidade R$ 8.967,07 (2.000 + 12x R$580,59)"/>
    <x v="2"/>
    <x v="2"/>
    <s v="ISAEL MARCULINO DOS SANTOS"/>
    <s v="ISAEL MARCULINO DOS SANTOS"/>
    <m/>
    <s v="APOSENTADORIA POR TEMPO DE CONTRIBUIÇAO/ PORTADOR DE NECESSIDADES ESPECIAIS"/>
    <s v="Nathalia Louiz"/>
    <n v="577.74"/>
    <s v="Entrada"/>
    <x v="1"/>
  </r>
  <r>
    <x v="165"/>
    <s v="Itaú - Lisboa e Lisboa"/>
    <s v="Transferencia entre contas parcela 1/3 - 3 beneficios Geni Moura Neves"/>
    <x v="40"/>
    <x v="11"/>
    <s v="Itaú - Lisboa e Lisboa"/>
    <s v="Itaú - Lisboa e Lisboa"/>
    <m/>
    <m/>
    <s v="Thaynara Borges"/>
    <n v="759"/>
    <s v="Entrada"/>
    <x v="1"/>
  </r>
  <r>
    <x v="165"/>
    <s v="Banco do Brasil - Sarah Alves Lisboa"/>
    <s v="(Entrada de 3100 + 1x 1454,00)"/>
    <x v="2"/>
    <x v="2"/>
    <s v="LUZIA FERREIRA AREBAS SHIMADA"/>
    <s v="LUZIA FERREIRA AREBAS SHIMADA"/>
    <m/>
    <s v="BENEFÍCIO ASSISTENCIAL AO IDOSO"/>
    <s v="Nathalia Louiz"/>
    <n v="1454"/>
    <s v="Entrada"/>
    <x v="1"/>
  </r>
  <r>
    <x v="165"/>
    <s v="Banco do Brasil - Sarah Alves Lisboa"/>
    <s v="Horas Extras"/>
    <x v="15"/>
    <x v="6"/>
    <s v="Laura Barbosa Marques"/>
    <s v="Laura Barbosa Marques"/>
    <m/>
    <m/>
    <s v="Nathalia Louiz"/>
    <n v="-700"/>
    <s v="Saída"/>
    <x v="0"/>
  </r>
  <r>
    <x v="165"/>
    <s v="Banco do Brasil - Sarah Alves Lisbo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165"/>
    <s v="Itaú - Lisboa e Lisboa"/>
    <s v="CONTRATO 9309114969"/>
    <x v="8"/>
    <x v="1"/>
    <s v="VIVO FIXO"/>
    <s v="VIVO FIXO"/>
    <m/>
    <m/>
    <s v="Thaynara Borges"/>
    <n v="-130.53"/>
    <s v="Saída"/>
    <x v="0"/>
  </r>
  <r>
    <x v="166"/>
    <s v="Banco do Brasil - Sarah Alves Lisboa"/>
    <s v="ANUIDADE (3 BENEFICIOS)"/>
    <x v="2"/>
    <x v="2"/>
    <s v="DARLENE CAIXETA DOS SANTOS"/>
    <s v="DARLENE CAIXETA DOS SANTOS"/>
    <m/>
    <s v="BENEFÍCIO POR INCAPACIDADE"/>
    <s v="Nathalia Louiz"/>
    <n v="455.4"/>
    <s v="Entrada"/>
    <x v="1"/>
  </r>
  <r>
    <x v="166"/>
    <s v="Itaú - Lisboa e Lisboa"/>
    <s v="PAGAMENTO CARTÃO DE CRÉDITO DRA SARAH"/>
    <x v="6"/>
    <x v="1"/>
    <s v="BANCO ITAU"/>
    <s v="BANCO ITAU"/>
    <m/>
    <m/>
    <s v="Nathalia Louiz"/>
    <n v="-1638.72"/>
    <s v="Saída"/>
    <x v="0"/>
  </r>
  <r>
    <x v="166"/>
    <s v="Banco do Brasil - Sarah Alves Lisboa"/>
    <s v="ANUIDADE (3 BENEFICIOS)"/>
    <x v="2"/>
    <x v="2"/>
    <s v="DARLENE CAIXETA DOS SANTOS"/>
    <s v="DARLENE CAIXETA DOS SANTOS"/>
    <m/>
    <s v="BENEFÍCIO POR INCAPACIDADE"/>
    <s v="Nathalia Louiz"/>
    <n v="455.4"/>
    <s v="Entrada"/>
    <x v="1"/>
  </r>
  <r>
    <x v="166"/>
    <s v="Banco do Brasil - Sarah Alves Lisboa"/>
    <s v="Tarifa Bancária"/>
    <x v="4"/>
    <x v="3"/>
    <s v="BANCO DO BRASIL S/A"/>
    <s v="BANCO DO BRASIL S/A"/>
    <m/>
    <m/>
    <s v="Thaynara Borges"/>
    <n v="-15"/>
    <s v="Saída"/>
    <x v="0"/>
  </r>
  <r>
    <x v="166"/>
    <s v="Banco do Brasil - Sarah Alves Lisboa"/>
    <s v="Defesa administrativa e honorários - R$ 2.000,00 (Entrada de R$1.000,00 + 1x R$1.000,00)"/>
    <x v="2"/>
    <x v="2"/>
    <s v="LUIZ CARLOS FERREIRA DE MELO"/>
    <s v="LUIZ CARLOS FERREIRA DE MELO"/>
    <m/>
    <s v="DEFESA ADMINISTRATIVA"/>
    <s v="Nathalia Louiz"/>
    <n v="1000"/>
    <s v="Entrada"/>
    <x v="1"/>
  </r>
  <r>
    <x v="166"/>
    <s v="Itaú - Lisboa e Lisboa"/>
    <s v="IEL Estagiárias"/>
    <x v="13"/>
    <x v="6"/>
    <s v="IEL"/>
    <s v="IEL"/>
    <m/>
    <m/>
    <s v="Thaynara Borges"/>
    <n v="-106.73"/>
    <s v="Saída"/>
    <x v="0"/>
  </r>
  <r>
    <x v="167"/>
    <s v="Banco do Brasil - Sarah Alves Lisboa"/>
    <s v="Taxa de uso do solo -  CNPJ Dra Raffaella"/>
    <x v="30"/>
    <x v="9"/>
    <s v="PREFEITURA MUNICIPAL DE GOIÂNIA"/>
    <s v="PREFEITURA MUNICIPAL DE GOIÂNIA"/>
    <m/>
    <m/>
    <s v="Nathalia Louiz"/>
    <n v="-129.69999999999999"/>
    <s v="Saída"/>
    <x v="0"/>
  </r>
  <r>
    <x v="167"/>
    <s v="Banco do Brasil - Sarah Alves Lisboa"/>
    <s v="30%  SOB RECEBIDOS"/>
    <x v="2"/>
    <x v="2"/>
    <s v="LUCA RACHED NADER"/>
    <s v="LUCA RACHED NADER"/>
    <m/>
    <s v="AÇÃO DE INDENIZAÇÃO POR DANOS MATERIAIS E MORAIS"/>
    <s v="Nathalia Louiz"/>
    <n v="795.55"/>
    <s v="Entrada"/>
    <x v="1"/>
  </r>
  <r>
    <x v="167"/>
    <s v="Banco do Brasil - Sarah Alves Lisboa"/>
    <s v="3 SALÁRIOS DE BENEFICIO (Entrada de 1000,00 + 6x de 492,33 no boleto)"/>
    <x v="2"/>
    <x v="2"/>
    <s v="Maura Cardoso Borges"/>
    <s v="Maura Cardoso Borges"/>
    <m/>
    <s v="APOSENTADORIA POR IDADE"/>
    <s v="Nathalia Louiz"/>
    <n v="1000"/>
    <s v="Entrada"/>
    <x v="1"/>
  </r>
  <r>
    <x v="167"/>
    <s v="Banco do Brasil - Sarah Alves Lisboa"/>
    <s v="Conserto de cabos"/>
    <x v="3"/>
    <x v="1"/>
    <s v="ADAIR PEREIRA DA SILVA"/>
    <s v="ADAIR PEREIRA DA SILVA"/>
    <m/>
    <m/>
    <s v="Nathalia Louiz"/>
    <n v="-150"/>
    <s v="Saída"/>
    <x v="0"/>
  </r>
  <r>
    <x v="167"/>
    <s v="Banco do Brasil - Sarah Alves Lisboa"/>
    <s v="PARCEIRIA DR SILVIO - Honorários de parceria caso VALENTINA SOUSA FONSECA"/>
    <x v="2"/>
    <x v="2"/>
    <s v="VALENTINA SOUSA FONSECA"/>
    <s v="VALENTINA SOUSA FONSECA"/>
    <m/>
    <s v="SOLICITAR PAGAMENTOS NÃO RECEBIDOS"/>
    <s v="Nathalia Louiz"/>
    <n v="168"/>
    <s v="Entrada"/>
    <x v="1"/>
  </r>
  <r>
    <x v="167"/>
    <s v="Banco do Brasil - Sarah Alves Lisboa"/>
    <s v="Domínio do escritório (3 anos)"/>
    <x v="12"/>
    <x v="1"/>
    <s v="HOSTGATOR"/>
    <s v="HOSTGATOR"/>
    <m/>
    <m/>
    <s v="Nathalia Louiz"/>
    <n v="-499.53"/>
    <s v="Saída"/>
    <x v="0"/>
  </r>
  <r>
    <x v="167"/>
    <s v="Banco do Brasil - Sarah Alves Lisboa"/>
    <s v="30% SOB IMPLANTAÇÃO"/>
    <x v="2"/>
    <x v="2"/>
    <s v="SUELLEN DE JESUS LIMA"/>
    <s v="SUELLEN DE JESUS LIMA"/>
    <m/>
    <s v="AUXILIO ACIDENTE"/>
    <s v="Nathalia Louiz"/>
    <n v="1268.0999999999999"/>
    <s v="Entrada"/>
    <x v="1"/>
  </r>
  <r>
    <x v="168"/>
    <s v="Itaú - Lisboa e Lisboa"/>
    <s v="Seguro "/>
    <x v="41"/>
    <x v="1"/>
    <s v="PORTO SEGURO COMPANHIA DE SEGUROS GERAIS"/>
    <s v="PORTO SEGURO COMPANHIA DE SEGUROS GERAIS"/>
    <m/>
    <m/>
    <s v="Nathalia Louiz"/>
    <n v="-1105.68"/>
    <s v="Saída"/>
    <x v="0"/>
  </r>
  <r>
    <x v="168"/>
    <s v="Banco do Brasil - Sarah Alves Lisboa"/>
    <s v="Cesta de despedida - Laura"/>
    <x v="16"/>
    <x v="4"/>
    <s v="Fernanda Aparecida de Farias"/>
    <s v="Fernanda Aparecida de Farias"/>
    <m/>
    <m/>
    <s v="Nathalia Louiz"/>
    <n v="-210"/>
    <s v="Saída"/>
    <x v="0"/>
  </r>
  <r>
    <x v="168"/>
    <s v="Banco do Brasil - Sarah Alves Lisboa"/>
    <s v="Pagamento de comissão para BARBARA ARANTES"/>
    <x v="28"/>
    <x v="7"/>
    <s v="HADASSA  ANJOS DE ALMEIDA LEMES"/>
    <s v="HADASSA  ANJOS DE ALMEIDA LEMES"/>
    <m/>
    <s v="AUXILIO MORADIA EM RESIDÊNCIA MÉDICA"/>
    <s v="Nathalia Louiz"/>
    <n v="-300"/>
    <s v="Saída"/>
    <x v="0"/>
  </r>
  <r>
    <x v="168"/>
    <s v="Itaú - Lisboa e Lisboa"/>
    <s v="Transferência honorários - Sandia Motta - Emissão de NFE"/>
    <x v="40"/>
    <x v="11"/>
    <s v="Itaú - Lisboa e Lisboa"/>
    <s v="Itaú - Lisboa e Lisboa"/>
    <m/>
    <m/>
    <s v="Nathalia Louiz"/>
    <n v="3085.85"/>
    <s v="Entrada"/>
    <x v="1"/>
  </r>
  <r>
    <x v="168"/>
    <s v="Banco do Brasil - Sarah Alves Lisboa"/>
    <s v="Transferência honorários - Sandia Motta - Emissão de NFE"/>
    <x v="40"/>
    <x v="11"/>
    <s v="Banco do Brasil - Sarah Alves Lisboa"/>
    <s v="Banco do Brasil - Sarah Alves Lisboa"/>
    <m/>
    <m/>
    <s v="Nathalia Louiz"/>
    <n v="-3085.85"/>
    <s v="Saída"/>
    <x v="0"/>
  </r>
  <r>
    <x v="168"/>
    <s v="Itaú - Lisboa e Lisboa"/>
    <s v="PLANEJAMENTO"/>
    <x v="2"/>
    <x v="2"/>
    <s v="JOSE VITORIO DE CARVALHO JUNIOR"/>
    <s v="JOSE VITORIO DE CARVALHO JUNIOR"/>
    <m/>
    <s v="PLANEJAMENTO PREVIDENCIÁRIO"/>
    <s v="Thaynara Borges"/>
    <n v="97.15"/>
    <s v="Entrada"/>
    <x v="1"/>
  </r>
  <r>
    <x v="169"/>
    <s v="Banco do Brasil - Sarah Alves Lisboa"/>
    <s v="Lanche despedida - Laura"/>
    <x v="11"/>
    <x v="1"/>
    <s v="SUPERMERCADO MOREIRA"/>
    <s v="SUPERMERCADO MOREIRA"/>
    <m/>
    <m/>
    <s v="Nathalia Louiz"/>
    <n v="-92"/>
    <s v="Saída"/>
    <x v="0"/>
  </r>
  <r>
    <x v="170"/>
    <s v="Banco do Brasil - Sarah Alves Lisboa"/>
    <s v="Cartão de Crédito Dra Thaynara"/>
    <x v="6"/>
    <x v="1"/>
    <s v="C6"/>
    <s v="C6"/>
    <m/>
    <m/>
    <s v="Thaynara Borges"/>
    <n v="-1022.8"/>
    <s v="Saída"/>
    <x v="0"/>
  </r>
  <r>
    <x v="170"/>
    <s v="Cartão de Crédito Dra Thaynara"/>
    <s v="Cálculo Jurídico"/>
    <x v="12"/>
    <x v="1"/>
    <s v="C6"/>
    <s v="C6"/>
    <m/>
    <m/>
    <s v="Thaynara Borges"/>
    <n v="-120.29"/>
    <s v="Saída"/>
    <x v="0"/>
  </r>
  <r>
    <x v="170"/>
    <s v="Cartão de Crédito Dra Thaynara"/>
    <s v="Pagamento Cartão de Crédito Dra Thaynara"/>
    <x v="6"/>
    <x v="1"/>
    <s v="C6"/>
    <s v="C6"/>
    <m/>
    <m/>
    <s v="Nathalia Louiz"/>
    <n v="1022.8"/>
    <s v="Entrada"/>
    <x v="1"/>
  </r>
  <r>
    <x v="170"/>
    <s v="Banco do Brasil - Sarah Alves Lisboa"/>
    <s v="Viagem Sarah"/>
    <x v="28"/>
    <x v="7"/>
    <s v="MARIA EDUARDA DE SOUZA"/>
    <s v="MARIA EDUARDA DE SOUZA"/>
    <m/>
    <m/>
    <s v="Nathalia Louiz"/>
    <n v="-100"/>
    <s v="Saída"/>
    <x v="0"/>
  </r>
  <r>
    <x v="170"/>
    <s v="Banco do Brasil - Sarah Alves Lisboa"/>
    <s v="Lanches para Viagem"/>
    <x v="37"/>
    <x v="10"/>
    <s v="SARAH ALVES LISBOA"/>
    <s v="SARAH ALVES LISBOA"/>
    <m/>
    <m/>
    <s v="Nathalia Louiz"/>
    <n v="-108.62"/>
    <s v="Saída"/>
    <x v="0"/>
  </r>
  <r>
    <x v="170"/>
    <s v="Itaú - Lisboa e Lisboa"/>
    <s v="Rescisão de Contrato - Acerto"/>
    <x v="15"/>
    <x v="6"/>
    <s v="Laura Barbosa Marques"/>
    <s v="Laura Barbosa Marques"/>
    <m/>
    <m/>
    <s v="Nathalia Louiz"/>
    <n v="-1841.67"/>
    <s v="Saída"/>
    <x v="0"/>
  </r>
  <r>
    <x v="170"/>
    <s v="Banco do Brasil - Sarah Alves Lisboa"/>
    <s v="COMBUSTIVEL VIAGEM"/>
    <x v="35"/>
    <x v="4"/>
    <s v="POSTO TAMANDARÉ"/>
    <s v="POSTO TAMANDARÉ"/>
    <m/>
    <m/>
    <s v="Nathalia Louiz"/>
    <n v="-253.39"/>
    <s v="Saída"/>
    <x v="0"/>
  </r>
  <r>
    <x v="170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170"/>
    <s v="Banco do Brasil - Sarah Alves Lisboa"/>
    <s v="Comissão viagem Sarah"/>
    <x v="28"/>
    <x v="7"/>
    <s v="MARIA L F NASCIMENTO"/>
    <s v="MARIA L F NASCIMENTO"/>
    <m/>
    <m/>
    <s v="Nathalia Louiz"/>
    <n v="-300"/>
    <s v="Saída"/>
    <x v="0"/>
  </r>
  <r>
    <x v="170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70"/>
    <s v="Cartão de Crédito Dra Thaynara"/>
    <s v="ASTREA"/>
    <x v="12"/>
    <x v="1"/>
    <s v="C6"/>
    <s v="C6"/>
    <m/>
    <m/>
    <s v="Thaynara Borges"/>
    <n v="-653.29999999999995"/>
    <s v="Saída"/>
    <x v="0"/>
  </r>
  <r>
    <x v="170"/>
    <s v="Banco do Brasil - Sarah Alves Lisboa"/>
    <s v="Taxa de abertura CNPJ - Raffa"/>
    <x v="30"/>
    <x v="9"/>
    <s v="OAB"/>
    <s v="OAB"/>
    <m/>
    <m/>
    <s v="Nathalia Louiz"/>
    <n v="-700"/>
    <s v="Saída"/>
    <x v="0"/>
  </r>
  <r>
    <x v="171"/>
    <s v="Itaú - Lisboa e Lisboa"/>
    <s v="3 beneficios"/>
    <x v="2"/>
    <x v="2"/>
    <s v="ELIO DIVINO NUNES DE BARROS"/>
    <s v="ELIO DIVINO NUNES DE BARROS"/>
    <m/>
    <s v="APOSENTADORIA POR IDADE"/>
    <s v="Nathalia Louiz"/>
    <n v="3525.48"/>
    <s v="Entrada"/>
    <x v="1"/>
  </r>
  <r>
    <x v="171"/>
    <s v="Itaú - Lisboa e Lisboa"/>
    <s v="30% SOB ATRASADOS"/>
    <x v="2"/>
    <x v="2"/>
    <s v="LAIRCE CORREA BARBOSA FRUTUOSO"/>
    <s v="LAIRCE CORREA BARBOSA FRUTUOSO"/>
    <m/>
    <s v="APOSENTADORIA RURAL"/>
    <s v="Nathalia Louiz"/>
    <n v="4540.7"/>
    <s v="Entrada"/>
    <x v="1"/>
  </r>
  <r>
    <x v="171"/>
    <s v="Itaú - Lisboa e Lisboa"/>
    <s v="OBRA - CONSTRUTOR DA REFORMA"/>
    <x v="14"/>
    <x v="1"/>
    <s v="EDVAN CANDIDO DOS SANTOS"/>
    <s v="EDVAN CANDIDO DOS SANTOS"/>
    <m/>
    <m/>
    <s v="Nathalia Louiz"/>
    <n v="-3500"/>
    <s v="Saída"/>
    <x v="0"/>
  </r>
  <r>
    <x v="171"/>
    <s v="Itaú - Lisboa e Lisboa"/>
    <s v="40% de honorarios + 3 beneficios"/>
    <x v="2"/>
    <x v="2"/>
    <s v="IACY DA SILVA MAGALHÃES"/>
    <s v="IACY DA SILVA MAGALHÃES"/>
    <m/>
    <s v="APOSENTADORIA DO DEFICIENTE"/>
    <s v="Nathalia Louiz"/>
    <n v="22021.26"/>
    <s v="Entrada"/>
    <x v="1"/>
  </r>
  <r>
    <x v="171"/>
    <s v="Banco do Brasil - Sarah Alves Lisboa"/>
    <s v="Honorários"/>
    <x v="2"/>
    <x v="2"/>
    <s v="CARMEM LUCIA MENDES DE OLIVEIRA"/>
    <s v="CARMEM LUCIA MENDES DE OLIVEIRA"/>
    <m/>
    <s v="BENEFÍCIO POR INCAPACIDADE"/>
    <s v="Nathalia Louiz"/>
    <n v="1103.9100000000001"/>
    <s v="Entrada"/>
    <x v="1"/>
  </r>
  <r>
    <x v="172"/>
    <s v="Banco do Brasil - Sarah Alves Lisboa"/>
    <s v="40% SOB IMPLANTAÇÃO"/>
    <x v="2"/>
    <x v="2"/>
    <s v="ELCIMAR LOURENÇO DE SOUSA"/>
    <s v="ELCIMAR LOURENÇO DE SOUSA"/>
    <m/>
    <s v="APOSENTADORIA POR TEMPO DE CONTRIBUIÇÃO"/>
    <s v="Nathalia Louiz"/>
    <n v="1828.14"/>
    <s v="Entrada"/>
    <x v="1"/>
  </r>
  <r>
    <x v="173"/>
    <s v="Itaú - Lisboa e Lisboa"/>
    <s v="INSS"/>
    <x v="19"/>
    <x v="6"/>
    <s v="RECEITA FEDERAL"/>
    <s v="RECEITA FEDERAL"/>
    <m/>
    <m/>
    <s v="Thaynara Borges"/>
    <n v="-2392.46"/>
    <s v="Saída"/>
    <x v="0"/>
  </r>
  <r>
    <x v="173"/>
    <s v="Itaú - Lisboa e Lisboa"/>
    <s v="FGTS"/>
    <x v="18"/>
    <x v="6"/>
    <s v="FGTS"/>
    <s v="FGTS"/>
    <m/>
    <m/>
    <s v="Thaynara Borges"/>
    <n v="-507.43"/>
    <s v="Saída"/>
    <x v="0"/>
  </r>
  <r>
    <x v="173"/>
    <s v="Itaú - Lisboa e Lisboa"/>
    <s v="Água"/>
    <x v="17"/>
    <x v="1"/>
    <s v="SANEAGO GOIAS S/A"/>
    <s v="SANEAGO GOIAS S/A"/>
    <m/>
    <m/>
    <s v="Thaynara Borges"/>
    <n v="-132.22999999999999"/>
    <s v="Saída"/>
    <x v="0"/>
  </r>
  <r>
    <x v="173"/>
    <s v="Banco do Brasil - Sarah Alves Lisboa"/>
    <s v="Honorários sob implantação"/>
    <x v="2"/>
    <x v="2"/>
    <s v="ARLINDO LEITE DOS SANTOS"/>
    <s v="ARLINDO LEITE DOS SANTOS"/>
    <m/>
    <s v="BENEFÍCIO POR INCAPACIDADE"/>
    <s v="Nathalia Louiz"/>
    <n v="1750"/>
    <s v="Entrada"/>
    <x v="1"/>
  </r>
  <r>
    <x v="173"/>
    <s v="Itaú - Lisboa e Lisboa"/>
    <s v="3 salários de beneficio"/>
    <x v="2"/>
    <x v="2"/>
    <s v="NATANNE KELLY REIS DE SOUZA"/>
    <s v="NATANNE KELLY REIS DE SOUZA"/>
    <m/>
    <s v="BENEFÍCIO ASSISTENCIAL"/>
    <s v="Nathalia Louiz"/>
    <n v="462.7"/>
    <s v="Entrada"/>
    <x v="1"/>
  </r>
  <r>
    <x v="173"/>
    <s v="Banco do Brasil - Sarah Alves Lisboa"/>
    <s v="Honorários R$5000,00 (Parceria com Dr Luciano R$2.500) - 5 parcelas para cada."/>
    <x v="2"/>
    <x v="2"/>
    <s v="LUZIA VIEIRA DE JESUS NASCIMENTO"/>
    <s v="LUZIA VIEIRA DE JESUS NASCIMENTO"/>
    <m/>
    <s v="aposentadoria"/>
    <s v="Nathalia Louiz"/>
    <n v="500"/>
    <s v="Entrada"/>
    <x v="1"/>
  </r>
  <r>
    <x v="173"/>
    <s v="Banco do Brasil - Sarah Alves Lisboa"/>
    <s v="Pagamento de comissões por Iniciais."/>
    <x v="28"/>
    <x v="7"/>
    <s v="Dra Raffaela Nunes"/>
    <s v="Dra Raffaela Nunes"/>
    <m/>
    <m/>
    <s v="Nathalia Louiz"/>
    <n v="-600"/>
    <s v="Saída"/>
    <x v="0"/>
  </r>
  <r>
    <x v="173"/>
    <s v="Banco do Brasil - Sarah Alves Lisboa"/>
    <s v="Honorários R$5000,00 (Parceria com Dr Luciano R$2.500) - 5 parcelas para cada."/>
    <x v="2"/>
    <x v="2"/>
    <s v="LUZIA VIEIRA DE JESUS NASCIMENTO"/>
    <s v="LUZIA VIEIRA DE JESUS NASCIMENTO"/>
    <m/>
    <s v="aposentadoria"/>
    <s v="Nathalia Louiz"/>
    <n v="500"/>
    <s v="Entrada"/>
    <x v="1"/>
  </r>
  <r>
    <x v="173"/>
    <s v="Banco do Brasil - 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173"/>
    <s v="Itaú - Lisboa e Lisboa"/>
    <s v="IPTU - SALA B74"/>
    <x v="29"/>
    <x v="1"/>
    <s v="PREFEITURA MUNICIPAL DE GOIÂNIA"/>
    <s v="PREFEITURA MUNICIPAL DE GOIÂNIA"/>
    <m/>
    <m/>
    <s v="Nathalia Louiz"/>
    <n v="-125.57"/>
    <s v="Saída"/>
    <x v="0"/>
  </r>
  <r>
    <x v="173"/>
    <s v="Itaú - Lisboa e Lisboa"/>
    <s v="Simples Nacional"/>
    <x v="20"/>
    <x v="7"/>
    <s v="Simples Nacional"/>
    <s v="Simples Nacional"/>
    <m/>
    <m/>
    <s v="Thaynara Borges"/>
    <n v="-1414.05"/>
    <s v="Saída"/>
    <x v="0"/>
  </r>
  <r>
    <x v="174"/>
    <s v="Banco do Brasil - Sarah Alves Lisboa"/>
    <s v="PRECATÓRIO - 30%"/>
    <x v="2"/>
    <x v="2"/>
    <s v="HELIO CURADO FROES"/>
    <s v="HELIO CURADO FROES"/>
    <m/>
    <s v="APOSENTADORIA POR IDADE"/>
    <s v="Nathalia Louiz"/>
    <n v="53261.91"/>
    <s v="Entrada"/>
    <x v="1"/>
  </r>
  <r>
    <x v="174"/>
    <s v="Banco do Brasil - Sarah Alves Lisboa"/>
    <s v="PRECATÓRIO - 30% + ANUIDADE"/>
    <x v="2"/>
    <x v="2"/>
    <s v="CLEUSA ALVES RIBEIRO"/>
    <s v="CLEUSA ALVES RIBEIRO"/>
    <m/>
    <s v="APOSENTADORIA RURAL"/>
    <s v="Nathalia Louiz"/>
    <n v="39801.17"/>
    <s v="Entrada"/>
    <x v="1"/>
  </r>
  <r>
    <x v="174"/>
    <s v="Itaú - Lisboa e Lisboa"/>
    <s v="CUSTAS DE LOCOMOÇÃO"/>
    <x v="7"/>
    <x v="5"/>
    <s v="ESPÓLIO DE REGINALDO DE SOUZA LIRA"/>
    <s v="ESPÓLIO DE REGINALDO DE SOUZA LIRA"/>
    <m/>
    <s v="AÇÃO ACIDENTÁRIA (RESTABELECIMENTO DE AUXÍLIO-DOENÇA/CONCESSÃO DE AUXÍLIO-ACIDENTE/AP. POR INVALIDEZ"/>
    <s v="Nathalia Louiz"/>
    <n v="-575.55999999999995"/>
    <s v="Saída"/>
    <x v="0"/>
  </r>
  <r>
    <x v="174"/>
    <s v="Banco do Brasil - Sarah Alves Lisboa"/>
    <s v="Honorários 30%"/>
    <x v="2"/>
    <x v="2"/>
    <s v="MARIA APARECIDA SILVA ALVES/ IVANILTON ROCHA ALVES"/>
    <s v="MARIA APARECIDA SILVA ALVES/ IVANILTON ROCHA ALVES"/>
    <m/>
    <s v="APOSENTADORIA POR TEMPO DE CONTRIBUIÇAO / PORTADOR DE NESCESSIDADES ESPECIAIS"/>
    <s v="Nathalia Louiz"/>
    <n v="19391.810000000001"/>
    <s v="Entrada"/>
    <x v="1"/>
  </r>
  <r>
    <x v="175"/>
    <s v="Banco do Brasil - Sarah Alves Lisboa"/>
    <s v="Comissão Giuliano 23%"/>
    <x v="28"/>
    <x v="7"/>
    <s v="CLEUSA ALVES RIBEIRO"/>
    <s v="CLEUSA ALVES RIBEIRO"/>
    <m/>
    <s v="APOSENTADORIA RURAL"/>
    <s v="Nathalia Louiz"/>
    <n v="-9154.26"/>
    <s v="Saída"/>
    <x v="0"/>
  </r>
  <r>
    <x v="175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75"/>
    <s v="Banco do Brasil - Sarah Alves Lisboa"/>
    <s v="TAXA TED"/>
    <x v="4"/>
    <x v="3"/>
    <s v="BANCO DO BRASIL S/A"/>
    <s v="BANCO DO BRASIL S/A"/>
    <m/>
    <m/>
    <s v="Nathalia Louiz"/>
    <n v="-12.7"/>
    <s v="Saída"/>
    <x v="0"/>
  </r>
  <r>
    <x v="175"/>
    <s v="Itaú - Lisboa e Lisboa"/>
    <s v="Prêmio São Paulo"/>
    <x v="27"/>
    <x v="4"/>
    <s v="INQS - Instituto Nacional da Qualidade Social"/>
    <s v="INQS - Instituto Nacional da Qualidade Social"/>
    <m/>
    <m/>
    <s v="Nathalia Louiz"/>
    <n v="-925"/>
    <s v="Saída"/>
    <x v="0"/>
  </r>
  <r>
    <x v="176"/>
    <s v="Banco do Brasil - Sarah Alves Lisboa"/>
    <s v="LANCHES"/>
    <x v="11"/>
    <x v="1"/>
    <s v="SUPERMERCADO MOREIRA"/>
    <s v="SUPERMERCADO MOREIRA"/>
    <m/>
    <m/>
    <s v="Nathalia Louiz"/>
    <n v="-58.65"/>
    <s v="Saída"/>
    <x v="0"/>
  </r>
  <r>
    <x v="176"/>
    <s v="Banco do Brasil - Sarah Alves Lisboa"/>
    <s v="TAXA TES"/>
    <x v="4"/>
    <x v="3"/>
    <s v="BANCO DO BRASIL S/A"/>
    <s v="BANCO DO BRASIL S/A"/>
    <m/>
    <m/>
    <s v="Nathalia Louiz"/>
    <n v="-12.7"/>
    <s v="Saída"/>
    <x v="0"/>
  </r>
  <r>
    <x v="177"/>
    <s v="Banco do Brasil - Sarah Alves Lisboa"/>
    <s v="Guia para certidão de militância"/>
    <x v="7"/>
    <x v="5"/>
    <s v="GILBERTO ORTIZ DA CRUZ"/>
    <s v="GILBERTO ORTIZ DA CRUZ"/>
    <m/>
    <s v="APOSENTADORIA POR TEMPO DE CONTRIBUIÇÃO"/>
    <s v="Thaynara Borges"/>
    <n v="-21.73"/>
    <s v="Saída"/>
    <x v="0"/>
  </r>
  <r>
    <x v="177"/>
    <s v="Banco do Brasil - Sarah Alves Lisboa"/>
    <s v="Guia para certidão de militância"/>
    <x v="7"/>
    <x v="5"/>
    <s v="TALYTA VASCONCELOS MELO"/>
    <s v="TALYTA VASCONCELOS MELO"/>
    <m/>
    <s v="SALÁRIO MATERNIDADE"/>
    <s v="Thaynara Borges"/>
    <n v="-21.73"/>
    <s v="Saída"/>
    <x v="0"/>
  </r>
  <r>
    <x v="177"/>
    <s v="Banco do Brasil - Sarah Alves Lisboa"/>
    <s v="Compra"/>
    <x v="26"/>
    <x v="1"/>
    <s v="MARKETPLACE"/>
    <s v="MARKETPLACE"/>
    <m/>
    <m/>
    <s v="Nathalia Louiz"/>
    <n v="-196.05"/>
    <s v="Saída"/>
    <x v="0"/>
  </r>
  <r>
    <x v="177"/>
    <s v="Itaú - Lisboa e Lisboa"/>
    <s v="Energia contrato 0067122663"/>
    <x v="21"/>
    <x v="1"/>
    <s v="EQUATORIAL GOIAS 0067122663"/>
    <s v="EQUATORIAL GOIAS 0067122663"/>
    <m/>
    <m/>
    <s v="Thaynara Borges"/>
    <n v="-304.23"/>
    <s v="Saída"/>
    <x v="0"/>
  </r>
  <r>
    <x v="177"/>
    <s v="Banco do Brasil - Sarah Alves Lisboa"/>
    <s v="Guia para certidão de militância"/>
    <x v="7"/>
    <x v="5"/>
    <s v="SERGIO HENRIQUE  MOREIRA LOPES"/>
    <s v="SERGIO HENRIQUE  MOREIRA LOPES"/>
    <m/>
    <s v="BENEFÍCIO POR INCAPACIDADE"/>
    <s v="Thaynara Borges"/>
    <n v="-21.73"/>
    <s v="Saída"/>
    <x v="0"/>
  </r>
  <r>
    <x v="177"/>
    <s v="Banco do Brasil - Sarah Alves Lisboa"/>
    <s v="Cabine de computador "/>
    <x v="26"/>
    <x v="1"/>
    <s v="KABUM"/>
    <s v="KABUM"/>
    <m/>
    <m/>
    <s v="Nathalia Louiz"/>
    <n v="-101.83"/>
    <s v="Saída"/>
    <x v="0"/>
  </r>
  <r>
    <x v="177"/>
    <s v="Banco do Brasil - Sarah Alves Lisboa"/>
    <s v="GUIA CERTIDÃO DE MILITÂNCIA"/>
    <x v="7"/>
    <x v="5"/>
    <s v="DARLENE CAIXETA DOS SANTOS"/>
    <s v="DARLENE CAIXETA DOS SANTOS"/>
    <m/>
    <s v="BENEFÍCIO POR INCAPACIDADE"/>
    <s v="Thaynara Borges"/>
    <n v="-21.73"/>
    <s v="Saída"/>
    <x v="0"/>
  </r>
  <r>
    <x v="177"/>
    <s v="Itaú - Lisboa e Lisboa"/>
    <s v="Energia contrato 0067122721"/>
    <x v="21"/>
    <x v="1"/>
    <s v="EQUATORIAL GOIAS 0067122721"/>
    <s v="EQUATORIAL GOIAS 0067122721"/>
    <m/>
    <m/>
    <s v="Thaynara Borges"/>
    <n v="-378.59"/>
    <s v="Saída"/>
    <x v="0"/>
  </r>
  <r>
    <x v="177"/>
    <s v="Itaú - Lisboa e Lisboa"/>
    <s v="Honorário R$ 2.277,00 - Parceria com Dr Fernando  (50%)"/>
    <x v="2"/>
    <x v="2"/>
    <s v="JAIME RODRIGUES DE SOUZA"/>
    <s v="JAIME RODRIGUES DE SOUZA"/>
    <m/>
    <s v="APOSENTADORIA POR TEMPO DE CONTRIBUIÇÃO COM IDADE MÍNIMA"/>
    <s v="Nathalia Louiz"/>
    <n v="756.15"/>
    <s v="Entrada"/>
    <x v="1"/>
  </r>
  <r>
    <x v="178"/>
    <s v="Itaú - Lisboa e Lisboa"/>
    <s v="Retirada"/>
    <x v="22"/>
    <x v="8"/>
    <s v="Thaynara Borges Pereira"/>
    <s v="Thaynara Borges Pereira"/>
    <m/>
    <m/>
    <s v="Thaynara Borges"/>
    <n v="-5000"/>
    <s v="Saída"/>
    <x v="0"/>
  </r>
  <r>
    <x v="178"/>
    <s v="Itaú - Lisboa e Lisboa"/>
    <s v="Salário"/>
    <x v="15"/>
    <x v="6"/>
    <s v="MARIA EDUARDA DE SOUZA"/>
    <s v="MARIA EDUARDA DE SOUZA"/>
    <m/>
    <m/>
    <s v="Nathalia Louiz"/>
    <n v="-2339.41"/>
    <s v="Saída"/>
    <x v="0"/>
  </r>
  <r>
    <x v="178"/>
    <s v="Banco do Brasil - Sarah Alves Lisboa"/>
    <s v="Salário"/>
    <x v="15"/>
    <x v="6"/>
    <s v="Raffaela Nunes"/>
    <s v="Raffaela Nunes"/>
    <m/>
    <m/>
    <s v="Thaynara Borges"/>
    <n v="-3200"/>
    <s v="Saída"/>
    <x v="0"/>
  </r>
  <r>
    <x v="178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78"/>
    <s v="Banco do Brasil - Sarah Alves Lisboa"/>
    <s v="Diferença ref.: 50% dos honorários (Parceria Dr Ajnaldo)"/>
    <x v="2"/>
    <x v="2"/>
    <s v="LEILA DO CARMO GONÇALVES OLIVEIRA"/>
    <s v="LEILA DO CARMO GONÇALVES OLIVEIRA"/>
    <m/>
    <s v="APOSENTADORIA POR IDADE RURAL"/>
    <s v="Thaynara Borges"/>
    <n v="386.4"/>
    <s v="Entrada"/>
    <x v="2"/>
  </r>
  <r>
    <x v="178"/>
    <s v="Banco do Brasil - Sarah Alves Lisboa"/>
    <s v="CHOCOLATES PARA CLIENTES"/>
    <x v="16"/>
    <x v="4"/>
    <s v="[$empty$]"/>
    <s v="[$empty$]"/>
    <m/>
    <m/>
    <s v="Nathalia Louiz"/>
    <n v="-39.200000000000003"/>
    <s v="Saída"/>
    <x v="0"/>
  </r>
  <r>
    <x v="178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178"/>
    <s v="Banco do Brasil - Sarah Alves Lisboa"/>
    <s v="Complemento salarial - Nina (Empréstimo)"/>
    <x v="15"/>
    <x v="6"/>
    <s v="EVANILZA ARAUJO MORAES"/>
    <s v="EVANILZA ARAUJO MORAES"/>
    <m/>
    <m/>
    <s v="Nathalia Louiz"/>
    <n v="-150.74"/>
    <s v="Saída"/>
    <x v="0"/>
  </r>
  <r>
    <x v="178"/>
    <s v="Banco do Brasil - Sarah Alves Lisboa"/>
    <s v="Honorários 30%"/>
    <x v="2"/>
    <x v="2"/>
    <s v="TEREZINHA CUSTODIO DE OLIVEIRA"/>
    <s v="TEREZINHA CUSTODIO DE OLIVEIRA"/>
    <m/>
    <s v="PENSÃO POR MORTE"/>
    <s v="Nathalia Louiz"/>
    <n v="4130"/>
    <s v="Entrada"/>
    <x v="1"/>
  </r>
  <r>
    <x v="178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178"/>
    <s v="Itaú - Lisboa e Lisboa"/>
    <s v="Salário"/>
    <x v="15"/>
    <x v="6"/>
    <s v="Nina Araujo"/>
    <s v="Nina Araujo"/>
    <m/>
    <m/>
    <s v="Thaynara Borges"/>
    <n v="-3231.22"/>
    <s v="Saída"/>
    <x v="0"/>
  </r>
  <r>
    <x v="179"/>
    <s v="Banco do Brasil - Sarah Alves Lisboa"/>
    <s v="Parte 2/2 dos honorários de Helio, Cleusa e Leanne"/>
    <x v="40"/>
    <x v="11"/>
    <s v="Banco do Brasil - Sarah Alves Lisboa"/>
    <s v="Banco do Brasil - Sarah Alves Lisboa"/>
    <m/>
    <m/>
    <s v="Thaynara Borges"/>
    <n v="-72459.87"/>
    <s v="Saída"/>
    <x v="0"/>
  </r>
  <r>
    <x v="179"/>
    <s v="Cartão de Crédito Dr Ivanildo"/>
    <s v="CANAÃ FRIOS"/>
    <x v="11"/>
    <x v="1"/>
    <s v="BANCO ITAU"/>
    <s v="BANCO ITAU"/>
    <m/>
    <m/>
    <s v="Nathalia Louiz"/>
    <n v="-44.39"/>
    <s v="Saída"/>
    <x v="0"/>
  </r>
  <r>
    <x v="179"/>
    <s v="Cartão de Crédito Dra Sarah"/>
    <s v="Cartão de crédito Dra Sarah"/>
    <x v="6"/>
    <x v="1"/>
    <s v="BANCO ITAU"/>
    <s v="BANCO ITAU"/>
    <m/>
    <m/>
    <s v="Nathalia Louiz"/>
    <n v="1346.56"/>
    <s v="Entrada"/>
    <x v="1"/>
  </r>
  <r>
    <x v="179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179"/>
    <s v="Itaú - Lisboa e Lisboa"/>
    <s v="Comissão Vanessa 70%"/>
    <x v="28"/>
    <x v="7"/>
    <s v="CLEUSA ALVES RIBEIRO"/>
    <s v="CLEUSA ALVES RIBEIRO"/>
    <m/>
    <s v="APOSENTADORIA RURAL"/>
    <s v="Nathalia Louiz"/>
    <n v="-21452.83"/>
    <s v="Saída"/>
    <x v="0"/>
  </r>
  <r>
    <x v="179"/>
    <s v="Banco do Brasil - Sarah Alves Lisboa"/>
    <s v="3 Iniciais"/>
    <x v="42"/>
    <x v="6"/>
    <s v="Dra Raffaela Nunes"/>
    <s v="Dra Raffaela Nunes"/>
    <m/>
    <m/>
    <s v="Nathalia Louiz"/>
    <n v="-700"/>
    <s v="Saída"/>
    <x v="0"/>
  </r>
  <r>
    <x v="179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179"/>
    <s v="Cartão de Crédito Dr Ivanildo"/>
    <s v="Pagamento Cartão de Crédito Dr Ivanildo"/>
    <x v="6"/>
    <x v="1"/>
    <s v="BANCO ITAU"/>
    <s v="BANCO ITAU"/>
    <m/>
    <m/>
    <s v="Thaynara Borges"/>
    <n v="1641.71"/>
    <s v="Entrada"/>
    <x v="1"/>
  </r>
  <r>
    <x v="179"/>
    <s v="Cartão de Crédito Dr Ivanildo"/>
    <s v="ROSEANE REIS"/>
    <x v="11"/>
    <x v="1"/>
    <s v="BANCO ITAU"/>
    <s v="BANCO ITAU"/>
    <m/>
    <m/>
    <s v="Nathalia Louiz"/>
    <n v="-12.5"/>
    <s v="Saída"/>
    <x v="0"/>
  </r>
  <r>
    <x v="179"/>
    <s v="Cartão de Crédito Dr Ivanildo"/>
    <s v="DIGISEC"/>
    <x v="14"/>
    <x v="1"/>
    <s v="BANCO ITAU"/>
    <s v="BANCO ITAU"/>
    <m/>
    <m/>
    <s v="Nathalia Louiz"/>
    <n v="-158"/>
    <s v="Saída"/>
    <x v="0"/>
  </r>
  <r>
    <x v="179"/>
    <s v="Cartão de Crédito Dr Ivanildo"/>
    <s v="Jusbrasil"/>
    <x v="12"/>
    <x v="1"/>
    <s v="BANCO ITAU"/>
    <s v="BANCO ITAU"/>
    <m/>
    <m/>
    <s v="Thaynara Borges"/>
    <n v="-58.9"/>
    <s v="Saída"/>
    <x v="0"/>
  </r>
  <r>
    <x v="179"/>
    <s v="Banco do Brasil - Sarah Alves Lisboa"/>
    <s v="Parte 1/2 dos honorários de Helio, Cleusa e Leanne"/>
    <x v="40"/>
    <x v="11"/>
    <s v="Banco do Brasil - Sarah Alves Lisboa"/>
    <s v="Banco do Brasil - Sarah Alves Lisboa"/>
    <m/>
    <m/>
    <s v="Thaynara Borges"/>
    <n v="-50000"/>
    <s v="Saída"/>
    <x v="0"/>
  </r>
  <r>
    <x v="179"/>
    <s v="Itaú - Lisboa e Lisboa"/>
    <s v="Parte 2/2 dos honorários de Helio, Cleusa e Leanne"/>
    <x v="40"/>
    <x v="11"/>
    <s v="Itaú - Lisboa e Lisboa"/>
    <s v="Itaú - Lisboa e Lisboa"/>
    <m/>
    <m/>
    <s v="Thaynara Borges"/>
    <n v="72459.87"/>
    <s v="Entrada"/>
    <x v="1"/>
  </r>
  <r>
    <x v="179"/>
    <s v="Cartão de Crédito Dra Sarah"/>
    <s v="TERMO SUL"/>
    <x v="14"/>
    <x v="1"/>
    <s v="BANCO ITAU"/>
    <s v="BANCO ITAU"/>
    <m/>
    <m/>
    <s v="Nathalia Louiz"/>
    <n v="-394"/>
    <s v="Saída"/>
    <x v="0"/>
  </r>
  <r>
    <x v="179"/>
    <s v="Cartão de Crédito Dr Ivanildo"/>
    <s v="Google One"/>
    <x v="12"/>
    <x v="1"/>
    <s v="BANCO ITAU"/>
    <s v="BANCO ITAU"/>
    <m/>
    <m/>
    <s v="Thaynara Borges"/>
    <n v="-49.99"/>
    <s v="Saída"/>
    <x v="0"/>
  </r>
  <r>
    <x v="179"/>
    <s v="Cartão de Crédito Dr Ivanildo"/>
    <s v="SUPER MOREIRA"/>
    <x v="11"/>
    <x v="1"/>
    <s v="BANCO ITAU"/>
    <s v="BANCO ITAU"/>
    <m/>
    <m/>
    <s v="Nathalia Louiz"/>
    <n v="-54.43"/>
    <s v="Saída"/>
    <x v="0"/>
  </r>
  <r>
    <x v="179"/>
    <s v="Cartão de Crédito Dr Ivanildo"/>
    <s v="ASA CURSOS"/>
    <x v="32"/>
    <x v="6"/>
    <s v="BANCO ITAU"/>
    <s v="BANCO ITAU"/>
    <m/>
    <m/>
    <s v="Nathalia Louiz"/>
    <n v="-59.9"/>
    <s v="Saída"/>
    <x v="0"/>
  </r>
  <r>
    <x v="179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179"/>
    <s v="Cartão de Crédito Dra Sarah"/>
    <s v="EMPORIO DOLCCI"/>
    <x v="11"/>
    <x v="1"/>
    <s v="BANCO ITAU"/>
    <s v="BANCO ITAU"/>
    <m/>
    <m/>
    <s v="Nathalia Louiz"/>
    <n v="-77.7"/>
    <s v="Saída"/>
    <x v="0"/>
  </r>
  <r>
    <x v="179"/>
    <s v="Cartão de Crédito Dr Ivanildo"/>
    <s v="Prévius"/>
    <x v="12"/>
    <x v="1"/>
    <s v="BANCO ITAU"/>
    <s v="BANCO ITAU"/>
    <m/>
    <m/>
    <s v="Thaynara Borges"/>
    <n v="-80.91"/>
    <s v="Saída"/>
    <x v="0"/>
  </r>
  <r>
    <x v="179"/>
    <s v="Banco do Brasil - Sarah Alves Lisboa"/>
    <s v="TAXA TED"/>
    <x v="4"/>
    <x v="3"/>
    <s v="BANCO DO BRASIL S/A"/>
    <s v="BANCO DO BRASIL S/A"/>
    <m/>
    <m/>
    <s v="Nathalia Louiz"/>
    <n v="-12.7"/>
    <s v="Saída"/>
    <x v="0"/>
  </r>
  <r>
    <x v="179"/>
    <s v="Banco do Brasil - Sarah Alves Lisboa"/>
    <s v="PAGAMENTO DE HONORÁRIOS - ACORDO APÓS EXECUÇÃO DO CONTRATO"/>
    <x v="2"/>
    <x v="2"/>
    <s v="MARCOS ANTONIO LOURENÇO DE TOLEDO"/>
    <s v="MARCOS ANTONIO LOURENÇO DE TOLEDO"/>
    <m/>
    <s v="AUXILIO DOENÇA"/>
    <s v="Nathalia Louiz"/>
    <n v="500"/>
    <s v="Entrada"/>
    <x v="1"/>
  </r>
  <r>
    <x v="179"/>
    <s v="Cartão de Crédito Dra Sarah"/>
    <s v="CONSULTORIA ESTRATEGIA"/>
    <x v="34"/>
    <x v="1"/>
    <s v="BANCO ITAU"/>
    <s v="BANCO ITAU"/>
    <m/>
    <m/>
    <s v="Nathalia Louiz"/>
    <n v="-299.17"/>
    <s v="Saída"/>
    <x v="0"/>
  </r>
  <r>
    <x v="179"/>
    <s v="Cartão de Crédito Dr Ivanildo"/>
    <s v="Google One"/>
    <x v="12"/>
    <x v="1"/>
    <s v="BANCO ITAU"/>
    <s v="BANCO ITAU"/>
    <m/>
    <m/>
    <s v="Thaynara Borges"/>
    <n v="-14.99"/>
    <s v="Saída"/>
    <x v="0"/>
  </r>
  <r>
    <x v="179"/>
    <s v="Banco do Brasil - Sarah Alves Lisboa"/>
    <s v="Parcelamento 3 BENEFICIOS"/>
    <x v="2"/>
    <x v="2"/>
    <s v="MATHEUS HENRIQUE DE CARVALHO MIRANDA"/>
    <s v="MATHEUS HENRIQUE DE CARVALHO MIRANDA"/>
    <m/>
    <s v="PENSÃO POR MORTE - RETROAÇÃO DA DIP"/>
    <s v="Nathalia Louiz"/>
    <n v="563.5"/>
    <s v="Entrada"/>
    <x v="1"/>
  </r>
  <r>
    <x v="179"/>
    <s v="Cartão de Crédito Dr Ivanildo"/>
    <s v="RICHESSE"/>
    <x v="11"/>
    <x v="1"/>
    <s v="BANCO ITAU"/>
    <s v="BANCO ITAU"/>
    <m/>
    <m/>
    <s v="Nathalia Louiz"/>
    <n v="-216.22"/>
    <s v="Saída"/>
    <x v="0"/>
  </r>
  <r>
    <x v="179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179"/>
    <s v="Banco do Brasil - Sarah Alves Lisboa"/>
    <s v="3 BENEFICIOS - PARCIAL (RESTANTE EM 3X de 759,00)"/>
    <x v="2"/>
    <x v="2"/>
    <s v="GENI MOURA NEVES"/>
    <s v="GENI MOURA NEVES"/>
    <m/>
    <s v="APOSENTADORIA POR IDADE URBANA"/>
    <s v="Nathalia Louiz"/>
    <n v="759"/>
    <s v="Entrada"/>
    <x v="1"/>
  </r>
  <r>
    <x v="179"/>
    <s v="Cartão de Crédito Dra Sarah"/>
    <s v="TERMO SUL ENGENHARIA"/>
    <x v="26"/>
    <x v="1"/>
    <s v="BANCO ITAU"/>
    <s v="BANCO ITAU"/>
    <m/>
    <m/>
    <s v="Nathalia Louiz"/>
    <n v="-300"/>
    <s v="Saída"/>
    <x v="0"/>
  </r>
  <r>
    <x v="179"/>
    <s v="Cartão de Crédito Dr Ivanildo"/>
    <s v="Jusbrasil"/>
    <x v="12"/>
    <x v="1"/>
    <s v="BANCO ITAU"/>
    <s v="BANCO ITAU"/>
    <m/>
    <m/>
    <s v="Thaynara Borges"/>
    <n v="-58.9"/>
    <s v="Saída"/>
    <x v="0"/>
  </r>
  <r>
    <x v="179"/>
    <s v="Itaú - Lisboa e Lisboa"/>
    <s v="Parte 1/2 dos honorários de Helio, Cleusa e Leanne"/>
    <x v="40"/>
    <x v="11"/>
    <s v="Itaú - Lisboa e Lisboa"/>
    <s v="Itaú - Lisboa e Lisboa"/>
    <m/>
    <m/>
    <s v="Thaynara Borges"/>
    <n v="50000"/>
    <s v="Entrada"/>
    <x v="1"/>
  </r>
  <r>
    <x v="179"/>
    <s v="Cartão de Crédito Dra Sarah"/>
    <s v="COMPRA MERCADO LIVRE"/>
    <x v="6"/>
    <x v="1"/>
    <s v="BANCO ITAU"/>
    <s v="BANCO ITAU"/>
    <m/>
    <m/>
    <s v="Nathalia Louiz"/>
    <n v="-224.99"/>
    <s v="Saída"/>
    <x v="0"/>
  </r>
  <r>
    <x v="179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179"/>
    <s v="Cartão de Crédito Dra Sarah"/>
    <s v="PANIFICADORA"/>
    <x v="11"/>
    <x v="1"/>
    <s v="BANCO ITAU"/>
    <s v="BANCO ITAU"/>
    <m/>
    <m/>
    <s v="Nathalia Louiz"/>
    <n v="-50.7"/>
    <s v="Saída"/>
    <x v="0"/>
  </r>
  <r>
    <x v="179"/>
    <s v="Cartão de Crédito Dr Ivanildo"/>
    <s v="SUPERMOREIRA"/>
    <x v="11"/>
    <x v="1"/>
    <s v="BANCO ITAU"/>
    <s v="BANCO ITAU"/>
    <m/>
    <m/>
    <s v="Nathalia Louiz"/>
    <n v="-34.79"/>
    <s v="Saída"/>
    <x v="0"/>
  </r>
  <r>
    <x v="179"/>
    <s v="Cartão de Crédito Dr Ivanildo"/>
    <s v="SUPER UNIÃO"/>
    <x v="11"/>
    <x v="1"/>
    <s v="BANCO ITAU"/>
    <s v="BANCO ITAU"/>
    <m/>
    <m/>
    <s v="Nathalia Louiz"/>
    <n v="-324.75"/>
    <s v="Saída"/>
    <x v="0"/>
  </r>
  <r>
    <x v="179"/>
    <s v="Itaú - Lisboa e Lisboa"/>
    <s v="Comissão Vanessa 70%"/>
    <x v="28"/>
    <x v="7"/>
    <s v="HELIO CURADO FROES"/>
    <s v="HELIO CURADO FROES"/>
    <m/>
    <s v="APOSENTADORIA POR IDADE"/>
    <s v="Nathalia Louiz"/>
    <n v="-37283.33"/>
    <s v="Saída"/>
    <x v="0"/>
  </r>
  <r>
    <x v="179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179"/>
    <s v="Itaú - Lisboa e Lisboa"/>
    <s v="Comissão Vanessa 70%"/>
    <x v="28"/>
    <x v="7"/>
    <s v="MARIA APARECIDA SILVA ALVES/ IVANILTON ROCHA ALVES"/>
    <s v="MARIA APARECIDA SILVA ALVES/ IVANILTON ROCHA ALVES"/>
    <m/>
    <s v="APOSENTADORIA POR TEMPO DE CONTRIBUIÇAO / PORTADOR DE NESCESSIDADES ESPECIAIS"/>
    <s v="Nathalia Louiz"/>
    <n v="-13574.26"/>
    <s v="Saída"/>
    <x v="0"/>
  </r>
  <r>
    <x v="179"/>
    <s v="Banco do Brasil - Sarah Alves Lisboa"/>
    <s v="Acordo com Dr Silvio"/>
    <x v="2"/>
    <x v="2"/>
    <s v="LUENE DE OLIVEIRA GOMES"/>
    <s v="LUENE DE OLIVEIRA GOMES"/>
    <m/>
    <s v="PROCESSO CRIMINAL"/>
    <s v="Nathalia Louiz"/>
    <n v="390"/>
    <s v="Entrada"/>
    <x v="1"/>
  </r>
  <r>
    <x v="180"/>
    <s v="Banco do Brasil - Sarah Alves Lisboa"/>
    <s v="30% Sob Implantação"/>
    <x v="2"/>
    <x v="2"/>
    <s v="ERINALVA DOS SANTOS ALMEIDA"/>
    <s v="ERINALVA DOS SANTOS ALMEIDA"/>
    <m/>
    <s v="BENEFÍCIO POR INCAPACIDADE"/>
    <s v="Nathalia Louiz"/>
    <n v="1595.1"/>
    <s v="Entrada"/>
    <x v="1"/>
  </r>
  <r>
    <x v="180"/>
    <s v="Banco do Brasil - Sarah Alves Lisboa"/>
    <s v="Anuidade 13x de 550"/>
    <x v="2"/>
    <x v="2"/>
    <s v="SEBASTIAO RIBEIRO NETO"/>
    <s v="SEBASTIAO RIBEIRO NETO"/>
    <m/>
    <s v="APOSENTADORIA POR TEMPO DE CONTRIBUIÇAO DA PESSOA COM DEFICIENCIA"/>
    <s v="Nathalia Louiz"/>
    <n v="550"/>
    <s v="Entrada"/>
    <x v="1"/>
  </r>
  <r>
    <x v="180"/>
    <s v="Banco do Brasil - Sarah Alves Lisboa"/>
    <s v="40% Sob Implantação"/>
    <x v="2"/>
    <x v="2"/>
    <s v="LUZIMEIRE MARTINS COSTA ALVES"/>
    <s v="LUZIMEIRE MARTINS COSTA ALVES"/>
    <m/>
    <s v="BENEFÍCIO POR  INCAPACIDADE"/>
    <s v="Nathalia Louiz"/>
    <n v="2021.2"/>
    <s v="Entrada"/>
    <x v="1"/>
  </r>
  <r>
    <x v="180"/>
    <s v="Itaú - Lisboa e Lisboa"/>
    <s v="Salário Marketing"/>
    <x v="15"/>
    <x v="6"/>
    <s v="ANNA CLARA JARDIM"/>
    <s v="ANNA CLARA JARDIM"/>
    <m/>
    <m/>
    <s v="Nathalia Louiz"/>
    <n v="-1300"/>
    <s v="Saída"/>
    <x v="0"/>
  </r>
  <r>
    <x v="180"/>
    <s v="Banco do Brasil - Sarah Alves Lisboa"/>
    <s v="LANCHES ESCRITÓRIO"/>
    <x v="11"/>
    <x v="1"/>
    <s v="SUPERMERCADO MOREIRA"/>
    <s v="SUPERMERCADO MOREIRA"/>
    <m/>
    <m/>
    <s v="Nathalia Louiz"/>
    <n v="-23.7"/>
    <s v="Saída"/>
    <x v="0"/>
  </r>
  <r>
    <x v="180"/>
    <s v="Itaú - Lisboa e Lisboa"/>
    <s v="Anuidade R$ 8.967,07 (2.000 + 12x R$580,59)"/>
    <x v="2"/>
    <x v="2"/>
    <s v="ISAEL MARCULINO DOS SANTOS"/>
    <s v="ISAEL MARCULINO DOS SANTOS"/>
    <m/>
    <s v="APOSENTADORIA POR TEMPO DE CONTRIBUIÇAO/ PORTADOR DE NECESSIDADES ESPECIAIS"/>
    <s v="Nathalia Louiz"/>
    <n v="577.74"/>
    <s v="Entrada"/>
    <x v="1"/>
  </r>
  <r>
    <x v="180"/>
    <s v="Itaú - Lisboa e Lisboa"/>
    <s v="Video Avulso Marketing"/>
    <x v="42"/>
    <x v="6"/>
    <s v="ANNA CLARA JARDIM"/>
    <s v="ANNA CLARA JARDIM"/>
    <m/>
    <m/>
    <s v="Nathalia Louiz"/>
    <n v="-60"/>
    <s v="Saída"/>
    <x v="0"/>
  </r>
  <r>
    <x v="181"/>
    <s v="Banco do Brasil - Sarah Alves Lisboa"/>
    <s v="30% Sob implantação"/>
    <x v="2"/>
    <x v="2"/>
    <s v="GENILDO JANUARIO LEITE"/>
    <s v="GENILDO JANUARIO LEITE"/>
    <m/>
    <s v="BENEFICIO POR INCAPACIDADE"/>
    <s v="Nathalia Louiz"/>
    <n v="2361"/>
    <s v="Entrada"/>
    <x v="1"/>
  </r>
  <r>
    <x v="181"/>
    <s v="Itaú - Lisboa e Lisboa"/>
    <s v="Defesa administrativa e honorários - R$ 2.000,00 (Entrada de R$1.000,00 + 1x R$1.000,00)"/>
    <x v="2"/>
    <x v="2"/>
    <s v="LUIZ CARLOS FERREIRA DE MELO"/>
    <s v="LUIZ CARLOS FERREIRA DE MELO"/>
    <m/>
    <s v="DEFESA ADMINISTRATIVA"/>
    <s v="Nathalia Louiz"/>
    <n v="997.15"/>
    <s v="Entrada"/>
    <x v="1"/>
  </r>
  <r>
    <x v="182"/>
    <s v="Itaú - Lisboa e Lisboa"/>
    <s v="3 SALÁRIOS DE BENEFICIO (Entrada de 1000,00 + 6x de 492,33 no boleto)"/>
    <x v="2"/>
    <x v="2"/>
    <s v="Maura Cardoso Borges"/>
    <s v="Maura Cardoso Borges"/>
    <m/>
    <s v="APOSENTADORIA POR IDADE"/>
    <s v="Nathalia Louiz"/>
    <n v="489.47999999999996"/>
    <s v="Entrada"/>
    <x v="1"/>
  </r>
  <r>
    <x v="182"/>
    <s v="Banco do Brasil - Sarah Alves Lisboa"/>
    <s v="30% SOB Implantação"/>
    <x v="2"/>
    <x v="2"/>
    <s v="GIRLENE FERREIRA DA MATA"/>
    <s v="GIRLENE FERREIRA DA MATA"/>
    <m/>
    <s v="PENSÃO POR MORTE"/>
    <s v="Nathalia Louiz"/>
    <n v="1122.5999999999999"/>
    <s v="Entrada"/>
    <x v="1"/>
  </r>
  <r>
    <x v="183"/>
    <s v="Itaú - Lisboa e Lisboa"/>
    <s v="Taxa de Condomínio Sala B-73"/>
    <x v="10"/>
    <x v="1"/>
    <s v="ATON BUSINESS STYLE"/>
    <s v="ATON BUSINESS STYLE"/>
    <m/>
    <m/>
    <s v="Thaynara Borges"/>
    <n v="-1254.69"/>
    <s v="Saída"/>
    <x v="0"/>
  </r>
  <r>
    <x v="183"/>
    <s v="Itaú - Lisboa e Lisboa"/>
    <s v="Serviços de TI"/>
    <x v="3"/>
    <x v="1"/>
    <s v="Rhuan Carlos Batista"/>
    <s v="Rhuan Carlos Batista"/>
    <m/>
    <m/>
    <s v="Nathalia Louiz"/>
    <n v="-240"/>
    <s v="Saída"/>
    <x v="0"/>
  </r>
  <r>
    <x v="183"/>
    <s v="Itaú - Lisboa e Lisboa"/>
    <s v="Taxa de Condomínio Vaga Garagem A-83"/>
    <x v="10"/>
    <x v="1"/>
    <s v="ATON BUSINESS STYLE"/>
    <s v="ATON BUSINESS STYLE"/>
    <m/>
    <m/>
    <s v="Thaynara Borges"/>
    <n v="-62.11"/>
    <s v="Saída"/>
    <x v="0"/>
  </r>
  <r>
    <x v="183"/>
    <s v="Itaú - Lisboa e Lisboa"/>
    <s v="Taxa de Condomínio Vaga Garagem A-78"/>
    <x v="10"/>
    <x v="1"/>
    <s v="ATON BUSINESS STYLE"/>
    <s v="ATON BUSINESS STYLE"/>
    <m/>
    <m/>
    <s v="Thaynara Borges"/>
    <n v="-62.11"/>
    <s v="Saída"/>
    <x v="0"/>
  </r>
  <r>
    <x v="183"/>
    <s v="Itaú - Lisboa e Lisboa"/>
    <s v="Taxa de Condomínio Vaga Garagem A-81"/>
    <x v="10"/>
    <x v="1"/>
    <s v="ATON BUSINESS STYLE"/>
    <s v="ATON BUSINESS STYLE"/>
    <m/>
    <m/>
    <s v="Thaynara Borges"/>
    <n v="-62.11"/>
    <s v="Saída"/>
    <x v="0"/>
  </r>
  <r>
    <x v="183"/>
    <s v="Banco do Brasil - Sarah Alves Lisboa"/>
    <s v="30% Implantação"/>
    <x v="2"/>
    <x v="2"/>
    <s v="AGDA SODRE DA SILVA SOUZA"/>
    <s v="AGDA SODRE DA SILVA SOUZA"/>
    <m/>
    <s v="BENEFÍCIO POR INCAPACIDADE"/>
    <s v="Nathalia Louiz"/>
    <n v="2816.4"/>
    <s v="Entrada"/>
    <x v="1"/>
  </r>
  <r>
    <x v="183"/>
    <s v="Itaú - Lisboa e Lisboa"/>
    <s v="Taxa de Condomínio Sala B-74"/>
    <x v="10"/>
    <x v="1"/>
    <s v="ATON BUSINESS STYLE"/>
    <s v="ATON BUSINESS STYLE"/>
    <m/>
    <m/>
    <s v="Thaynara Borges"/>
    <n v="-1254.08"/>
    <s v="Saída"/>
    <x v="0"/>
  </r>
  <r>
    <x v="183"/>
    <s v="Itaú - Lisboa e Lisboa"/>
    <s v="Pagamento Cartão de Crédito Dr Ivanildo"/>
    <x v="6"/>
    <x v="1"/>
    <s v="BANCO ITAU"/>
    <s v="BANCO ITAU"/>
    <m/>
    <m/>
    <s v="Nathalia Louiz"/>
    <n v="-1641.71"/>
    <s v="Saída"/>
    <x v="0"/>
  </r>
  <r>
    <x v="183"/>
    <s v="Banco do Brasil - Sarah Alves Lisboa"/>
    <s v="3 BENEFICIOS"/>
    <x v="2"/>
    <x v="2"/>
    <s v="SERGIO HENRIQUE  MOREIRA LOPES"/>
    <s v="SERGIO HENRIQUE  MOREIRA LOPES"/>
    <m/>
    <s v="BENEFÍCIO POR INCAPACIDADE"/>
    <s v="Nathalia Louiz"/>
    <n v="1008"/>
    <s v="Entrada"/>
    <x v="1"/>
  </r>
  <r>
    <x v="183"/>
    <s v="Itaú - Lisboa e Lisboa"/>
    <s v="Taxa de Condomínio Vaga Garagem A-82"/>
    <x v="10"/>
    <x v="1"/>
    <s v="ATON BUSINESS STYLE"/>
    <s v="ATON BUSINESS STYLE"/>
    <m/>
    <m/>
    <s v="Thaynara Borges"/>
    <n v="-62.11"/>
    <s v="Saída"/>
    <x v="0"/>
  </r>
  <r>
    <x v="183"/>
    <s v="Banco do Brasil - Sarah Alves Lisboa"/>
    <s v="30% Sob  recebidos"/>
    <x v="2"/>
    <x v="2"/>
    <s v="Juarez Fernandes Da Silva"/>
    <s v="Juarez Fernandes Da Silva"/>
    <m/>
    <s v="Juarez Fernandes Da Silva x Banco Inbursa S.a."/>
    <s v="Nathalia Louiz"/>
    <n v="2512.9899999999998"/>
    <s v="Entrada"/>
    <x v="1"/>
  </r>
  <r>
    <x v="183"/>
    <s v="Banco do Brasil - Sarah Alves Lisboa"/>
    <s v="Pagamentos - 2 inicias extras (Revisão de RMI - Cairo Osmundo - Revisão de RMI - Jario Alves Duarte)"/>
    <x v="42"/>
    <x v="6"/>
    <s v="Dra Raffaela Nunes"/>
    <s v="Dra Raffaela Nunes"/>
    <m/>
    <m/>
    <s v="Nathalia Louiz"/>
    <n v="-400"/>
    <s v="Saída"/>
    <x v="0"/>
  </r>
  <r>
    <x v="183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83"/>
    <s v="Itaú - Lisboa e Lisboa"/>
    <s v="Taxa de Condomínio Vaga Garagem A-88"/>
    <x v="10"/>
    <x v="1"/>
    <s v="ATON BUSINESS STYLE"/>
    <s v="ATON BUSINESS STYLE"/>
    <m/>
    <m/>
    <s v="Thaynara Borges"/>
    <n v="-62.11"/>
    <s v="Saída"/>
    <x v="0"/>
  </r>
  <r>
    <x v="184"/>
    <s v="Itaú - Lisboa e Lisboa"/>
    <s v="CONTRATO 9309114969"/>
    <x v="8"/>
    <x v="1"/>
    <s v="VIVO FIXO"/>
    <s v="VIVO FIXO"/>
    <m/>
    <m/>
    <s v="Thaynara Borges"/>
    <n v="-88.94"/>
    <s v="Saída"/>
    <x v="0"/>
  </r>
  <r>
    <x v="184"/>
    <s v="Banco do Brasil - Sarah Alves Lisboa"/>
    <s v="Celular"/>
    <x v="8"/>
    <x v="1"/>
    <s v="VIVO"/>
    <s v="VIVO"/>
    <m/>
    <m/>
    <s v="Thaynara Borges"/>
    <n v="-137.37"/>
    <s v="Saída"/>
    <x v="0"/>
  </r>
  <r>
    <x v="184"/>
    <s v="Itaú - Lisboa e Lisboa"/>
    <s v="Honorário de SCB"/>
    <x v="2"/>
    <x v="2"/>
    <s v="ESPÓLIO DE REGINALDO DE SOUZA LIRA"/>
    <s v="ESPÓLIO DE REGINALDO DE SOUZA LIRA"/>
    <m/>
    <s v="AÇÃO ACIDENTÁRIA (RESTABELECIMENTO DE AUXÍLIO-DOENÇA/CONCESSÃO DE AUXÍLIO-ACIDENTE/AP. POR INVALIDEZ"/>
    <s v="Nathalia Louiz"/>
    <n v="5455.92"/>
    <s v="Entrada"/>
    <x v="1"/>
  </r>
  <r>
    <x v="184"/>
    <s v="Itaú - Lisboa e Lisboa"/>
    <s v="CONTRATO 9621661899"/>
    <x v="8"/>
    <x v="1"/>
    <s v="VIVO FIXO"/>
    <s v="VIVO FIXO"/>
    <m/>
    <m/>
    <s v="Thaynara Borges"/>
    <n v="-260.58"/>
    <s v="Saída"/>
    <x v="0"/>
  </r>
  <r>
    <x v="184"/>
    <s v="Itaú - Lisboa e Lisboa"/>
    <s v="Honorário contratual Espólio"/>
    <x v="2"/>
    <x v="2"/>
    <s v="ESPÓLIO DE REGINALDO DE SOUZA LIRA"/>
    <s v="ESPÓLIO DE REGINALDO DE SOUZA LIRA"/>
    <m/>
    <s v="AÇÃO ACIDENTÁRIA (RESTABELECIMENTO DE AUXÍLIO-DOENÇA/CONCESSÃO DE AUXÍLIO-ACIDENTE/AP. POR INVALIDEZ"/>
    <s v="Nathalia Louiz"/>
    <n v="20114.2"/>
    <s v="Entrada"/>
    <x v="1"/>
  </r>
  <r>
    <x v="185"/>
    <s v="Itaú - Lisboa e Lisboa"/>
    <s v="Pagamento Cartão de Crédito Dra Sarah"/>
    <x v="6"/>
    <x v="1"/>
    <s v="BANCO ITAU"/>
    <s v="BANCO ITAU"/>
    <m/>
    <m/>
    <s v="Nathalia Louiz"/>
    <n v="-1346.56"/>
    <s v="Saída"/>
    <x v="0"/>
  </r>
  <r>
    <x v="186"/>
    <s v="Itaú - Lisboa e Lisboa"/>
    <s v="PAGAMENTO DE HONORÁRIOS"/>
    <x v="2"/>
    <x v="2"/>
    <s v="VALDIR DE PAIVA BRASIL"/>
    <s v="VALDIR DE PAIVA BRASIL"/>
    <m/>
    <s v="PENSÃO POR MORTE"/>
    <s v="Nathalia Louiz"/>
    <n v="300"/>
    <s v="Entrada"/>
    <x v="2"/>
  </r>
  <r>
    <x v="186"/>
    <s v="Itaú - Lisboa e Lisboa"/>
    <s v="IEL Estagiárias"/>
    <x v="13"/>
    <x v="6"/>
    <s v="IEL"/>
    <s v="IEL"/>
    <m/>
    <m/>
    <s v="Thaynara Borges"/>
    <n v="-106.73"/>
    <s v="Saída"/>
    <x v="0"/>
  </r>
  <r>
    <x v="186"/>
    <s v="Banco do Brasil - Sarah Alves Lisboa"/>
    <s v="Honorários (3x1500,00) 50% DR GUSTAVO"/>
    <x v="2"/>
    <x v="2"/>
    <s v="ELISEU FRADIQUE MARÇAL"/>
    <s v="ELISEU FRADIQUE MARÇAL"/>
    <m/>
    <s v="RECISÃO DE CONTRATO"/>
    <s v="Nathalia Louiz"/>
    <n v="1500"/>
    <s v="Entrada"/>
    <x v="1"/>
  </r>
  <r>
    <x v="186"/>
    <s v="Banco do Brasil - Sarah Alves Lisboa"/>
    <s v="Tarifa Bancária"/>
    <x v="4"/>
    <x v="3"/>
    <s v="BANCO DO BRASIL S/A"/>
    <s v="BANCO DO BRASIL S/A"/>
    <m/>
    <m/>
    <s v="Thaynara Borges"/>
    <n v="-15.9"/>
    <s v="Saída"/>
    <x v="0"/>
  </r>
  <r>
    <x v="187"/>
    <s v="Itaú - Lisboa e Lisboa"/>
    <s v="40% Sob precatório"/>
    <x v="2"/>
    <x v="2"/>
    <s v="ROGERIO JOSE DA SILVEIRA"/>
    <s v="ROGERIO JOSE DA SILVEIRA"/>
    <m/>
    <s v="APOSENTADORIA ESPECIAL/ ELETRICISTA"/>
    <s v="Nathalia Louiz"/>
    <n v="120222.73"/>
    <s v="Entrada"/>
    <x v="1"/>
  </r>
  <r>
    <x v="187"/>
    <s v="Banco do Brasil - Sarah Alves Lisboa"/>
    <s v="ANUIDADE (3 BENEFICIOS)"/>
    <x v="2"/>
    <x v="2"/>
    <s v="DARLENE CAIXETA DOS SANTOS"/>
    <s v="DARLENE CAIXETA DOS SANTOS"/>
    <m/>
    <s v="BENEFÍCIO POR INCAPACIDADE"/>
    <s v="Nathalia Louiz"/>
    <n v="455.4"/>
    <s v="Entrada"/>
    <x v="1"/>
  </r>
  <r>
    <x v="187"/>
    <s v="Banco do Brasil - Sarah Alves Lisboa"/>
    <s v="Instalação de defletor - Escritório"/>
    <x v="14"/>
    <x v="1"/>
    <s v="LOURIVALDO SANTOS DE SOUZA"/>
    <s v="LOURIVALDO SANTOS DE SOUZA"/>
    <m/>
    <m/>
    <s v="Nathalia Louiz"/>
    <n v="-30"/>
    <s v="Saída"/>
    <x v="0"/>
  </r>
  <r>
    <x v="187"/>
    <s v="Itaú - Lisboa e Lisboa"/>
    <s v="30% SOB PRECATÓRIO"/>
    <x v="2"/>
    <x v="2"/>
    <s v="JOSE RENATO MARTINS"/>
    <s v="JOSE RENATO MARTINS"/>
    <m/>
    <s v="APOSENTADORIA POR TEMPO DE CONTRIBUIÇÃO"/>
    <s v="Nathalia Louiz"/>
    <n v="73754.080000000002"/>
    <s v="Entrada"/>
    <x v="1"/>
  </r>
  <r>
    <x v="187"/>
    <s v="Banco do Brasil - Sarah Alves Lisboa"/>
    <s v="Comissão Vanessa"/>
    <x v="28"/>
    <x v="7"/>
    <s v="TEREZINHA CUSTODIO DE OLIVEIRA"/>
    <s v="TEREZINHA CUSTODIO DE OLIVEIRA"/>
    <m/>
    <s v="PENSÃO POR MORTE"/>
    <s v="Nathalia Louiz"/>
    <n v="-2488.73"/>
    <s v="Saída"/>
    <x v="0"/>
  </r>
  <r>
    <x v="187"/>
    <s v="Itaú - Lisboa e Lisboa"/>
    <s v="3 SALÁRIOS DE BENEFICIO (1000,00 + 5X 710,80)"/>
    <x v="2"/>
    <x v="2"/>
    <s v="ALDENY TELES DE OLIVEIRA NUNES"/>
    <s v="ALDENY TELES DE OLIVEIRA NUNES"/>
    <m/>
    <s v="APOSENTADORIA POR IDADE"/>
    <s v="Nathalia Louiz"/>
    <n v="707.94999999999993"/>
    <s v="Entrada"/>
    <x v="1"/>
  </r>
  <r>
    <x v="188"/>
    <s v="Itaú - Lisboa e Lisboa"/>
    <s v="Distribuição de Lucros"/>
    <x v="22"/>
    <x v="8"/>
    <s v="Thaynara Borges Pereira"/>
    <s v="Thaynara Borges Pereira"/>
    <m/>
    <m/>
    <s v="Nathalia Louiz"/>
    <n v="-20000"/>
    <s v="Saída"/>
    <x v="0"/>
  </r>
  <r>
    <x v="188"/>
    <s v="Banco do Brasil - Sarah Alves Lisboa"/>
    <s v="PAGAMENTO DE COMISSÃO E AJUDAS DE CUSTO"/>
    <x v="28"/>
    <x v="7"/>
    <s v="SEBASTIAO PEIXOTO DE OLIVEIRA"/>
    <s v="SEBASTIAO PEIXOTO DE OLIVEIRA"/>
    <m/>
    <m/>
    <s v="Nathalia Louiz"/>
    <n v="-1000"/>
    <s v="Saída"/>
    <x v="0"/>
  </r>
  <r>
    <x v="188"/>
    <s v="Itaú - Lisboa e Lisboa"/>
    <s v="Distribuição de Lucros"/>
    <x v="22"/>
    <x v="8"/>
    <s v="SARAH ALVES LISBOA"/>
    <s v="SARAH ALVES LISBOA"/>
    <m/>
    <m/>
    <s v="Nathalia Louiz"/>
    <n v="-30000"/>
    <s v="Saída"/>
    <x v="0"/>
  </r>
  <r>
    <x v="188"/>
    <s v="Banco do Brasil - Sarah Alves Lisboa"/>
    <s v="AJUDA IDA À EDILÂNDIA"/>
    <x v="28"/>
    <x v="7"/>
    <s v="Maria Eduarda"/>
    <s v="Maria Eduarda"/>
    <m/>
    <m/>
    <s v="Thaynara Borges"/>
    <n v="-100"/>
    <s v="Saída"/>
    <x v="0"/>
  </r>
  <r>
    <x v="188"/>
    <s v="Banco do Brasil - Sarah Alves Lisboa"/>
    <s v="Pagamento de peças - Iniciais"/>
    <x v="42"/>
    <x v="6"/>
    <s v="Dra Raffaela Nunes"/>
    <s v="Dra Raffaela Nunes"/>
    <m/>
    <m/>
    <s v="Nathalia Louiz"/>
    <n v="-200"/>
    <s v="Saída"/>
    <x v="0"/>
  </r>
  <r>
    <x v="188"/>
    <s v="Banco do Brasil - Sarah Alves Lisboa"/>
    <s v="Chocolates: Clientes / Escritório"/>
    <x v="11"/>
    <x v="1"/>
    <s v="ASSAI ATACADISTA"/>
    <s v="ASSAI ATACADISTA"/>
    <m/>
    <m/>
    <s v="Nathalia Louiz"/>
    <n v="-89.14"/>
    <s v="Saída"/>
    <x v="0"/>
  </r>
  <r>
    <x v="188"/>
    <s v="Banco do Brasil - Sarah Alves Lisboa"/>
    <s v="LIMPEZA"/>
    <x v="9"/>
    <x v="1"/>
    <s v="ELIZANGELA FERREIRA DA SILVA"/>
    <s v="ELIZANGELA FERREIRA DA SILVA"/>
    <m/>
    <m/>
    <s v="Nathalia Louiz"/>
    <n v="-170"/>
    <s v="Saída"/>
    <x v="0"/>
  </r>
  <r>
    <x v="188"/>
    <s v="Banco do Brasil - Sarah Alves Lisboa"/>
    <s v="Especialização - Dra. Raffaela"/>
    <x v="32"/>
    <x v="6"/>
    <s v="FASBEN SAO BENTO EDUCACIONAL LTDA"/>
    <s v="FASBEN SAO BENTO EDUCACIONAL LTDA"/>
    <m/>
    <m/>
    <s v="Nathalia Louiz"/>
    <n v="-489.3"/>
    <s v="Saída"/>
    <x v="0"/>
  </r>
  <r>
    <x v="188"/>
    <s v="Banco do Brasil - Sarah Alves Lisboa"/>
    <s v="Combustível - Viagem Sarah"/>
    <x v="35"/>
    <x v="4"/>
    <s v="POSTO ANTONELLI"/>
    <s v="POSTO ANTONELLI"/>
    <m/>
    <m/>
    <s v="Nathalia Louiz"/>
    <n v="-227.71"/>
    <s v="Saída"/>
    <x v="0"/>
  </r>
  <r>
    <x v="188"/>
    <s v="Banco do Brasil - Sarah Alves Lisboa"/>
    <s v="Pia para banheiro do escritório"/>
    <x v="14"/>
    <x v="1"/>
    <s v="GEAN CARLOS DE SOUZA"/>
    <s v="GEAN CARLOS DE SOUZA"/>
    <m/>
    <m/>
    <s v="Nathalia Louiz"/>
    <n v="-1200"/>
    <s v="Saída"/>
    <x v="0"/>
  </r>
  <r>
    <x v="188"/>
    <s v="Itaú - Lisboa e Lisboa"/>
    <s v="3 SALÁRIOS DE BENEFICIO (Entrada de 1000,00 + 6x de 492,33 no boleto)"/>
    <x v="2"/>
    <x v="2"/>
    <s v="Maura Cardoso Borges"/>
    <s v="Maura Cardoso Borges"/>
    <m/>
    <s v="APOSENTADORIA POR IDADE"/>
    <s v="Nathalia Louiz"/>
    <n v="492.33"/>
    <s v="Entrada"/>
    <x v="2"/>
  </r>
  <r>
    <x v="189"/>
    <s v="Cartão de Crédito Dra Thaynara"/>
    <s v="Pagamento Cartão de Crédito Dra Thaynara"/>
    <x v="6"/>
    <x v="1"/>
    <s v="C6"/>
    <s v="C6"/>
    <m/>
    <m/>
    <s v="Nathalia Louiz"/>
    <n v="1251.8"/>
    <s v="Entrada"/>
    <x v="1"/>
  </r>
  <r>
    <x v="189"/>
    <s v="Banco do Brasil - Sarah Alves Lisboa"/>
    <s v="Retirada de Lucros"/>
    <x v="22"/>
    <x v="8"/>
    <s v="SARAH ALVES LISBOA"/>
    <s v="SARAH ALVES LISBOA"/>
    <m/>
    <m/>
    <s v="Nathalia Louiz"/>
    <n v="-12000"/>
    <s v="Saída"/>
    <x v="0"/>
  </r>
  <r>
    <x v="189"/>
    <s v="Banco do Brasil - Sarah Alves Lisboa"/>
    <s v="50% parceria"/>
    <x v="28"/>
    <x v="7"/>
    <s v="ELISEU FRADIQUE MARÇAL"/>
    <s v="ELISEU FRADIQUE MARÇAL"/>
    <m/>
    <s v="RECISÃO DE CONTRATO"/>
    <s v="Nathalia Louiz"/>
    <n v="-750"/>
    <s v="Saída"/>
    <x v="0"/>
  </r>
  <r>
    <x v="189"/>
    <s v="Banco do Brasil - Sarah Alves Lisboa"/>
    <s v="Cartão de Crédito Dra Thaynara"/>
    <x v="6"/>
    <x v="1"/>
    <s v="C6"/>
    <s v="C6"/>
    <m/>
    <m/>
    <s v="Thaynara Borges"/>
    <n v="-1251.8"/>
    <s v="Saída"/>
    <x v="0"/>
  </r>
  <r>
    <x v="189"/>
    <s v="Cartão de Crédito Dra Thaynara"/>
    <s v="ASTREA"/>
    <x v="12"/>
    <x v="1"/>
    <s v="C6"/>
    <s v="C6"/>
    <m/>
    <m/>
    <s v="Thaynara Borges"/>
    <n v="-653.29999999999995"/>
    <s v="Saída"/>
    <x v="0"/>
  </r>
  <r>
    <x v="189"/>
    <s v="Cartão de Crédito Dra Thaynara"/>
    <s v="Pós graduação - Dra Thaynara"/>
    <x v="32"/>
    <x v="6"/>
    <s v="ASA*CURSOSESPECCIALJUS"/>
    <s v="ASA*CURSOSESPECCIALJUS"/>
    <m/>
    <m/>
    <s v="Nathalia Louiz"/>
    <n v="-229"/>
    <s v="Saída"/>
    <x v="0"/>
  </r>
  <r>
    <x v="189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189"/>
    <s v="Cartão de Crédito Dra Thaynara"/>
    <s v="Cálculo Jurídico"/>
    <x v="12"/>
    <x v="1"/>
    <s v="C6"/>
    <s v="C6"/>
    <m/>
    <m/>
    <s v="Thaynara Borges"/>
    <n v="-120.29"/>
    <s v="Saída"/>
    <x v="0"/>
  </r>
  <r>
    <x v="190"/>
    <s v="Banco do Brasil - Sarah Alves Lisboa"/>
    <s v="Reembolso de Certidão Solicitada"/>
    <x v="37"/>
    <x v="10"/>
    <s v="MARIA DA GLORIA RESENDE PAULA"/>
    <s v="MARIA DA GLORIA RESENDE PAULA"/>
    <m/>
    <s v="EMBARGOS DE TERCEIRO"/>
    <s v="Nathalia Louiz"/>
    <n v="-139.04"/>
    <s v="Saída"/>
    <x v="0"/>
  </r>
  <r>
    <x v="190"/>
    <s v="Itaú - Lisboa e Lisboa"/>
    <s v="Peças de exaustor - Banheiro (reforma)"/>
    <x v="14"/>
    <x v="1"/>
    <s v="[$empty$]"/>
    <s v="[$empty$]"/>
    <m/>
    <m/>
    <s v="Nathalia Louiz"/>
    <n v="-136.88999999999999"/>
    <s v="Saída"/>
    <x v="0"/>
  </r>
  <r>
    <x v="190"/>
    <s v="Itaú - Lisboa e Lisboa"/>
    <s v="30% + Saldo devedor 3 beneficios"/>
    <x v="2"/>
    <x v="2"/>
    <s v="DARLENE CAIXETA DOS SANTOS"/>
    <s v="DARLENE CAIXETA DOS SANTOS"/>
    <m/>
    <s v="BENEFÍCIO POR INCAPACIDADE"/>
    <s v="Nathalia Louiz"/>
    <n v="3843.08"/>
    <s v="Entrada"/>
    <x v="1"/>
  </r>
  <r>
    <x v="190"/>
    <s v="Banco do Brasil - Sarah Alves Lisboa"/>
    <s v="Espelho e Janela - Janela Sarah"/>
    <x v="14"/>
    <x v="1"/>
    <s v="Eduardo S. Oliveira"/>
    <s v="Eduardo S. Oliveira"/>
    <m/>
    <m/>
    <s v="Nathalia Louiz"/>
    <n v="-400"/>
    <s v="Saída"/>
    <x v="0"/>
  </r>
  <r>
    <x v="190"/>
    <s v="Banco do Brasil - Sarah Alves Lisboa"/>
    <s v="Contrato de honorários: 40% + 3 benefícios = 3.962,60 (40%) + 8.484,99 (3 benefícios) = 12.447,59"/>
    <x v="2"/>
    <x v="2"/>
    <s v="ADILSON GOMES GUIMARAES"/>
    <s v="ADILSON GOMES GUIMARAES"/>
    <m/>
    <s v="BENEFICIO POR INCAPACIDADE"/>
    <s v="Nathalia Louiz"/>
    <n v="4155"/>
    <s v="Entrada"/>
    <x v="1"/>
  </r>
  <r>
    <x v="190"/>
    <s v="Itaú - Lisboa e Lisboa"/>
    <s v="3 SALÁRIOS DE BENEFICIOS (R$ 8.269,50 em 8 vezes)"/>
    <x v="2"/>
    <x v="2"/>
    <s v="COSME DOS SANTOS VAZ"/>
    <s v="COSME DOS SANTOS VAZ"/>
    <m/>
    <s v="APOSENTADORIA POR IDADE"/>
    <s v="Nathalia Louiz"/>
    <n v="1052.19"/>
    <s v="Entrada"/>
    <x v="1"/>
  </r>
  <r>
    <x v="190"/>
    <s v="Itaú - Lisboa e Lisboa"/>
    <s v="Tintas da reforma"/>
    <x v="14"/>
    <x v="1"/>
    <s v="BEIJA-FLOR TINTAS"/>
    <s v="BEIJA-FLOR TINTAS"/>
    <m/>
    <m/>
    <s v="Nathalia Louiz"/>
    <n v="-290"/>
    <s v="Saída"/>
    <x v="0"/>
  </r>
  <r>
    <x v="191"/>
    <s v="Itaú - Lisboa e Lisboa"/>
    <s v="40% SOB RPV + R$ 6.045,54 (RESTANTE DA ANUIDADE)"/>
    <x v="2"/>
    <x v="2"/>
    <s v="SERGIO HENRIQUE  MOREIRA LOPES"/>
    <s v="SERGIO HENRIQUE  MOREIRA LOPES"/>
    <m/>
    <s v="BENEFÍCIO POR INCAPACIDADE"/>
    <s v="Nathalia Louiz"/>
    <n v="15712.94"/>
    <s v="Entrada"/>
    <x v="1"/>
  </r>
  <r>
    <x v="191"/>
    <s v="Banco do Brasil - Sarah Alves Lisboa"/>
    <s v="Extra (Uber) - Limpeza reforma do banheiro"/>
    <x v="9"/>
    <x v="1"/>
    <s v="ELIZANGELA FERREIRA DA SILVA"/>
    <s v="ELIZANGELA FERREIRA DA SILVA"/>
    <m/>
    <m/>
    <s v="Nathalia Louiz"/>
    <n v="-50"/>
    <s v="Saída"/>
    <x v="0"/>
  </r>
  <r>
    <x v="191"/>
    <s v="Itaú - Lisboa e Lisboa"/>
    <s v="30% SOB RPV"/>
    <x v="2"/>
    <x v="2"/>
    <s v="DEA LUCIA DA SILVA DAVID"/>
    <s v="DEA LUCIA DA SILVA DAVID"/>
    <m/>
    <s v="APOSENTADORIA POR IDADE"/>
    <s v="Nathalia Louiz"/>
    <n v="40664.550000000003"/>
    <s v="Entrada"/>
    <x v="1"/>
  </r>
  <r>
    <x v="191"/>
    <s v="Itaú - Lisboa e Lisboa"/>
    <s v="Contrato 40% 40% = R$ 2.831,20 - RPV"/>
    <x v="2"/>
    <x v="2"/>
    <s v="LUZIMEIRE MARTINS COSTA ALVES"/>
    <s v="LUZIMEIRE MARTINS COSTA ALVES"/>
    <m/>
    <s v="BENEFÍCIO POR  INCAPACIDADE"/>
    <s v="Nathalia Louiz"/>
    <n v="2831.2"/>
    <s v="Entrada"/>
    <x v="1"/>
  </r>
  <r>
    <x v="191"/>
    <s v="Itaú - Lisboa e Lisboa"/>
    <s v="Contrato = 30+20% 30%= 3.945,54 20% está pagando boletos"/>
    <x v="2"/>
    <x v="2"/>
    <s v="NATANNE KELLY REIS DE SOUZA"/>
    <s v="NATANNE KELLY REIS DE SOUZA"/>
    <m/>
    <s v="BENEFÍCIO ASSISTENCIAL"/>
    <s v="Nathalia Louiz"/>
    <n v="3945.54"/>
    <s v="Entrada"/>
    <x v="1"/>
  </r>
  <r>
    <x v="191"/>
    <s v="Itaú - Lisboa e Lisboa"/>
    <s v="Valor dos honorários R$ 201,999,94 sendo;  20% de R$ 956.857,42 =191.371,48 20% de 1 anuidade sobre as diferenças, R$ 4.087,87 X 13 = R$ 53.142,31 X 20% = R$ 10.628,46."/>
    <x v="2"/>
    <x v="2"/>
    <s v="Selma Regina Gebrim Ribeiro"/>
    <s v="Selma Regina Gebrim Ribeiro"/>
    <m/>
    <s v="Selma Regina Gebrim Ribeiro x INSS"/>
    <s v="Nathalia Louiz"/>
    <n v="201999.94"/>
    <s v="Entrada"/>
    <x v="1"/>
  </r>
  <r>
    <x v="191"/>
    <s v="Itaú - Lisboa e Lisboa"/>
    <s v="Contrato 40% - 40%= 2.503,79 Tem parceria com Dr Gustavo (50%)"/>
    <x v="2"/>
    <x v="2"/>
    <s v="RAFAELA DAMASIO DE ALMEIDA"/>
    <s v="RAFAELA DAMASIO DE ALMEIDA"/>
    <m/>
    <s v="SALÁRIO MATERNIDADE"/>
    <s v="Nathalia Louiz"/>
    <n v="2503.79"/>
    <s v="Entrada"/>
    <x v="1"/>
  </r>
  <r>
    <x v="191"/>
    <s v="Itaú - Lisboa e Lisboa"/>
    <s v="3 beneficios"/>
    <x v="2"/>
    <x v="2"/>
    <s v="ELIO DIVINO NUNES DE BARROS"/>
    <s v="ELIO DIVINO NUNES DE BARROS"/>
    <m/>
    <s v="APOSENTADORIA POR IDADE"/>
    <s v="Nathalia Louiz"/>
    <n v="3525.48"/>
    <s v="Entrada"/>
    <x v="1"/>
  </r>
  <r>
    <x v="191"/>
    <s v="Itaú - Lisboa e Lisboa"/>
    <s v="Contrato 30% 30%= R$ 6.273,90 - RPV"/>
    <x v="2"/>
    <x v="2"/>
    <s v="Maria Alves Madureira"/>
    <s v="Maria Alves Madureira"/>
    <m/>
    <s v="AUXILIO DOENÇA/ APOSENTADORIA POR INVALIDEZ"/>
    <s v="Nathalia Louiz"/>
    <n v="6273.9"/>
    <s v="Entrada"/>
    <x v="1"/>
  </r>
  <r>
    <x v="191"/>
    <s v="Itaú - Lisboa e Lisboa"/>
    <s v="Contrato 30+20% 30%= R$ 5.558,56 20%= R$ 3.946,80"/>
    <x v="2"/>
    <x v="2"/>
    <s v="LENY CORREIA DOS SANTOS"/>
    <s v="LENY CORREIA DOS SANTOS"/>
    <m/>
    <s v="APOSENTADORIA HÍBRIDA"/>
    <s v="Nathalia Louiz"/>
    <n v="9505.36"/>
    <s v="Entrada"/>
    <x v="1"/>
  </r>
  <r>
    <x v="192"/>
    <s v="Banco do Brasil - Sarah Alves Lisboa"/>
    <s v="30% Sob implantação"/>
    <x v="2"/>
    <x v="2"/>
    <s v="REGINA CELIA COLLIENNE"/>
    <s v="REGINA CELIA COLLIENNE"/>
    <m/>
    <s v="BENEFÍCIO POR INCAPACIDADE"/>
    <s v="Nathalia Louiz"/>
    <n v="91.08"/>
    <s v="Entrada"/>
    <x v="1"/>
  </r>
  <r>
    <x v="192"/>
    <s v="Banco do Brasil - Sarah Alves Lisboa"/>
    <s v="Parceria 50% DR GUSTAVO"/>
    <x v="28"/>
    <x v="7"/>
    <s v="RAFAELA DAMASIO DE ALMEIDA"/>
    <s v="RAFAELA DAMASIO DE ALMEIDA"/>
    <m/>
    <s v="SALÁRIO MATERNIDADE"/>
    <s v="Nathalia Louiz"/>
    <n v="-1251.8900000000001"/>
    <s v="Saída"/>
    <x v="0"/>
  </r>
  <r>
    <x v="193"/>
    <s v="Banco do Brasil - Sarah Alves Lisboa"/>
    <s v="Consulta de ROBERT LUCAS FERNANDES LOGRADO (Não virou ação)"/>
    <x v="2"/>
    <x v="2"/>
    <s v="CARNEIRO E OLIVEIRA ADVOGADOS"/>
    <s v="CARNEIRO E OLIVEIRA ADVOGADOS"/>
    <m/>
    <m/>
    <s v="Nathalia Louiz"/>
    <n v="200"/>
    <s v="Entrada"/>
    <x v="1"/>
  </r>
  <r>
    <x v="193"/>
    <s v="Itaú - Lisboa e Lisboa"/>
    <s v="30% Sob Implantação (2x)"/>
    <x v="2"/>
    <x v="2"/>
    <s v="MARLENE MARIA DOS SANTOS"/>
    <s v="MARLENE MARIA DOS SANTOS"/>
    <m/>
    <s v="BENEFÍCIO POR INCAPACIDADE"/>
    <s v="Nathalia Louiz"/>
    <n v="224.85"/>
    <s v="Entrada"/>
    <x v="1"/>
  </r>
  <r>
    <x v="193"/>
    <s v="Itaú - Lisboa e Lisboa"/>
    <s v="FGTS"/>
    <x v="18"/>
    <x v="6"/>
    <s v="FGTS"/>
    <s v="FGTS"/>
    <m/>
    <m/>
    <s v="Thaynara Borges"/>
    <n v="-789.17"/>
    <s v="Saída"/>
    <x v="0"/>
  </r>
  <r>
    <x v="193"/>
    <s v="Itaú - Lisboa e Lisboa"/>
    <s v="INSS"/>
    <x v="19"/>
    <x v="6"/>
    <s v="RECEITA FEDERAL"/>
    <s v="RECEITA FEDERAL"/>
    <m/>
    <m/>
    <s v="Thaynara Borges"/>
    <n v="-2885.94"/>
    <s v="Saída"/>
    <x v="0"/>
  </r>
  <r>
    <x v="193"/>
    <s v="Banco do Brasil - Sarah Alves Lisboa"/>
    <s v="Pagamento de peça inicial - Extra"/>
    <x v="42"/>
    <x v="6"/>
    <s v="Dra Raffaela Nunes"/>
    <s v="Dra Raffaela Nunes"/>
    <m/>
    <m/>
    <s v="Nathalia Louiz"/>
    <n v="-300"/>
    <s v="Saída"/>
    <x v="0"/>
  </r>
  <r>
    <x v="193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93"/>
    <s v="Itaú - Lisboa e Lisboa"/>
    <s v="3 salários de beneficio"/>
    <x v="2"/>
    <x v="2"/>
    <s v="NATANNE KELLY REIS DE SOUZA"/>
    <s v="NATANNE KELLY REIS DE SOUZA"/>
    <m/>
    <s v="BENEFÍCIO ASSISTENCIAL"/>
    <s v="Nathalia Louiz"/>
    <n v="462.7"/>
    <s v="Entrada"/>
    <x v="1"/>
  </r>
  <r>
    <x v="194"/>
    <s v="Itaú - Lisboa e Lisboa"/>
    <s v="Material para obra"/>
    <x v="14"/>
    <x v="1"/>
    <s v="PORTAL DISTRIBUIDORA"/>
    <s v="PORTAL DISTRIBUIDORA"/>
    <m/>
    <m/>
    <s v="Nathalia Louiz"/>
    <n v="-494.38"/>
    <s v="Saída"/>
    <x v="0"/>
  </r>
  <r>
    <x v="194"/>
    <s v="Itaú - Lisboa e Lisboa"/>
    <s v="Honorários sob Precatório recebido"/>
    <x v="2"/>
    <x v="2"/>
    <s v="IOLANDA ABADIA DE JESUS DIAS"/>
    <s v="IOLANDA ABADIA DE JESUS DIAS"/>
    <m/>
    <s v="PENSÃO POR MORTE"/>
    <s v="Nathalia Louiz"/>
    <n v="66460.899999999994"/>
    <s v="Entrada"/>
    <x v="1"/>
  </r>
  <r>
    <x v="194"/>
    <s v="Itaú - Lisboa e Lisboa"/>
    <s v="IPTU - SALA B74"/>
    <x v="29"/>
    <x v="1"/>
    <s v="PREFEITURA MUNICIPAL DE GOIÂNIA"/>
    <s v="PREFEITURA MUNICIPAL DE GOIÂNIA"/>
    <m/>
    <m/>
    <s v="Nathalia Louiz"/>
    <n v="-125.57"/>
    <s v="Saída"/>
    <x v="0"/>
  </r>
  <r>
    <x v="194"/>
    <s v="Banco do Brasil - Sarah Alves Lisboa"/>
    <s v="Honorários R$5000,00 (Parceria com Dr Luciano R$2.500) - 5 parcelas para cada."/>
    <x v="2"/>
    <x v="2"/>
    <s v="LUZIA VIEIRA DE JESUS NASCIMENTO"/>
    <s v="LUZIA VIEIRA DE JESUS NASCIMENTO"/>
    <m/>
    <s v="aposentadoria"/>
    <s v="Nathalia Louiz"/>
    <n v="500"/>
    <s v="Entrada"/>
    <x v="1"/>
  </r>
  <r>
    <x v="194"/>
    <s v="Banco do Brasil - Sarah Alves Lisboa"/>
    <s v="COMISSÃO POR REUNIÃO - VIAGEM"/>
    <x v="28"/>
    <x v="7"/>
    <s v="MARIA JOSEFA DA CONCEIÇÃO"/>
    <s v="MARIA JOSEFA DA CONCEIÇÃO"/>
    <m/>
    <m/>
    <s v="Nathalia Louiz"/>
    <n v="-200"/>
    <s v="Saída"/>
    <x v="0"/>
  </r>
  <r>
    <x v="194"/>
    <s v="Itaú - Lisboa e Lisboa"/>
    <s v="Água"/>
    <x v="17"/>
    <x v="1"/>
    <s v="SANEAGO GOIAS S/A"/>
    <s v="SANEAGO GOIAS S/A"/>
    <m/>
    <m/>
    <s v="Thaynara Borges"/>
    <n v="-155.75"/>
    <s v="Saída"/>
    <x v="0"/>
  </r>
  <r>
    <x v="194"/>
    <s v="Itaú - Lisboa e Lisboa"/>
    <s v="35% SOB RPV"/>
    <x v="2"/>
    <x v="2"/>
    <s v="TALYTA VASCONCELOS MELO"/>
    <s v="TALYTA VASCONCELOS MELO"/>
    <m/>
    <s v="SALÁRIO MATERNIDADE"/>
    <s v="Nathalia Louiz"/>
    <n v="2418.21"/>
    <s v="Entrada"/>
    <x v="1"/>
  </r>
  <r>
    <x v="194"/>
    <s v="Itaú - Lisboa e Lisboa"/>
    <s v="Materiais para obra"/>
    <x v="14"/>
    <x v="1"/>
    <s v="BEIJA FLOR TINTAS"/>
    <s v="BEIJA FLOR TINTAS"/>
    <m/>
    <m/>
    <s v="Nathalia Louiz"/>
    <n v="-470"/>
    <s v="Saída"/>
    <x v="0"/>
  </r>
  <r>
    <x v="194"/>
    <s v="Itaú - Lisboa e Lisboa"/>
    <s v="Simples Nacional"/>
    <x v="20"/>
    <x v="7"/>
    <s v="Simples Nacional"/>
    <s v="Simples Nacional"/>
    <m/>
    <m/>
    <s v="Thaynara Borges"/>
    <n v="-2836.64"/>
    <s v="Saída"/>
    <x v="0"/>
  </r>
  <r>
    <x v="195"/>
    <s v="Itaú - Lisboa e Lisboa"/>
    <s v="PLANEJAMENTO"/>
    <x v="2"/>
    <x v="2"/>
    <s v="JOSE VITORIO DE CARVALHO JUNIOR"/>
    <s v="JOSE VITORIO DE CARVALHO JUNIOR"/>
    <m/>
    <s v="PLANEJAMENTO PREVIDENCIÁRIO"/>
    <s v="Thaynara Borges"/>
    <n v="99.45"/>
    <s v="Entrada"/>
    <x v="1"/>
  </r>
  <r>
    <x v="195"/>
    <s v="Itaú - Lisboa e Lisboa"/>
    <s v="Alguel sala - Escritório Girassol"/>
    <x v="43"/>
    <x v="1"/>
    <s v="SARAH ALVES LISBOA"/>
    <s v="SARAH ALVES LISBOA"/>
    <m/>
    <m/>
    <s v="Nathalia Louiz"/>
    <n v="-500"/>
    <s v="Saída"/>
    <x v="0"/>
  </r>
  <r>
    <x v="196"/>
    <s v="Itaú - Lisboa e Lisboa"/>
    <s v="Persinas para escritorio"/>
    <x v="14"/>
    <x v="1"/>
    <s v="CENTERFLEX PERSIANAS E CORTINAS"/>
    <s v="CENTERFLEX PERSIANAS E CORTINAS"/>
    <m/>
    <m/>
    <s v="Nathalia Louiz"/>
    <n v="-2300"/>
    <s v="Saída"/>
    <x v="0"/>
  </r>
  <r>
    <x v="196"/>
    <s v="Itaú - Lisboa e Lisboa"/>
    <s v="Prêmio Águia Americana - São Paulo"/>
    <x v="27"/>
    <x v="4"/>
    <s v="INQS - Instituto Nacional da Qualidade Social"/>
    <s v="INQS - Instituto Nacional da Qualidade Social"/>
    <m/>
    <m/>
    <s v="Nathalia Louiz"/>
    <n v="-925"/>
    <s v="Saída"/>
    <x v="0"/>
  </r>
  <r>
    <x v="196"/>
    <s v="Banco do Brasil - Sarah Alves Lisboa"/>
    <s v="PARCEIRIA DR SILVIO - Honorários de parceria caso VALENTINA SOUSA FONSECA"/>
    <x v="2"/>
    <x v="2"/>
    <s v="VALENTINA SOUSA FONSECA"/>
    <s v="VALENTINA SOUSA FONSECA"/>
    <m/>
    <s v="SOLICITAR PAGAMENTOS NÃO RECEBIDOS"/>
    <s v="Nathalia Louiz"/>
    <n v="153.6"/>
    <s v="Entrada"/>
    <x v="1"/>
  </r>
  <r>
    <x v="196"/>
    <s v="Itaú - Lisboa e Lisboa"/>
    <s v="HONORÁRIOS DE SCB"/>
    <x v="2"/>
    <x v="2"/>
    <s v="MARIA JOSE FONSECA ARAUJO MELO ROSETE GOIS"/>
    <s v="MARIA JOSE FONSECA ARAUJO MELO ROSETE GOIS"/>
    <m/>
    <s v="REVISÃO DE BENEFÍCIO"/>
    <s v="Nathalia Louiz"/>
    <n v="54081.919999999998"/>
    <s v="Entrada"/>
    <x v="1"/>
  </r>
  <r>
    <x v="197"/>
    <s v="Itaú - Lisboa e Lisboa"/>
    <s v="Energia contrato 0067122721"/>
    <x v="21"/>
    <x v="1"/>
    <s v="EQUATORIAL GOIAS 0067122721"/>
    <s v="EQUATORIAL GOIAS 0067122721"/>
    <m/>
    <m/>
    <s v="Thaynara Borges"/>
    <n v="-443.3"/>
    <s v="Saída"/>
    <x v="0"/>
  </r>
  <r>
    <x v="197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97"/>
    <s v="Banco do Brasil - Sarah Alves Lisboa"/>
    <s v="Vidros Janela - Reforma"/>
    <x v="14"/>
    <x v="1"/>
    <s v="Eduardo S. Oliveira"/>
    <s v="Eduardo S. Oliveira"/>
    <m/>
    <m/>
    <s v="Nathalia Louiz"/>
    <n v="-400"/>
    <s v="Saída"/>
    <x v="0"/>
  </r>
  <r>
    <x v="197"/>
    <s v="Itaú - Lisboa e Lisboa"/>
    <s v="Energia contrato 0067122663"/>
    <x v="21"/>
    <x v="1"/>
    <s v="EQUATORIAL GOIAS 0067122663"/>
    <s v="EQUATORIAL GOIAS 0067122663"/>
    <m/>
    <m/>
    <s v="Thaynara Borges"/>
    <n v="-439.04"/>
    <s v="Saída"/>
    <x v="0"/>
  </r>
  <r>
    <x v="197"/>
    <s v="Banco do Brasil - Sarah Alves Lisboa"/>
    <s v="Comissão por reunião"/>
    <x v="28"/>
    <x v="7"/>
    <s v="Maura Cardoso Borges"/>
    <s v="Maura Cardoso Borges"/>
    <m/>
    <m/>
    <s v="Nathalia Louiz"/>
    <n v="-300"/>
    <s v="Saída"/>
    <x v="0"/>
  </r>
  <r>
    <x v="197"/>
    <s v="Banco do Brasil - Sarah Alves Lisboa"/>
    <s v="Pagamento de pecas avulsas - Benefício por incapacidade - Patrícia Godói Pensão por morte - Geralda Nunes"/>
    <x v="28"/>
    <x v="7"/>
    <s v="Dra Raffaela Nunes"/>
    <s v="Dra Raffaela Nunes"/>
    <m/>
    <m/>
    <s v="Nathalia Louiz"/>
    <n v="-400"/>
    <s v="Saída"/>
    <x v="0"/>
  </r>
  <r>
    <x v="198"/>
    <s v="Itaú - Lisboa e Lisboa"/>
    <s v="REFORMA DO ESCRITÓRIO"/>
    <x v="14"/>
    <x v="1"/>
    <s v="WILLIAM DUARTE DE SOUZA"/>
    <s v="WILLIAM DUARTE DE SOUZA"/>
    <m/>
    <m/>
    <s v="Nathalia Louiz"/>
    <n v="-5201.21"/>
    <s v="Saída"/>
    <x v="0"/>
  </r>
  <r>
    <x v="198"/>
    <s v="Banco do Brasil - Sarah Alves Lisboa"/>
    <s v="Parcelamento 3 BENEFICIOS"/>
    <x v="2"/>
    <x v="2"/>
    <s v="MATHEUS HENRIQUE DE CARVALHO MIRANDA"/>
    <s v="MATHEUS HENRIQUE DE CARVALHO MIRANDA"/>
    <m/>
    <s v="PENSÃO POR MORTE - RETROAÇÃO DA DIP"/>
    <s v="Nathalia Louiz"/>
    <n v="563.5"/>
    <s v="Entrada"/>
    <x v="1"/>
  </r>
  <r>
    <x v="198"/>
    <s v="Itaú - Lisboa e Lisboa"/>
    <s v="Pagamento por gestão e execução de processo seletivo"/>
    <x v="34"/>
    <x v="1"/>
    <s v="FLUIR MULTICLINICA EM SAÚDE"/>
    <s v="FLUIR MULTICLINICA EM SAÚDE"/>
    <m/>
    <m/>
    <s v="Nathalia Louiz"/>
    <n v="-700"/>
    <s v="Saída"/>
    <x v="0"/>
  </r>
  <r>
    <x v="199"/>
    <s v="Itaú - Lisboa e Lisboa"/>
    <s v="Comissão sucumbencia Vanessa"/>
    <x v="28"/>
    <x v="7"/>
    <s v="ESPÓLIO DE REGINALDO DE SOUZA LIRA"/>
    <s v="ESPÓLIO DE REGINALDO DE SOUZA LIRA"/>
    <m/>
    <s v="AÇÃO ACIDENTÁRIA (RESTABELECIMENTO DE AUXÍLIO-DOENÇA/CONCESSÃO DE AUXÍLIO-ACIDENTE/AP. POR INVALIDEZ"/>
    <s v="Thaynara Borges"/>
    <n v="-3400.55"/>
    <s v="Saída"/>
    <x v="0"/>
  </r>
  <r>
    <x v="199"/>
    <s v="Itaú - Lisboa e Lisboa"/>
    <s v="Comissao parcela anuidade 1/12 Vanessa"/>
    <x v="28"/>
    <x v="7"/>
    <s v="ISAEL MARCULINO DOS SANTOS"/>
    <s v="ISAEL MARCULINO DOS SANTOS"/>
    <m/>
    <s v="APOSENTADORIA POR TEMPO DE CONTRIBUIÇAO/ PORTADOR DE NECESSIDADES ESPECIAIS"/>
    <s v="Thaynara Borges"/>
    <n v="-372.3"/>
    <s v="Saída"/>
    <x v="0"/>
  </r>
  <r>
    <x v="199"/>
    <s v="Itaú - Lisboa e Lisboa"/>
    <s v="Comissão Vanessa"/>
    <x v="28"/>
    <x v="7"/>
    <s v="DEA LUCIA DA SILVA DAVID"/>
    <s v="DEA LUCIA DA SILVA DAVID"/>
    <m/>
    <s v="APOSENTADORIA POR IDADE"/>
    <s v="Thaynara Borges"/>
    <n v="-25345.39"/>
    <s v="Saída"/>
    <x v="0"/>
  </r>
  <r>
    <x v="199"/>
    <s v="Itaú - Lisboa e Lisboa"/>
    <s v="Retirada"/>
    <x v="22"/>
    <x v="8"/>
    <s v="Thaynara Borges Pereira"/>
    <s v="Thaynara Borges Pereira"/>
    <m/>
    <m/>
    <s v="Thaynara Borges"/>
    <n v="-5000"/>
    <s v="Saída"/>
    <x v="0"/>
  </r>
  <r>
    <x v="199"/>
    <s v="Itaú - Lisboa e Lisboa"/>
    <s v="Comissão anuidade 2/12 Vanessa"/>
    <x v="28"/>
    <x v="7"/>
    <s v="ISAEL MARCULINO DOS SANTOS"/>
    <s v="ISAEL MARCULINO DOS SANTOS"/>
    <m/>
    <s v="APOSENTADORIA POR TEMPO DE CONTRIBUIÇAO/ PORTADOR DE NECESSIDADES ESPECIAIS"/>
    <s v="Thaynara Borges"/>
    <n v="-360.08"/>
    <s v="Saída"/>
    <x v="0"/>
  </r>
  <r>
    <x v="199"/>
    <s v="Itaú - Lisboa e Lisboa"/>
    <s v="Salário"/>
    <x v="15"/>
    <x v="6"/>
    <s v="MARIA EDUARDA DE SOUZA"/>
    <s v="MARIA EDUARDA DE SOUZA"/>
    <m/>
    <m/>
    <s v="Nathalia Louiz"/>
    <n v="-2339.41"/>
    <s v="Saída"/>
    <x v="0"/>
  </r>
  <r>
    <x v="199"/>
    <s v="Banco do Brasil - Sarah Alves Lisboa"/>
    <s v="Comissão para Karine Domingues 30%"/>
    <x v="28"/>
    <x v="7"/>
    <s v="DARLENE CAIXETA DOS SANTOS"/>
    <s v="DARLENE CAIXETA DOS SANTOS"/>
    <m/>
    <s v="BENEFÍCIO POR INCAPACIDADE"/>
    <s v="Thaynara Borges"/>
    <n v="-1026.56"/>
    <s v="Saída"/>
    <x v="0"/>
  </r>
  <r>
    <x v="199"/>
    <s v="Banco do Brasil - Sarah Alves Lisboa"/>
    <s v="Salário"/>
    <x v="15"/>
    <x v="6"/>
    <s v="Raffaela Nunes"/>
    <s v="Raffaela Nunes"/>
    <m/>
    <m/>
    <s v="Thaynara Borges"/>
    <n v="-3500"/>
    <s v="Saída"/>
    <x v="0"/>
  </r>
  <r>
    <x v="199"/>
    <s v="Itaú - Lisboa e Lisboa"/>
    <s v="Comissão Vanessa"/>
    <x v="28"/>
    <x v="7"/>
    <s v="Selma Regina Gebrim Ribeiro"/>
    <s v="Selma Regina Gebrim Ribeiro"/>
    <m/>
    <s v="CONVERSAO DE APOSENTADORIA POR TEMPO DE CONTRIBUIÇAO EM APOSENTADORIA POR INVALIDEZ"/>
    <s v="Thaynara Borges"/>
    <n v="-125902.51"/>
    <s v="Saída"/>
    <x v="0"/>
  </r>
  <r>
    <x v="199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199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199"/>
    <s v="Itaú - Lisboa e Lisboa"/>
    <s v="Comissão Implantação Vanessa"/>
    <x v="28"/>
    <x v="7"/>
    <s v="ISAEL MARCULINO DOS SANTOS"/>
    <s v="ISAEL MARCULINO DOS SANTOS"/>
    <m/>
    <s v="APOSENTADORIA POR TEMPO DE CONTRIBUIÇAO/ PORTADOR DE NECESSIDADES ESPECIAIS"/>
    <s v="Thaynara Borges"/>
    <n v="-2708.37"/>
    <s v="Saída"/>
    <x v="0"/>
  </r>
  <r>
    <x v="199"/>
    <s v="Itaú - Lisboa e Lisboa"/>
    <s v="Salário"/>
    <x v="15"/>
    <x v="6"/>
    <s v="Nina Araujo"/>
    <s v="Nina Araujo"/>
    <m/>
    <m/>
    <s v="Thaynara Borges"/>
    <n v="-3231.22"/>
    <s v="Saída"/>
    <x v="0"/>
  </r>
  <r>
    <x v="199"/>
    <s v="Itaú - Lisboa e Lisboa"/>
    <s v="Comissão principal Vanessa"/>
    <x v="28"/>
    <x v="7"/>
    <s v="ESPÓLIO DE REGINALDO DE SOUZA LIRA"/>
    <s v="ESPÓLIO DE REGINALDO DE SOUZA LIRA"/>
    <m/>
    <s v="AÇÃO ACIDENTÁRIA (RESTABELECIMENTO DE AUXÍLIO-DOENÇA/CONCESSÃO DE AUXÍLIO-ACIDENTE/AP. POR INVALIDEZ"/>
    <s v="Thaynara Borges"/>
    <n v="-12536.77"/>
    <s v="Saída"/>
    <x v="0"/>
  </r>
  <r>
    <x v="199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199"/>
    <s v="Itaú - Lisboa e Lisboa"/>
    <s v="Comissão Vanessa"/>
    <x v="28"/>
    <x v="7"/>
    <s v="ROGERIO JOSE DA SILVEIRA"/>
    <s v="ROGERIO JOSE DA SILVEIRA"/>
    <m/>
    <s v="APOSENTADORIA ESPECIAL/ ELETRICISTA"/>
    <s v="Thaynara Borges"/>
    <n v="-74932.41"/>
    <s v="Saída"/>
    <x v="0"/>
  </r>
  <r>
    <x v="199"/>
    <s v="Itaú - Lisboa e Lisboa"/>
    <s v="Salário"/>
    <x v="15"/>
    <x v="6"/>
    <s v="SAMARA ALMEIDA BOGEA"/>
    <s v="SAMARA ALMEIDA BOGEA"/>
    <m/>
    <m/>
    <s v="Nathalia Louiz"/>
    <n v="-2297.77"/>
    <s v="Saída"/>
    <x v="0"/>
  </r>
  <r>
    <x v="199"/>
    <s v="Banco do Brasil - Sarah Alves Lisboa"/>
    <s v="30% sob implantação"/>
    <x v="2"/>
    <x v="2"/>
    <s v="SIRLEY PAULINO DE LIMA"/>
    <s v="SIRLEY PAULINO DE LIMA"/>
    <m/>
    <s v="APOSENTADORIA RURAL"/>
    <s v="Nathalia Louiz"/>
    <n v="910.8"/>
    <s v="Entrada"/>
    <x v="1"/>
  </r>
  <r>
    <x v="199"/>
    <s v="Itaú - Lisboa e Lisboa"/>
    <s v="Comissão entrada anuidade Vanessa"/>
    <x v="28"/>
    <x v="7"/>
    <s v="ISAEL MARCULINO DOS SANTOS"/>
    <s v="ISAEL MARCULINO DOS SANTOS"/>
    <m/>
    <s v="APOSENTADORIA POR TEMPO DE CONTRIBUIÇAO/ PORTADOR DE NECESSIDADES ESPECIAIS"/>
    <s v="Thaynara Borges"/>
    <n v="-1400"/>
    <s v="Saída"/>
    <x v="0"/>
  </r>
  <r>
    <x v="199"/>
    <s v="Banco do Brasil - Sarah Alves Lisboa"/>
    <s v="Comissão para Carneiro e Oliveira 50%"/>
    <x v="28"/>
    <x v="7"/>
    <s v="TALYTA VASCONCELOS MELO"/>
    <s v="TALYTA VASCONCELOS MELO"/>
    <m/>
    <s v="SALÁRIO MATERNIDADE"/>
    <s v="Thaynara Borges"/>
    <n v="-1076.58"/>
    <s v="Saída"/>
    <x v="0"/>
  </r>
  <r>
    <x v="199"/>
    <s v="Banco do Brasil - Sarah Alves Lisboa"/>
    <s v="3 salários de beneficio (restante)"/>
    <x v="2"/>
    <x v="2"/>
    <s v="NATANNE KELLY REIS DE SOUZA"/>
    <s v="NATANNE KELLY REIS DE SOUZA"/>
    <m/>
    <s v="BENEFÍCIO ASSISTENCIAL"/>
    <s v="Nathalia Louiz"/>
    <n v="3643.2"/>
    <s v="Entrada"/>
    <x v="1"/>
  </r>
  <r>
    <x v="200"/>
    <s v="Banco do Brasil - Sarah Alves Lisboa"/>
    <s v="Comissão por meta batida setembro/2025"/>
    <x v="28"/>
    <x v="7"/>
    <s v="Sarah Alves Lisboa"/>
    <s v="Sarah Alves Lisboa"/>
    <m/>
    <m/>
    <s v="Thaynara Borges"/>
    <n v="-1000"/>
    <s v="Saída"/>
    <x v="0"/>
  </r>
  <r>
    <x v="200"/>
    <s v="Banco do Brasil - Sarah Alves Lisboa"/>
    <s v="Chocolates para clientes"/>
    <x v="16"/>
    <x v="4"/>
    <s v="MARANATA CHOCOLATERIA"/>
    <s v="MARANATA CHOCOLATERIA"/>
    <m/>
    <m/>
    <s v="Nathalia Louiz"/>
    <n v="-129.80000000000001"/>
    <s v="Saída"/>
    <x v="0"/>
  </r>
  <r>
    <x v="200"/>
    <s v="Banco do Brasil - Sarah Alves Lisboa"/>
    <s v="Vale transporte Controler"/>
    <x v="15"/>
    <x v="6"/>
    <s v="GIOVANNA"/>
    <s v="GIOVANNA"/>
    <m/>
    <m/>
    <s v="Nathalia Louiz"/>
    <n v="-60.2"/>
    <s v="Saída"/>
    <x v="0"/>
  </r>
  <r>
    <x v="200"/>
    <s v="Banco do Brasil - Sarah Alves Lisboa"/>
    <s v="Salário"/>
    <x v="15"/>
    <x v="6"/>
    <s v="Raffaela Nunes"/>
    <s v="Raffaela Nunes"/>
    <m/>
    <m/>
    <s v="Thaynara Borges"/>
    <n v="-3500"/>
    <s v="Saída"/>
    <x v="0"/>
  </r>
  <r>
    <x v="200"/>
    <s v="Banco do Brasil - Sarah Alves Lisboa"/>
    <s v="3 BENEFICIOS - PARCIAL (RESTANTE EM 3X de 759,00)"/>
    <x v="2"/>
    <x v="2"/>
    <s v="GENI MOURA NEVES"/>
    <s v="GENI MOURA NEVES"/>
    <m/>
    <s v="APOSENTADORIA POR IDADE URBANA"/>
    <s v="Nathalia Louiz"/>
    <n v="759"/>
    <s v="Entrada"/>
    <x v="1"/>
  </r>
  <r>
    <x v="200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200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200"/>
    <s v="Banco do Brasil - Sarah Alves Lisboa"/>
    <s v="Exame admissional "/>
    <x v="30"/>
    <x v="9"/>
    <s v="CLINICA PRO-SAUDE"/>
    <s v="CLINICA PRO-SAUDE"/>
    <m/>
    <m/>
    <s v="Nathalia Louiz"/>
    <n v="-48"/>
    <s v="Saída"/>
    <x v="0"/>
  </r>
  <r>
    <x v="200"/>
    <s v="Banco do Brasil - Sarah Alves Lisboa"/>
    <s v="Comissão por meta batida setembro/2025"/>
    <x v="28"/>
    <x v="7"/>
    <s v="Nina Araujo"/>
    <s v="Nina Araujo"/>
    <m/>
    <m/>
    <s v="Thaynara Borges"/>
    <n v="-1000"/>
    <s v="Saída"/>
    <x v="0"/>
  </r>
  <r>
    <x v="200"/>
    <s v="Banco do Brasil - Sarah Alves Lisboa"/>
    <s v="Comissão por meta batida setembro/2025"/>
    <x v="28"/>
    <x v="7"/>
    <s v="SAMARA ALMEIDA BOGEA"/>
    <s v="SAMARA ALMEIDA BOGEA"/>
    <m/>
    <m/>
    <s v="Thaynara Borges"/>
    <n v="-1000"/>
    <s v="Saída"/>
    <x v="0"/>
  </r>
  <r>
    <x v="200"/>
    <s v="Banco do Brasil - Sarah Alves Lisboa"/>
    <s v="Comissão por meta batida setembro/2025"/>
    <x v="28"/>
    <x v="7"/>
    <s v="Maria Eduarda"/>
    <s v="Maria Eduarda"/>
    <m/>
    <m/>
    <s v="Thaynara Borges"/>
    <n v="-1000"/>
    <s v="Saída"/>
    <x v="0"/>
  </r>
  <r>
    <x v="200"/>
    <s v="Banco do Brasil - Sarah Alves Lisboa"/>
    <s v="Comissão por meta batida setembro/2025"/>
    <x v="28"/>
    <x v="7"/>
    <s v="Raffaela Nunes"/>
    <s v="Raffaela Nunes"/>
    <m/>
    <m/>
    <s v="Thaynara Borges"/>
    <n v="-1000"/>
    <s v="Saída"/>
    <x v="0"/>
  </r>
  <r>
    <x v="200"/>
    <s v="Banco do Brasil - Sarah Alves Lisboa"/>
    <s v="PAGAMENTO DE HONORÁRIOS - ACORDO APÓS EXECUÇÃO DO CONTRATO"/>
    <x v="2"/>
    <x v="2"/>
    <s v="MARCOS ANTONIO LOURENÇO DE TOLEDO"/>
    <s v="MARCOS ANTONIO LOURENÇO DE TOLEDO"/>
    <m/>
    <s v="AUXILIO DOENÇA"/>
    <s v="Nathalia Louiz"/>
    <n v="500"/>
    <s v="Entrada"/>
    <x v="1"/>
  </r>
  <r>
    <x v="200"/>
    <s v="Banco do Brasil - Sarah Alves Lisboa"/>
    <s v="Comissão por meta batida setembro/2025"/>
    <x v="28"/>
    <x v="7"/>
    <s v="Thaynara Borges"/>
    <s v="Thaynara Borges"/>
    <m/>
    <m/>
    <s v="Thaynara Borges"/>
    <n v="-1000"/>
    <s v="Saída"/>
    <x v="0"/>
  </r>
  <r>
    <x v="200"/>
    <s v="Itaú - Lisboa e Lisboa"/>
    <s v="ALUGUEL - ESCRITÓRIO GIRASSOIS (DESCONTO DE SINAL)"/>
    <x v="43"/>
    <x v="1"/>
    <s v="HELENA PEREIRA DOS REIS"/>
    <s v="HELENA PEREIRA DOS REIS"/>
    <m/>
    <m/>
    <s v="Nathalia Louiz"/>
    <n v="-500"/>
    <s v="Saída"/>
    <x v="0"/>
  </r>
  <r>
    <x v="201"/>
    <s v="Cartão de Crédito Dr Ivanildo"/>
    <s v="Prévius"/>
    <x v="12"/>
    <x v="1"/>
    <s v="BANCO ITAU"/>
    <s v="BANCO ITAU"/>
    <m/>
    <m/>
    <s v="Thaynara Borges"/>
    <n v="-80.91"/>
    <s v="Saída"/>
    <x v="0"/>
  </r>
  <r>
    <x v="201"/>
    <s v="Itaú - Lisboa e Lisboa"/>
    <s v="Entrada da instalação da FACHADA do escritório (R$1200)"/>
    <x v="14"/>
    <x v="1"/>
    <s v="WANDERSON NERES SOUZA"/>
    <s v="WANDERSON NERES SOUZA"/>
    <m/>
    <m/>
    <s v="Nathalia Louiz"/>
    <n v="-300"/>
    <s v="Saída"/>
    <x v="0"/>
  </r>
  <r>
    <x v="201"/>
    <s v="Itaú - Lisboa e Lisboa"/>
    <s v="Salário Marketing"/>
    <x v="15"/>
    <x v="6"/>
    <s v="ANNA CLARA JARDIM"/>
    <s v="ANNA CLARA JARDIM"/>
    <m/>
    <m/>
    <s v="Nathalia Louiz"/>
    <n v="-1300"/>
    <s v="Saída"/>
    <x v="0"/>
  </r>
  <r>
    <x v="201"/>
    <s v="Cartão de Crédito Dr Ivanildo"/>
    <s v="CANAÃ FRIOS"/>
    <x v="11"/>
    <x v="1"/>
    <s v="BANCO ITAU"/>
    <s v="BANCO ITAU"/>
    <m/>
    <m/>
    <s v="Nathalia Louiz"/>
    <n v="-35.9"/>
    <s v="Saída"/>
    <x v="0"/>
  </r>
  <r>
    <x v="201"/>
    <s v="Banco do Brasil - Sarah Alves Lisboa"/>
    <s v="Anuidade 13x de 550"/>
    <x v="2"/>
    <x v="2"/>
    <s v="SEBASTIAO RIBEIRO NETO"/>
    <s v="SEBASTIAO RIBEIRO NETO"/>
    <m/>
    <s v="APOSENTADORIA POR TEMPO DE CONTRIBUIÇAO DA PESSOA COM DEFICIENCIA"/>
    <s v="Nathalia Louiz"/>
    <n v="557"/>
    <s v="Entrada"/>
    <x v="1"/>
  </r>
  <r>
    <x v="201"/>
    <s v="Cartão de Crédito Dr Ivanildo"/>
    <s v="Google One"/>
    <x v="12"/>
    <x v="1"/>
    <s v="BANCO ITAU"/>
    <s v="BANCO ITAU"/>
    <m/>
    <m/>
    <s v="Thaynara Borges"/>
    <n v="-14.99"/>
    <s v="Saída"/>
    <x v="0"/>
  </r>
  <r>
    <x v="201"/>
    <s v="Cartão de Crédito Dr Ivanildo"/>
    <s v="SAMUA LORENN"/>
    <x v="26"/>
    <x v="1"/>
    <s v="BANCO ITAU"/>
    <s v="BANCO ITAU"/>
    <m/>
    <m/>
    <s v="Nathalia Louiz"/>
    <n v="-203"/>
    <s v="Saída"/>
    <x v="0"/>
  </r>
  <r>
    <x v="201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201"/>
    <s v="Cartão de Crédito Dr Ivanildo"/>
    <s v="SUPERMERCADO MOREIRA"/>
    <x v="11"/>
    <x v="1"/>
    <s v="BANCO ITAU"/>
    <s v="BANCO ITAU"/>
    <m/>
    <m/>
    <s v="Nathalia Louiz"/>
    <n v="-26.94"/>
    <s v="Saída"/>
    <x v="0"/>
  </r>
  <r>
    <x v="201"/>
    <s v="Cartão de Crédito Dr Ivanildo"/>
    <s v="PAPELARIA TRIBUTÁRIA"/>
    <x v="26"/>
    <x v="1"/>
    <s v="BANCO ITAU"/>
    <s v="BANCO ITAU"/>
    <m/>
    <m/>
    <s v="Nathalia Louiz"/>
    <n v="-195.68"/>
    <s v="Saída"/>
    <x v="0"/>
  </r>
  <r>
    <x v="201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201"/>
    <s v="Cartão de Crédito Dr Ivanildo"/>
    <s v="Pagamento Cartão de Crédito Dr Ivanildo"/>
    <x v="6"/>
    <x v="1"/>
    <s v="BANCO ITAU"/>
    <s v="BANCO ITAU"/>
    <m/>
    <m/>
    <s v="Thaynara Borges"/>
    <n v="1811.21"/>
    <s v="Entrada"/>
    <x v="1"/>
  </r>
  <r>
    <x v="201"/>
    <s v="Cartão de Crédito Dr Ivanildo"/>
    <s v="SEBBA MATERIAIS DE CONSTRUÇÃO"/>
    <x v="14"/>
    <x v="1"/>
    <s v="BANCO ITAU"/>
    <s v="BANCO ITAU"/>
    <m/>
    <m/>
    <s v="Nathalia Louiz"/>
    <n v="-553.05999999999995"/>
    <s v="Saída"/>
    <x v="0"/>
  </r>
  <r>
    <x v="201"/>
    <s v="Itaú - Lisboa e Lisboa"/>
    <s v="R$ 4.554,00 em 9x - IMPLANTAÇÃO"/>
    <x v="2"/>
    <x v="2"/>
    <s v="ADERSON CARDOSO SANTANA"/>
    <s v="ADERSON CARDOSO SANTANA"/>
    <m/>
    <s v="PENSÃO POR MORTE"/>
    <s v="Nathalia Louiz"/>
    <n v="502.03"/>
    <s v="Entrada"/>
    <x v="1"/>
  </r>
  <r>
    <x v="201"/>
    <s v="Cartão de Crédito Dr Ivanildo"/>
    <s v="ASA CURSOS"/>
    <x v="32"/>
    <x v="6"/>
    <s v="BANCO ITAU"/>
    <s v="BANCO ITAU"/>
    <m/>
    <m/>
    <s v="Nathalia Louiz"/>
    <n v="-59.9"/>
    <s v="Saída"/>
    <x v="0"/>
  </r>
  <r>
    <x v="201"/>
    <s v="Itaú - Lisboa e Lisboa"/>
    <s v="Honorários R$5000,00 (Parceria com Dr Luciano R$2.500) - 5 parcelas para cada."/>
    <x v="2"/>
    <x v="2"/>
    <s v="LUZIA VIEIRA DE JESUS NASCIMENTO"/>
    <s v="LUZIA VIEIRA DE JESUS NASCIMENTO"/>
    <m/>
    <s v="aposentadoria"/>
    <s v="Nathalia Louiz"/>
    <n v="500"/>
    <s v="Entrada"/>
    <x v="2"/>
  </r>
  <r>
    <x v="201"/>
    <s v="Banco do Brasil - Sarah Alves Lisboa"/>
    <s v="30% sob implantação"/>
    <x v="2"/>
    <x v="2"/>
    <s v="SILVANA FERREIRA DE SOUZA"/>
    <s v="SILVANA FERREIRA DE SOUZA"/>
    <m/>
    <s v="AUXILIO DOENÇA"/>
    <s v="Nathalia Louiz"/>
    <n v="1366.2"/>
    <s v="Entrada"/>
    <x v="1"/>
  </r>
  <r>
    <x v="201"/>
    <s v="Cartão de Crédito Dr Ivanildo"/>
    <s v="Google One"/>
    <x v="12"/>
    <x v="1"/>
    <s v="BANCO ITAU"/>
    <s v="BANCO ITAU"/>
    <m/>
    <m/>
    <s v="Thaynara Borges"/>
    <n v="-49.99"/>
    <s v="Saída"/>
    <x v="0"/>
  </r>
  <r>
    <x v="201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201"/>
    <s v="Cartão de Crédito Dr Ivanildo"/>
    <s v="Jusbrasil"/>
    <x v="12"/>
    <x v="1"/>
    <s v="BANCO ITAU"/>
    <s v="BANCO ITAU"/>
    <m/>
    <m/>
    <s v="Thaynara Borges"/>
    <n v="-58.9"/>
    <s v="Saída"/>
    <x v="0"/>
  </r>
  <r>
    <x v="201"/>
    <s v="Cartão de Crédito Dr Ivanildo"/>
    <s v="Jusbrasil"/>
    <x v="12"/>
    <x v="1"/>
    <s v="BANCO ITAU"/>
    <s v="BANCO ITAU"/>
    <m/>
    <m/>
    <s v="Thaynara Borges"/>
    <n v="-58.9"/>
    <s v="Saída"/>
    <x v="0"/>
  </r>
  <r>
    <x v="201"/>
    <s v="Itaú - Lisboa e Lisboa"/>
    <s v="Taxa de uso PIX"/>
    <x v="4"/>
    <x v="3"/>
    <s v="BANCO ITAÚ S/A"/>
    <s v="BANCO ITAÚ S/A"/>
    <m/>
    <m/>
    <s v="Nathalia Louiz"/>
    <n v="-103.85"/>
    <s v="Saída"/>
    <x v="0"/>
  </r>
  <r>
    <x v="202"/>
    <s v="Itaú - Lisboa e Lisboa"/>
    <s v="3 SALÁRIOS DE BENEFICIO (Entrada de 1000,00 + 6x de 492,33 no boleto)"/>
    <x v="2"/>
    <x v="2"/>
    <s v="Maura Cardoso Borges"/>
    <s v="Maura Cardoso Borges"/>
    <m/>
    <s v="APOSENTADORIA POR IDADE"/>
    <s v="Nathalia Louiz"/>
    <n v="489.47999999999996"/>
    <s v="Entrada"/>
    <x v="1"/>
  </r>
  <r>
    <x v="202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02"/>
    <s v="Itaú - Lisboa e Lisboa"/>
    <s v="ARQUITETA - Projeto Girassois"/>
    <x v="44"/>
    <x v="1"/>
    <s v="AMANDA MONTEIRO DOS SANTOS"/>
    <s v="AMANDA MONTEIRO DOS SANTOS"/>
    <m/>
    <m/>
    <s v="Nathalia Louiz"/>
    <n v="-1500"/>
    <s v="Saída"/>
    <x v="0"/>
  </r>
  <r>
    <x v="202"/>
    <s v="Banco do Brasil - Sarah Alves Lisboa"/>
    <s v="Compras para viagem "/>
    <x v="11"/>
    <x v="1"/>
    <s v="SUPERMERCADO MOREIRA"/>
    <s v="SUPERMERCADO MOREIRA"/>
    <m/>
    <m/>
    <s v="Nathalia Louiz"/>
    <n v="-62.09"/>
    <s v="Saída"/>
    <x v="0"/>
  </r>
  <r>
    <x v="202"/>
    <s v="Banco do Brasil - Sarah Alves Lisboa"/>
    <s v="Confecçao de Peças avulsas "/>
    <x v="42"/>
    <x v="6"/>
    <s v="Dra Raffaela Nunes"/>
    <s v="Dra Raffaela Nunes"/>
    <m/>
    <m/>
    <s v="Nathalia Louiz"/>
    <n v="-350"/>
    <s v="Saída"/>
    <x v="0"/>
  </r>
  <r>
    <x v="203"/>
    <s v="Banco do Brasil - Sarah Alves Lisboa"/>
    <s v="Sedex de entrega dos cartões"/>
    <x v="27"/>
    <x v="4"/>
    <s v="Valuu"/>
    <s v="Valuu"/>
    <m/>
    <m/>
    <s v="Nathalia Louiz"/>
    <n v="-112.6"/>
    <s v="Saída"/>
    <x v="0"/>
  </r>
  <r>
    <x v="203"/>
    <s v="Itaú - Lisboa e Lisboa"/>
    <s v="Taxa de Condomínio Vaga Garagem A-83"/>
    <x v="10"/>
    <x v="1"/>
    <s v="ATON BUSINESS STYLE"/>
    <s v="ATON BUSINESS STYLE"/>
    <m/>
    <m/>
    <s v="Thaynara Borges"/>
    <n v="-66.97"/>
    <s v="Saída"/>
    <x v="0"/>
  </r>
  <r>
    <x v="203"/>
    <s v="Itaú - Lisboa e Lisboa"/>
    <s v="Pagamento Cartão de Crédito Dr Ivanildo"/>
    <x v="6"/>
    <x v="1"/>
    <s v="BANCO ITAU"/>
    <s v="BANCO ITAU"/>
    <m/>
    <m/>
    <s v="Nathalia Louiz"/>
    <n v="-1811.21"/>
    <s v="Saída"/>
    <x v="0"/>
  </r>
  <r>
    <x v="203"/>
    <s v="Itaú - Lisboa e Lisboa"/>
    <s v="Taxa de Condomínio Sala B-74"/>
    <x v="10"/>
    <x v="1"/>
    <s v="ATON BUSINESS STYLE"/>
    <s v="ATON BUSINESS STYLE"/>
    <m/>
    <m/>
    <s v="Thaynara Borges"/>
    <n v="-1221.6400000000001"/>
    <s v="Saída"/>
    <x v="0"/>
  </r>
  <r>
    <x v="203"/>
    <s v="Cartão de Crédito Dra Sarah"/>
    <s v="Cartão de crédito Dra Sarah"/>
    <x v="6"/>
    <x v="1"/>
    <s v="BANCO ITAU"/>
    <s v="BANCO ITAU"/>
    <m/>
    <m/>
    <s v="Nathalia Louiz"/>
    <n v="2358.41"/>
    <s v="Entrada"/>
    <x v="1"/>
  </r>
  <r>
    <x v="203"/>
    <s v="Cartão de Crédito Dra Sarah"/>
    <s v="COMPRA MERCADO LIVRE"/>
    <x v="6"/>
    <x v="1"/>
    <s v="BANCO ITAU"/>
    <s v="BANCO ITAU"/>
    <m/>
    <m/>
    <s v="Nathalia Louiz"/>
    <n v="-224.99"/>
    <s v="Saída"/>
    <x v="0"/>
  </r>
  <r>
    <x v="203"/>
    <s v="Itaú - Lisboa e Lisboa"/>
    <s v="Celular"/>
    <x v="8"/>
    <x v="1"/>
    <s v="VIVO"/>
    <s v="VIVO"/>
    <m/>
    <m/>
    <s v="Thaynara Borges"/>
    <n v="-137.37"/>
    <s v="Saída"/>
    <x v="0"/>
  </r>
  <r>
    <x v="203"/>
    <s v="Cartão de Crédito Dra Sarah"/>
    <s v="CONSULTORIA ESTRATEGIA"/>
    <x v="34"/>
    <x v="1"/>
    <s v="BANCO ITAU"/>
    <s v="BANCO ITAU"/>
    <m/>
    <m/>
    <s v="Nathalia Louiz"/>
    <n v="-300.05"/>
    <s v="Saída"/>
    <x v="0"/>
  </r>
  <r>
    <x v="203"/>
    <s v="Cartão de Crédito Dra Sarah"/>
    <s v="Hotel"/>
    <x v="5"/>
    <x v="4"/>
    <s v="BANCO ITAU"/>
    <s v="BANCO ITAU"/>
    <m/>
    <m/>
    <s v="Nathalia Louiz"/>
    <n v="-319.41000000000003"/>
    <s v="Saída"/>
    <x v="0"/>
  </r>
  <r>
    <x v="203"/>
    <s v="Cartão de Crédito Dra Sarah"/>
    <s v="Agencia de Viagens"/>
    <x v="5"/>
    <x v="4"/>
    <s v="BANCO ITAÚ S/A"/>
    <s v="BANCO ITAÚ S/A"/>
    <m/>
    <m/>
    <s v="Nathalia Louiz"/>
    <n v="-420"/>
    <s v="Saída"/>
    <x v="0"/>
  </r>
  <r>
    <x v="203"/>
    <s v="Itaú - Lisboa e Lisboa"/>
    <s v="Taxa de Condomínio Sala B-73"/>
    <x v="10"/>
    <x v="1"/>
    <s v="ATON BUSINESS STYLE"/>
    <s v="ATON BUSINESS STYLE"/>
    <m/>
    <m/>
    <s v="Thaynara Borges"/>
    <n v="-1221.04"/>
    <s v="Saída"/>
    <x v="0"/>
  </r>
  <r>
    <x v="203"/>
    <s v="Cartão de Crédito Dra Sarah"/>
    <s v="Agencia de viagens (Premio Águia)"/>
    <x v="5"/>
    <x v="4"/>
    <s v="BANCO ITAÚ S/A"/>
    <s v="BANCO ITAÚ S/A"/>
    <m/>
    <m/>
    <s v="Nathalia Louiz"/>
    <n v="-271.8"/>
    <s v="Saída"/>
    <x v="0"/>
  </r>
  <r>
    <x v="203"/>
    <s v="Cartão de Crédito Dra Sarah"/>
    <s v="LATAM (Premio Águia)"/>
    <x v="5"/>
    <x v="4"/>
    <s v="BANCO ITAU"/>
    <s v="BANCO ITAU"/>
    <m/>
    <m/>
    <s v="Nathalia Louiz"/>
    <n v="-242.06"/>
    <s v="Saída"/>
    <x v="0"/>
  </r>
  <r>
    <x v="203"/>
    <s v="Itaú - Lisboa e Lisboa"/>
    <s v="Taxa de Condomínio Vaga Garagem A-78"/>
    <x v="10"/>
    <x v="1"/>
    <s v="ATON BUSINESS STYLE"/>
    <s v="ATON BUSINESS STYLE"/>
    <m/>
    <m/>
    <s v="Thaynara Borges"/>
    <n v="-66.97"/>
    <s v="Saída"/>
    <x v="0"/>
  </r>
  <r>
    <x v="203"/>
    <s v="Banco do Brasil - Sarah Alves Lisboa"/>
    <s v="Combustível de reunião"/>
    <x v="35"/>
    <x v="4"/>
    <s v="Posto 2824 GOIÂNIA"/>
    <s v="Posto 2824 GOIÂNIA"/>
    <m/>
    <m/>
    <s v="Nathalia Louiz"/>
    <n v="-50"/>
    <s v="Saída"/>
    <x v="0"/>
  </r>
  <r>
    <x v="203"/>
    <s v="Itaú - Lisboa e Lisboa"/>
    <s v="Taxa de Condomínio Vaga Garagem A-81"/>
    <x v="10"/>
    <x v="1"/>
    <s v="ATON BUSINESS STYLE"/>
    <s v="ATON BUSINESS STYLE"/>
    <m/>
    <m/>
    <s v="Thaynara Borges"/>
    <n v="-66.97"/>
    <s v="Saída"/>
    <x v="0"/>
  </r>
  <r>
    <x v="203"/>
    <s v="Cartão de Crédito Dra Sarah"/>
    <s v="GOL (Premio Águia)"/>
    <x v="5"/>
    <x v="4"/>
    <s v="BANCO ITAU"/>
    <s v="BANCO ITAU"/>
    <m/>
    <m/>
    <s v="Nathalia Louiz"/>
    <n v="-236.1"/>
    <s v="Saída"/>
    <x v="0"/>
  </r>
  <r>
    <x v="203"/>
    <s v="Banco do Brasil - Sarah Alves Lisboa"/>
    <s v="Lanches para escritório"/>
    <x v="11"/>
    <x v="1"/>
    <s v="SUPERMERCADO MOREIRA"/>
    <s v="SUPERMERCADO MOREIRA"/>
    <m/>
    <m/>
    <s v="Nathalia Louiz"/>
    <n v="-19.899999999999999"/>
    <s v="Saída"/>
    <x v="0"/>
  </r>
  <r>
    <x v="203"/>
    <s v="Cartão de Crédito Dra Sarah"/>
    <s v="Agencia de Viagens"/>
    <x v="5"/>
    <x v="4"/>
    <s v="BANCO ITAÚ S/A"/>
    <s v="BANCO ITAÚ S/A"/>
    <m/>
    <m/>
    <s v="Nathalia Louiz"/>
    <n v="-344"/>
    <s v="Saída"/>
    <x v="0"/>
  </r>
  <r>
    <x v="203"/>
    <s v="Itaú - Lisboa e Lisboa"/>
    <s v="Taxa de Condomínio Vaga Garagem A-82"/>
    <x v="10"/>
    <x v="1"/>
    <s v="ATON BUSINESS STYLE"/>
    <s v="ATON BUSINESS STYLE"/>
    <m/>
    <m/>
    <s v="Thaynara Borges"/>
    <n v="-66.97"/>
    <s v="Saída"/>
    <x v="0"/>
  </r>
  <r>
    <x v="203"/>
    <s v="Itaú - Lisboa e Lisboa"/>
    <s v="Taxa de Condomínio Vaga Garagem A-88"/>
    <x v="10"/>
    <x v="1"/>
    <s v="ATON BUSINESS STYLE"/>
    <s v="ATON BUSINESS STYLE"/>
    <m/>
    <m/>
    <s v="Thaynara Borges"/>
    <n v="-66.97"/>
    <s v="Saída"/>
    <x v="0"/>
  </r>
  <r>
    <x v="204"/>
    <s v="Banco do Brasil - Sarah Alves Lisboa"/>
    <s v="COMISSÃO REUNIÕES"/>
    <x v="28"/>
    <x v="7"/>
    <s v="GIOVANNA G RODRIGUES"/>
    <s v="GIOVANNA G RODRIGUES"/>
    <m/>
    <m/>
    <s v="Nathalia Louiz"/>
    <n v="-100"/>
    <s v="Saída"/>
    <x v="0"/>
  </r>
  <r>
    <x v="204"/>
    <s v="Banco do Brasil - Sarah Alves Lisboa"/>
    <s v="COMISSÃO REUMIÃO"/>
    <x v="28"/>
    <x v="7"/>
    <s v="IVONETE MONTEIRO CARTAXO"/>
    <s v="IVONETE MONTEIRO CARTAXO"/>
    <m/>
    <m/>
    <s v="Nathalia Louiz"/>
    <n v="-300"/>
    <s v="Saída"/>
    <x v="0"/>
  </r>
  <r>
    <x v="204"/>
    <s v="Banco do Brasil - Sarah Alves Lisboa"/>
    <s v="Comissão de reuniões"/>
    <x v="28"/>
    <x v="7"/>
    <s v="LEONICE LEITE DE OLIVEIRA"/>
    <s v="LEONICE LEITE DE OLIVEIRA"/>
    <m/>
    <m/>
    <s v="Nathalia Louiz"/>
    <n v="-300"/>
    <s v="Saída"/>
    <x v="0"/>
  </r>
  <r>
    <x v="204"/>
    <s v="Banco do Brasil - Sarah Alves Lisboa"/>
    <s v="COMISSÃO DE REUNIÃO"/>
    <x v="28"/>
    <x v="7"/>
    <s v="JOAO PAULO SOUZA SILVA"/>
    <s v="JOAO PAULO SOUZA SILVA"/>
    <m/>
    <m/>
    <s v="Nathalia Louiz"/>
    <n v="-100"/>
    <s v="Saída"/>
    <x v="0"/>
  </r>
  <r>
    <x v="205"/>
    <s v="Itaú - Lisboa e Lisboa"/>
    <s v="CONTRATO 9621661899"/>
    <x v="8"/>
    <x v="1"/>
    <s v="VIVO FIXO"/>
    <s v="VIVO FIXO"/>
    <m/>
    <m/>
    <s v="Thaynara Borges"/>
    <n v="-260.58"/>
    <s v="Saída"/>
    <x v="0"/>
  </r>
  <r>
    <x v="205"/>
    <s v="Itaú - Lisboa e Lisboa"/>
    <s v="2/2 de cortinas + adicional por mudança"/>
    <x v="14"/>
    <x v="1"/>
    <s v="CENTERFLEX PERSIANAS E CORTINAS"/>
    <s v="CENTERFLEX PERSIANAS E CORTINAS"/>
    <m/>
    <m/>
    <s v="Nathalia Louiz"/>
    <n v="-3300"/>
    <s v="Saída"/>
    <x v="0"/>
  </r>
  <r>
    <x v="205"/>
    <s v="Itaú - Lisboa e Lisboa"/>
    <s v="Manutenção de cortinas"/>
    <x v="26"/>
    <x v="1"/>
    <s v="CENTERFLEX PERSIANAS E CORTINAS"/>
    <s v="CENTERFLEX PERSIANAS E CORTINAS"/>
    <m/>
    <m/>
    <s v="Nathalia Louiz"/>
    <n v="-700"/>
    <s v="Saída"/>
    <x v="0"/>
  </r>
  <r>
    <x v="206"/>
    <s v="Itaú - Lisboa e Lisboa"/>
    <s v="Beneficio de VT - Proporcional"/>
    <x v="45"/>
    <x v="6"/>
    <s v="Valuu"/>
    <s v="Valuu"/>
    <m/>
    <m/>
    <s v="Nathalia Louiz"/>
    <n v="-131.5"/>
    <s v="Saída"/>
    <x v="0"/>
  </r>
  <r>
    <x v="206"/>
    <s v="Banco do Brasil - Sarah Alves Lisboa"/>
    <s v="Reembolso de compra de lanches para escritório"/>
    <x v="37"/>
    <x v="10"/>
    <s v="Dra Raffaela Nunes"/>
    <s v="Dra Raffaela Nunes"/>
    <m/>
    <m/>
    <s v="Nathalia Louiz"/>
    <n v="-34.799999999999997"/>
    <s v="Saída"/>
    <x v="0"/>
  </r>
  <r>
    <x v="206"/>
    <s v="Banco do Brasil - Sarah Alves Lisboa"/>
    <s v="PAGAMENTO DA GUIA DA PREVIDÊNCIA SOCIAL - GPS"/>
    <x v="7"/>
    <x v="5"/>
    <s v="MARCELO BATISTA DA SILVA"/>
    <s v="MARCELO BATISTA DA SILVA"/>
    <m/>
    <s v="BENEFÍCIO POR INCAPACIDADE"/>
    <s v="Nathalia Louiz"/>
    <n v="-166.98"/>
    <s v="Saída"/>
    <x v="0"/>
  </r>
  <r>
    <x v="206"/>
    <s v="Itaú - Lisboa e Lisboa"/>
    <s v="Benefícios de colaboradores"/>
    <x v="45"/>
    <x v="6"/>
    <s v="Valuu"/>
    <s v="Valuu"/>
    <m/>
    <m/>
    <s v="Nathalia Louiz"/>
    <n v="-1200"/>
    <s v="Saída"/>
    <x v="0"/>
  </r>
  <r>
    <x v="206"/>
    <s v="Itaú - Lisboa e Lisboa"/>
    <s v="Pagamento Cartão de Crédito Dra Sarah Lisboa"/>
    <x v="6"/>
    <x v="1"/>
    <s v="BANCO ITAU"/>
    <s v="BANCO ITAU"/>
    <m/>
    <m/>
    <s v="Nathalia Louiz"/>
    <n v="-2358.41"/>
    <s v="Saída"/>
    <x v="0"/>
  </r>
  <r>
    <x v="206"/>
    <s v="Itaú - Lisboa e Lisboa"/>
    <s v="Taxa administrativa para depósito de beneficios"/>
    <x v="30"/>
    <x v="9"/>
    <s v="Valuu"/>
    <s v="Valuu"/>
    <m/>
    <m/>
    <s v="Nathalia Louiz"/>
    <n v="-2.5"/>
    <s v="Saída"/>
    <x v="0"/>
  </r>
  <r>
    <x v="206"/>
    <s v="Banco do Brasil - Sarah Alves Lisboa"/>
    <s v="Serviços de contabilidade (Empresa Dra Raffaela)"/>
    <x v="1"/>
    <x v="1"/>
    <s v="ELLEN BORGES PEREIRA GOULARTE"/>
    <s v="ELLEN BORGES PEREIRA GOULARTE"/>
    <m/>
    <m/>
    <s v="Nathalia Louiz"/>
    <n v="-759"/>
    <s v="Saída"/>
    <x v="0"/>
  </r>
  <r>
    <x v="207"/>
    <s v="Banco do Brasil - Sarah Alves Lisboa"/>
    <s v="Peças avulsas"/>
    <x v="42"/>
    <x v="6"/>
    <s v="Dra Raffaela Nunes"/>
    <s v="Dra Raffaela Nunes"/>
    <m/>
    <m/>
    <s v="Nathalia Louiz"/>
    <n v="-550"/>
    <s v="Saída"/>
    <x v="0"/>
  </r>
  <r>
    <x v="207"/>
    <s v="Banco do Brasil - Sarah Alves Lisboa"/>
    <s v="Tarifa Bancária"/>
    <x v="4"/>
    <x v="3"/>
    <s v="BANCO DO BRASIL S/A"/>
    <s v="BANCO DO BRASIL S/A"/>
    <m/>
    <m/>
    <s v="Thaynara Borges"/>
    <n v="-7.95"/>
    <s v="Saída"/>
    <x v="0"/>
  </r>
  <r>
    <x v="207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07"/>
    <s v="Itaú - Lisboa e Lisboa"/>
    <s v="3 SALÁRIOS DE BENEFICIOS (R$ 8.269,50 em 8 vezes)"/>
    <x v="2"/>
    <x v="2"/>
    <s v="COSME DOS SANTOS VAZ"/>
    <s v="COSME DOS SANTOS VAZ"/>
    <m/>
    <s v="APOSENTADORIA POR TEMPO DE CONTRIBUIÇÃO"/>
    <s v="Nathalia Louiz"/>
    <n v="1030.8400000000001"/>
    <s v="Entrada"/>
    <x v="1"/>
  </r>
  <r>
    <x v="207"/>
    <s v="Itaú - Lisboa e Lisboa"/>
    <s v="IEL Estagiárias"/>
    <x v="13"/>
    <x v="6"/>
    <s v="IEL"/>
    <s v="IEL"/>
    <m/>
    <m/>
    <s v="Thaynara Borges"/>
    <n v="-106.73"/>
    <s v="Saída"/>
    <x v="0"/>
  </r>
  <r>
    <x v="207"/>
    <s v="Banco do Brasil - Sarah Alves Lisboa"/>
    <s v="Honorários (3x1500,00) 50% DR GUSTAVO"/>
    <x v="2"/>
    <x v="2"/>
    <s v="ELISEU FRADIQUE MARÇAL"/>
    <s v="ELISEU FRADIQUE MARÇAL"/>
    <m/>
    <s v="RECISÃO DE CONTRATO"/>
    <s v="Nathalia Louiz"/>
    <n v="1500"/>
    <s v="Entrada"/>
    <x v="1"/>
  </r>
  <r>
    <x v="208"/>
    <s v="Cartão de Crédito Dra Thaynara"/>
    <s v="Pagamento Cartão de Crédito Dra Thaynara"/>
    <x v="6"/>
    <x v="1"/>
    <s v="C6"/>
    <s v="C6"/>
    <m/>
    <m/>
    <s v="Nathalia Louiz"/>
    <n v="1116.07"/>
    <s v="Entrada"/>
    <x v="1"/>
  </r>
  <r>
    <x v="208"/>
    <s v="Itaú - Lisboa e Lisboa"/>
    <s v="3 SALÁRIOS DE BENEFICIO (1000,00 + 5X 710,80)"/>
    <x v="2"/>
    <x v="2"/>
    <s v="ALDENY TELES DE OLIVEIRA NUNES"/>
    <s v="ALDENY TELES DE OLIVEIRA NUNES"/>
    <m/>
    <s v="APOSENTADORIA POR IDADE"/>
    <s v="Nathalia Louiz"/>
    <n v="707.94999999999993"/>
    <s v="Entrada"/>
    <x v="1"/>
  </r>
  <r>
    <x v="208"/>
    <s v="Cartão de Crédito Dra Thaynara"/>
    <s v="Pós Thaynara"/>
    <x v="32"/>
    <x v="6"/>
    <s v="ASA*CURSOSESPECCIALJUS"/>
    <s v="ASA*CURSOSESPECCIALJUS"/>
    <m/>
    <m/>
    <s v="Nathalia Louiz"/>
    <n v="-229"/>
    <s v="Saída"/>
    <x v="0"/>
  </r>
  <r>
    <x v="208"/>
    <s v="Cartão de Crédito Dra Thaynara"/>
    <s v="ASTREA"/>
    <x v="12"/>
    <x v="1"/>
    <s v="C6"/>
    <s v="C6"/>
    <m/>
    <m/>
    <s v="Thaynara Borges"/>
    <n v="-653.29999999999995"/>
    <s v="Saída"/>
    <x v="0"/>
  </r>
  <r>
    <x v="208"/>
    <s v="Cartão de Crédito Dra Thaynara"/>
    <s v="CHAT GPT"/>
    <x v="12"/>
    <x v="1"/>
    <s v="OPENAI *CHATGPT SUBSCR SA"/>
    <s v="OPENAI *CHATGPT SUBSCR SA"/>
    <m/>
    <m/>
    <s v="Nathalia Louiz"/>
    <n v="-111.57"/>
    <s v="Saída"/>
    <x v="0"/>
  </r>
  <r>
    <x v="208"/>
    <s v="Banco do Brasil - Sarah Alves Lisboa"/>
    <s v="Repasse de porcentagem 50% - Parceria"/>
    <x v="28"/>
    <x v="7"/>
    <s v="ELISEU FRADIQUE MARÇAL"/>
    <s v="ELISEU FRADIQUE MARÇAL"/>
    <m/>
    <s v="RECISÃO DE CONTRATO"/>
    <s v="Nathalia Louiz"/>
    <n v="-750"/>
    <s v="Saída"/>
    <x v="0"/>
  </r>
  <r>
    <x v="208"/>
    <s v="Cartão de Crédito Dra Thaynara"/>
    <s v="Cálculo Jurídico"/>
    <x v="34"/>
    <x v="1"/>
    <s v="VINDI *CALCULOJURIDIC"/>
    <s v="VINDI *CALCULOJURIDIC"/>
    <m/>
    <m/>
    <s v="Nathalia Louiz"/>
    <n v="-118.3"/>
    <s v="Saída"/>
    <x v="0"/>
  </r>
  <r>
    <x v="208"/>
    <s v="Cartão de Crédito Dra Thaynara"/>
    <s v="CHAT GPT"/>
    <x v="12"/>
    <x v="1"/>
    <s v="OPENAI *CHATGPT SUBSCR SA"/>
    <s v="OPENAI *CHATGPT SUBSCR SA"/>
    <m/>
    <m/>
    <s v="Nathalia Louiz"/>
    <n v="-3.9"/>
    <s v="Saída"/>
    <x v="0"/>
  </r>
  <r>
    <x v="209"/>
    <s v="Itaú - Lisboa e Lisboa"/>
    <s v="Pagamento restante da fechada."/>
    <x v="14"/>
    <x v="1"/>
    <s v="WANDERSON NERES SOUZA"/>
    <s v="WANDERSON NERES SOUZA"/>
    <m/>
    <m/>
    <s v="Nathalia Louiz"/>
    <n v="-900"/>
    <s v="Saída"/>
    <x v="0"/>
  </r>
  <r>
    <x v="209"/>
    <s v="Banco do Brasil - Sarah Alves Lisboa"/>
    <s v="40% Sob implantação"/>
    <x v="2"/>
    <x v="2"/>
    <s v="JULIANA VILELA DA PAIXÃO"/>
    <s v="JULIANA VILELA DA PAIXÃO"/>
    <m/>
    <s v="BENEFÍCIO POR INCAPACIDADE"/>
    <s v="Nathalia Louiz"/>
    <n v="2154.7800000000002"/>
    <s v="Entrada"/>
    <x v="1"/>
  </r>
  <r>
    <x v="210"/>
    <s v="Banco do Brasil - Sarah Alves Lisboa"/>
    <s v="Lanche de viagem"/>
    <x v="11"/>
    <x v="1"/>
    <s v="PD PÃES DE DELICIAS"/>
    <s v="PD PÃES DE DELICIAS"/>
    <m/>
    <m/>
    <s v="Nathalia Louiz"/>
    <n v="-23.58"/>
    <s v="Saída"/>
    <x v="0"/>
  </r>
  <r>
    <x v="210"/>
    <s v="Banco do Brasil - Sarah Alves Lisboa"/>
    <s v="Pedágio viagem"/>
    <x v="5"/>
    <x v="4"/>
    <s v="CONCEBRA - PEDÁGIO"/>
    <s v="CONCEBRA - PEDÁGIO"/>
    <m/>
    <m/>
    <s v="Nathalia Louiz"/>
    <n v="-7.4"/>
    <s v="Saída"/>
    <x v="0"/>
  </r>
  <r>
    <x v="210"/>
    <s v="Banco do Brasil - Sarah Alves Lisboa"/>
    <s v="Pedágio - viagem"/>
    <x v="5"/>
    <x v="4"/>
    <s v="CONCEBRA - PEDÁGIO"/>
    <s v="CONCEBRA - PEDÁGIO"/>
    <m/>
    <m/>
    <s v="Nathalia Louiz"/>
    <n v="-5.4"/>
    <s v="Saída"/>
    <x v="0"/>
  </r>
  <r>
    <x v="210"/>
    <s v="Itaú - Lisboa e Lisboa"/>
    <s v="Anuidade R$ 8.967,07 (2.000 + 12x R$580,59)"/>
    <x v="2"/>
    <x v="2"/>
    <s v="ISAEL MARCULINO DOS SANTOS"/>
    <s v="ISAEL MARCULINO DOS SANTOS"/>
    <m/>
    <s v="APOSENTADORIA POR TEMPO DE CONTRIBUIÇAO/ PORTADOR DE NECESSIDADES ESPECIAIS"/>
    <s v="Nathalia Louiz"/>
    <n v="577.74"/>
    <s v="Entrada"/>
    <x v="1"/>
  </r>
  <r>
    <x v="210"/>
    <s v="Itaú - Lisboa e Lisboa"/>
    <s v="40% Sob recebimento de RPV"/>
    <x v="2"/>
    <x v="2"/>
    <s v="PATRICIA DE GODOI MACHADO"/>
    <s v="PATRICIA DE GODOI MACHADO"/>
    <m/>
    <s v="BENEFÍCIO POR INCAPACIDADE"/>
    <s v="Nathalia Louiz"/>
    <n v="18060.349999999999"/>
    <s v="Entrada"/>
    <x v="1"/>
  </r>
  <r>
    <x v="210"/>
    <s v="Banco do Brasil - Sarah Alves Lisboa"/>
    <s v="Pedágio viagem"/>
    <x v="5"/>
    <x v="4"/>
    <s v="[$empty$]"/>
    <s v="[$empty$]"/>
    <m/>
    <m/>
    <s v="Nathalia Louiz"/>
    <n v="-14.3"/>
    <s v="Saída"/>
    <x v="0"/>
  </r>
  <r>
    <x v="210"/>
    <s v="Itaú - Lisboa e Lisboa"/>
    <s v="30% sobre os atrasados RPV"/>
    <x v="2"/>
    <x v="2"/>
    <s v="DALILA DE JESUS MORAES ROCHA"/>
    <s v="DALILA DE JESUS MORAES ROCHA"/>
    <m/>
    <s v="AUXILIO DOENÇA"/>
    <s v="Thaynara Borges"/>
    <n v="3898.01"/>
    <s v="Entrada"/>
    <x v="1"/>
  </r>
  <r>
    <x v="210"/>
    <s v="Banco do Brasil - Sarah Alves Lisboa"/>
    <s v="Cartão de Crédito Dra Thaynara"/>
    <x v="6"/>
    <x v="1"/>
    <s v="C6"/>
    <s v="C6"/>
    <m/>
    <m/>
    <s v="Thaynara Borges"/>
    <n v="-1116.07"/>
    <s v="Saída"/>
    <x v="0"/>
  </r>
  <r>
    <x v="210"/>
    <s v="Banco do Brasil - Sarah Alves Lisboa"/>
    <s v="Pedágio de viagem"/>
    <x v="5"/>
    <x v="4"/>
    <s v="CONCEBRA - PEDÁGIO"/>
    <s v="CONCEBRA - PEDÁGIO"/>
    <m/>
    <m/>
    <s v="Nathalia Louiz"/>
    <n v="-5.4"/>
    <s v="Saída"/>
    <x v="0"/>
  </r>
  <r>
    <x v="211"/>
    <s v="Itaú - Lisboa e Lisboa"/>
    <s v="30% sob implantação"/>
    <x v="2"/>
    <x v="2"/>
    <s v="MARLENE MARIA DOS SANTOS"/>
    <s v="MARLENE MARIA DOS SANTOS"/>
    <m/>
    <s v="BENEFÍCIO POR INCAPACIDADE"/>
    <s v="Nathalia Louiz"/>
    <n v="224.85"/>
    <s v="Entrada"/>
    <x v="1"/>
  </r>
  <r>
    <x v="211"/>
    <s v="Banco do Brasil - Sarah Alves Lisboa"/>
    <s v="Serviços de chaveiro"/>
    <x v="27"/>
    <x v="4"/>
    <s v="CHAVEIRO BOUGANVILLE"/>
    <s v="CHAVEIRO BOUGANVILLE"/>
    <m/>
    <m/>
    <s v="Nathalia Louiz"/>
    <n v="-30"/>
    <s v="Saída"/>
    <x v="0"/>
  </r>
  <r>
    <x v="211"/>
    <s v="Banco do Brasil - Sarah Alves Lisboa"/>
    <s v="30% sobre a implantação da revisão"/>
    <x v="2"/>
    <x v="2"/>
    <s v="ANA CLARA CARDOSO FERNANDES"/>
    <s v="ANA CLARA CARDOSO FERNANDES"/>
    <m/>
    <s v="REVISÃO"/>
    <s v="Nathalia Louiz"/>
    <n v="167.7"/>
    <s v="Entrada"/>
    <x v="1"/>
  </r>
  <r>
    <x v="211"/>
    <s v="Banco do Brasil - Sarah Alves Lisboa"/>
    <s v="20% para Maria de Lourdes: Honorários: 4.554,00 Honorários líquidos (-10,96%) R$ 4.054,88 20% Lourdes= R$ 810,97"/>
    <x v="28"/>
    <x v="7"/>
    <s v="ADERSON CARDOSO SANTANA"/>
    <s v="ADERSON CARDOSO SANTANA"/>
    <m/>
    <s v="PENSÃO POR MORTE"/>
    <s v="Thaynara Borges"/>
    <n v="-810.97"/>
    <s v="Saída"/>
    <x v="0"/>
  </r>
  <r>
    <x v="212"/>
    <s v="Itaú - Lisboa e Lisboa"/>
    <s v="Honorários 30% LEONARDO"/>
    <x v="2"/>
    <x v="2"/>
    <s v="MARIA APARECIDA SILVA ALVES/ IVANILTON ROCHA ALVES"/>
    <s v="MARIA APARECIDA SILVA ALVES/ IVANILTON ROCHA ALVES"/>
    <m/>
    <s v="APOSENTADORIA POR TEMPO DE CONTRIBUIÇAO / PORTADOR DE NESCESSIDADES ESPECIAIS"/>
    <s v="Thaynara Borges"/>
    <n v="20740.59"/>
    <s v="Entrada"/>
    <x v="1"/>
  </r>
  <r>
    <x v="212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13"/>
    <s v="Itaú - Lisboa e Lisboa"/>
    <s v="Simples Nacional"/>
    <x v="20"/>
    <x v="7"/>
    <s v="Simples Nacional"/>
    <s v="Simples Nacional"/>
    <m/>
    <m/>
    <s v="Thaynara Borges"/>
    <n v="-61350.26"/>
    <s v="Saída"/>
    <x v="0"/>
  </r>
  <r>
    <x v="213"/>
    <s v="Banco do Brasil - Sarah Alves Lisboa"/>
    <s v="Combustível de viagem"/>
    <x v="35"/>
    <x v="4"/>
    <s v="POSTO SHUKRAN"/>
    <s v="POSTO SHUKRAN"/>
    <m/>
    <m/>
    <s v="Nathalia Louiz"/>
    <n v="-416.34"/>
    <s v="Saída"/>
    <x v="0"/>
  </r>
  <r>
    <x v="213"/>
    <s v="Itaú - Lisboa e Lisboa"/>
    <s v="30% sobre os atrasados RPV"/>
    <x v="2"/>
    <x v="2"/>
    <s v="AVENIR RODRIGUES GOMES SOBRINHO"/>
    <s v="AVENIR RODRIGUES GOMES SOBRINHO"/>
    <m/>
    <s v="BENEFÍCIO POR INCAPACIDADE"/>
    <s v="Thaynara Borges"/>
    <n v="2521.27"/>
    <s v="Entrada"/>
    <x v="1"/>
  </r>
  <r>
    <x v="213"/>
    <s v="Itaú - Lisboa e Lisboa"/>
    <s v="Água"/>
    <x v="17"/>
    <x v="1"/>
    <s v="SANEAGO GOIAS S/A"/>
    <s v="SANEAGO GOIAS S/A"/>
    <m/>
    <m/>
    <s v="Thaynara Borges"/>
    <n v="-155.75"/>
    <s v="Saída"/>
    <x v="0"/>
  </r>
  <r>
    <x v="213"/>
    <s v="Banco do Brasil - Sarah Alves Lisboa"/>
    <s v="PARCEIRIA DR SILVIO - Honorários de parceria caso VALENTINA SOUSA FONSECA"/>
    <x v="2"/>
    <x v="2"/>
    <s v="VALENTINA SOUSA FONSECA"/>
    <s v="VALENTINA SOUSA FONSECA"/>
    <m/>
    <s v="SOLICITAR PAGAMENTOS NÃO RECEBIDOS"/>
    <s v="Nathalia Louiz"/>
    <n v="168"/>
    <s v="Entrada"/>
    <x v="1"/>
  </r>
  <r>
    <x v="213"/>
    <s v="Itaú - Lisboa e Lisboa"/>
    <s v="INSS"/>
    <x v="19"/>
    <x v="6"/>
    <s v="RECEITA FEDERAL"/>
    <s v="RECEITA FEDERAL"/>
    <m/>
    <m/>
    <s v="Thaynara Borges"/>
    <n v="-3107.19"/>
    <s v="Saída"/>
    <x v="0"/>
  </r>
  <r>
    <x v="213"/>
    <s v="Itaú - Lisboa e Lisboa"/>
    <s v="FGTS"/>
    <x v="18"/>
    <x v="6"/>
    <s v="FGTS"/>
    <s v="FGTS"/>
    <m/>
    <m/>
    <s v="Thaynara Borges"/>
    <n v="-858.17"/>
    <s v="Saída"/>
    <x v="0"/>
  </r>
  <r>
    <x v="213"/>
    <s v="Banco do Brasil - Sarah Alves Lisboa"/>
    <s v="Comissão de reunião"/>
    <x v="28"/>
    <x v="7"/>
    <s v="JOAO BATISTA PEREIRA DE SOUZA"/>
    <s v="JOAO BATISTA PEREIRA DE SOUZA"/>
    <m/>
    <m/>
    <s v="Nathalia Louiz"/>
    <n v="-100"/>
    <s v="Saída"/>
    <x v="0"/>
  </r>
  <r>
    <x v="213"/>
    <s v="Itaú - Lisboa e Lisboa"/>
    <s v="IPTU - SALA B74"/>
    <x v="29"/>
    <x v="1"/>
    <s v="PREFEITURA MUNICIPAL DE GOIÂNIA"/>
    <s v="PREFEITURA MUNICIPAL DE GOIÂNIA"/>
    <m/>
    <m/>
    <s v="Nathalia Louiz"/>
    <n v="-125.52"/>
    <s v="Saída"/>
    <x v="0"/>
  </r>
  <r>
    <x v="214"/>
    <s v="Banco do Brasil - Sarah Alves Lisboa"/>
    <s v="Compras para escritório"/>
    <x v="26"/>
    <x v="1"/>
    <s v="ASSAI ATACADISTA"/>
    <s v="ASSAI ATACADISTA"/>
    <m/>
    <m/>
    <s v="Nathalia Louiz"/>
    <n v="-306.13"/>
    <s v="Saída"/>
    <x v="0"/>
  </r>
  <r>
    <x v="214"/>
    <s v="Itaú - Lisboa e Lisboa"/>
    <s v="30% sob implantação"/>
    <x v="2"/>
    <x v="2"/>
    <s v="ROSA NUNES LOPES"/>
    <s v="ROSA NUNES LOPES"/>
    <m/>
    <s v="BENEFÍCIO POR INCAPACIDADE"/>
    <s v="Nathalia Louiz"/>
    <n v="60.72"/>
    <s v="Entrada"/>
    <x v="2"/>
  </r>
  <r>
    <x v="215"/>
    <s v="Banco do Brasil - Sarah Alves Lisboa"/>
    <s v="Pagamentos de pecas avulsas"/>
    <x v="42"/>
    <x v="6"/>
    <s v="Dra Raffaela Nunes"/>
    <s v="Dra Raffaela Nunes"/>
    <m/>
    <m/>
    <s v="Nathalia Louiz"/>
    <n v="-550"/>
    <s v="Saída"/>
    <x v="0"/>
  </r>
  <r>
    <x v="215"/>
    <s v="Itaú - Lisboa e Lisboa"/>
    <s v="100% de honorários"/>
    <x v="2"/>
    <x v="2"/>
    <s v="MARIA APARECIDA SILVA ALVES/ IVANILTON ROCHA ALVES"/>
    <s v="MARIA APARECIDA SILVA ALVES/ IVANILTON ROCHA ALVES"/>
    <m/>
    <s v="APOSENTADORIA POR TEMPO DE CONTRIBUIÇAO / PORTADOR DE NESCESSIDADES ESPECIAIS"/>
    <s v="Nathalia Louiz"/>
    <n v="41527.919999999998"/>
    <s v="Entrada"/>
    <x v="1"/>
  </r>
  <r>
    <x v="216"/>
    <s v="Banco do Brasil - Sarah Alves Lisboa"/>
    <s v="Bolos e lanches para viagem"/>
    <x v="11"/>
    <x v="1"/>
    <s v="EMPORIO WL BOLOS"/>
    <s v="EMPORIO WL BOLOS"/>
    <m/>
    <m/>
    <s v="Nathalia Louiz"/>
    <n v="-86.82"/>
    <s v="Saída"/>
    <x v="0"/>
  </r>
  <r>
    <x v="216"/>
    <s v="Banco do Brasil - Sarah Alves Lisboa"/>
    <s v="Pedágio"/>
    <x v="5"/>
    <x v="4"/>
    <s v="CONCEBRA - PEDÁGIO"/>
    <s v="CONCEBRA - PEDÁGIO"/>
    <m/>
    <m/>
    <s v="Nathalia Louiz"/>
    <n v="-7.9"/>
    <s v="Saída"/>
    <x v="0"/>
  </r>
  <r>
    <x v="216"/>
    <s v="Banco do Brasil - 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216"/>
    <s v="Banco do Brasil - Sarah Alves Lisboa"/>
    <s v="Lanches para viagem"/>
    <x v="11"/>
    <x v="1"/>
    <s v="SUPERMERCADO MOREIRA"/>
    <s v="SUPERMERCADO MOREIRA"/>
    <m/>
    <m/>
    <s v="Nathalia Louiz"/>
    <n v="-43.86"/>
    <s v="Saída"/>
    <x v="0"/>
  </r>
  <r>
    <x v="216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16"/>
    <s v="Banco do Brasil - Sarah Alves Lisboa"/>
    <s v="Comissão por viagem "/>
    <x v="28"/>
    <x v="7"/>
    <s v="Giovanna Victoria"/>
    <s v="Giovanna Victoria"/>
    <m/>
    <m/>
    <s v="Nathalia Louiz"/>
    <n v="-100"/>
    <s v="Saída"/>
    <x v="0"/>
  </r>
  <r>
    <x v="216"/>
    <s v="Banco do Brasil - Sarah Alves Lisboa"/>
    <s v="3 BENEFÍCIOS COM RMI DE R$ 3.470,20 (10.410,60)_x000a_Pagará 5.000,00 e posteriormente o restante."/>
    <x v="2"/>
    <x v="2"/>
    <s v="FRANCISCO DO NASCIMENTO"/>
    <s v="FRANCISCO DO NASCIMENTO"/>
    <m/>
    <s v="APOSENTADORIA POR TEMPO DE CONTRIBUIÇÃO"/>
    <s v="Thaynara Borges"/>
    <n v="5000"/>
    <s v="Entrada"/>
    <x v="1"/>
  </r>
  <r>
    <x v="216"/>
    <s v="Banco do Brasil - Sarah Alves Lisboa"/>
    <s v="Compras viagem"/>
    <x v="11"/>
    <x v="1"/>
    <s v="SUPERMERCADO BARATEX"/>
    <s v="SUPERMERCADO BARATEX"/>
    <m/>
    <m/>
    <s v="Nathalia Louiz"/>
    <n v="-22.47"/>
    <s v="Saída"/>
    <x v="0"/>
  </r>
  <r>
    <x v="217"/>
    <s v="Banco do Brasil - Sarah Alves Lisboa"/>
    <s v="Comissão, parceiria Dr Silvio"/>
    <x v="28"/>
    <x v="7"/>
    <s v="CHRISYA  MATOS AZEVEDO"/>
    <s v="CHRISYA  MATOS AZEVEDO"/>
    <m/>
    <s v="DEFESA DIVÓRCIO"/>
    <s v="Nathalia Louiz"/>
    <n v="-250"/>
    <s v="Saída"/>
    <x v="0"/>
  </r>
  <r>
    <x v="217"/>
    <s v="Itaú - Lisboa e Lisboa"/>
    <s v="Prêmio São Paulo"/>
    <x v="27"/>
    <x v="4"/>
    <s v="INQS - Instituto Nacional da Qualidade Social"/>
    <s v="INQS - Instituto Nacional da Qualidade Social"/>
    <m/>
    <m/>
    <s v="Nathalia Louiz"/>
    <n v="-925"/>
    <s v="Saída"/>
    <x v="0"/>
  </r>
  <r>
    <x v="217"/>
    <s v="Banco do Brasil - Sarah Alves Lisboa"/>
    <s v="Compras para escritório"/>
    <x v="26"/>
    <x v="1"/>
    <s v="ASSAI ATACADISTA"/>
    <s v="ASSAI ATACADISTA"/>
    <m/>
    <m/>
    <s v="Nathalia Louiz"/>
    <n v="-76.95"/>
    <s v="Saída"/>
    <x v="0"/>
  </r>
  <r>
    <x v="217"/>
    <s v="Banco do Brasil - Sarah Alves Lisboa"/>
    <s v="Honorários de 2.500 (500 + 500 + 3x500)"/>
    <x v="2"/>
    <x v="2"/>
    <s v="CHRISYA  MATOS AZEVEDO"/>
    <s v="CHRISYA  MATOS AZEVEDO"/>
    <m/>
    <s v="DEFESA DIVÓRCIO"/>
    <s v="Nathalia Louiz"/>
    <n v="500"/>
    <s v="Entrada"/>
    <x v="1"/>
  </r>
  <r>
    <x v="218"/>
    <s v="Itaú - Lisboa e Lisboa"/>
    <s v="Retirada"/>
    <x v="22"/>
    <x v="8"/>
    <s v="Thaynara Borges Pereira"/>
    <s v="Thaynara Borges Pereira"/>
    <m/>
    <m/>
    <s v="Thaynara Borges"/>
    <n v="-7000"/>
    <s v="Saída"/>
    <x v="0"/>
  </r>
  <r>
    <x v="218"/>
    <s v="Banco do Brasil - Sarah Alves Lisboa"/>
    <s v="40% SOB IMPLANTAÇÃO"/>
    <x v="2"/>
    <x v="2"/>
    <s v="FRANCISCA PEREIRA DA SILVA"/>
    <s v="FRANCISCA PEREIRA DA SILVA"/>
    <m/>
    <s v="BENEFÍCIO POR INCAPACIDADE"/>
    <s v="Nathalia Louiz"/>
    <n v="1826.86"/>
    <s v="Entrada"/>
    <x v="1"/>
  </r>
  <r>
    <x v="218"/>
    <s v="Banco do Brasil - Sarah Alves Lisboa"/>
    <s v="Parcelamento 3 Ben"/>
    <x v="2"/>
    <x v="2"/>
    <s v="MATHEUS HENRIQUE DE CARVALHO MIRANDA"/>
    <s v="MATHEUS HENRIQUE DE CARVALHO MIRANDA"/>
    <m/>
    <s v="PENSÃO POR MORTE - RETROAÇÃO DA DIP"/>
    <s v="Nathalia Louiz"/>
    <n v="563.5"/>
    <s v="Entrada"/>
    <x v="1"/>
  </r>
  <r>
    <x v="219"/>
    <s v="Banco do Brasil - Sarah Alves Lisboa"/>
    <s v="30% sob implantação"/>
    <x v="2"/>
    <x v="2"/>
    <s v="DIVINA CEZARIA DA SILVA FERREIRA"/>
    <s v="DIVINA CEZARIA DA SILVA FERREIRA"/>
    <m/>
    <s v="APOSENTADORIA POR IDADE"/>
    <s v="Nathalia Louiz"/>
    <n v="561.9"/>
    <s v="Entrada"/>
    <x v="1"/>
  </r>
  <r>
    <x v="219"/>
    <s v="Banco do Brasil - Sarah Alves Lisboa"/>
    <s v="Combustível de viagem"/>
    <x v="35"/>
    <x v="4"/>
    <s v="Posto 2824 GOIÂNIA"/>
    <s v="Posto 2824 GOIÂNIA"/>
    <m/>
    <m/>
    <s v="Nathalia Louiz"/>
    <n v="-100"/>
    <s v="Saída"/>
    <x v="0"/>
  </r>
  <r>
    <x v="219"/>
    <s v="Itaú - Lisboa e Lisboa"/>
    <s v="Energia contrato 0067122663"/>
    <x v="21"/>
    <x v="1"/>
    <s v="EQUATORIAL GOIAS 0067122663"/>
    <s v="EQUATORIAL GOIAS 0067122663"/>
    <m/>
    <m/>
    <s v="Thaynara Borges"/>
    <n v="-782.01"/>
    <s v="Saída"/>
    <x v="0"/>
  </r>
  <r>
    <x v="219"/>
    <s v="Banco do Brasil - Sarah Alves Lisboa"/>
    <s v="2 PARCELA DA ENTRADA"/>
    <x v="2"/>
    <x v="2"/>
    <s v="CHRISYA  MATOS AZEVEDO"/>
    <s v="CHRISYA  MATOS AZEVEDO"/>
    <m/>
    <s v="DEFESA DIVÓRCIO"/>
    <s v="Nathalia Louiz"/>
    <n v="500"/>
    <s v="Entrada"/>
    <x v="1"/>
  </r>
  <r>
    <x v="219"/>
    <s v="Itaú - Lisboa e Lisboa"/>
    <s v="Energia contrato 0067122721"/>
    <x v="21"/>
    <x v="1"/>
    <s v="EQUATORIAL GOIAS 0067122721"/>
    <s v="EQUATORIAL GOIAS 0067122721"/>
    <m/>
    <m/>
    <s v="Thaynara Borges"/>
    <n v="-521.5"/>
    <s v="Saída"/>
    <x v="0"/>
  </r>
  <r>
    <x v="219"/>
    <s v="Banco do Brasil - Sarah Alves Lisboa"/>
    <s v="30% Sob atrasados"/>
    <x v="2"/>
    <x v="2"/>
    <s v="ELIANA MARIA DE CASTRO"/>
    <s v="ELIANA MARIA DE CASTRO"/>
    <m/>
    <s v="BENEFÍCIO POR INCAPACIDADE"/>
    <s v="Nathalia Louiz"/>
    <n v="910.8"/>
    <s v="Entrada"/>
    <x v="1"/>
  </r>
  <r>
    <x v="219"/>
    <s v="Banco do Brasil - Sarah Alves Lisboa"/>
    <s v="Comissão por parceria 50%"/>
    <x v="28"/>
    <x v="7"/>
    <s v="CHRISYA  MATOS AZEVEDO"/>
    <s v="CHRISYA  MATOS AZEVEDO"/>
    <m/>
    <s v="DEFESA DIVÓRCIO"/>
    <s v="Nathalia Louiz"/>
    <n v="-250"/>
    <s v="Saída"/>
    <x v="0"/>
  </r>
  <r>
    <x v="220"/>
    <s v="Banco do Brasil - Sarah Alves Lisboa"/>
    <s v="HONORÁRIOS DE SCB"/>
    <x v="2"/>
    <x v="2"/>
    <s v="JAQUELINE BIZIACH BARBOSA DA SILVEIRA"/>
    <s v="JAQUELINE BIZIACH BARBOSA DA SILVEIRA"/>
    <m/>
    <s v="AÇÃO DE RESTABELECIMENTO DO BENEFÍCIO PREVIDENCIÁRIO POR INCAPACIDADE TEMPORÁRIA POR ACIDENTE DO TRA"/>
    <s v="Nathalia Louiz"/>
    <n v="8269.99"/>
    <s v="Entrada"/>
    <x v="1"/>
  </r>
  <r>
    <x v="220"/>
    <s v="Banco do Brasil - Sarah Alves Lisboa"/>
    <s v="30 sob atrasados"/>
    <x v="2"/>
    <x v="2"/>
    <s v="JAQUELINE BIZIACH BARBOSA DA SILVEIRA"/>
    <s v="JAQUELINE BIZIACH BARBOSA DA SILVEIRA"/>
    <m/>
    <s v="AÇÃO DE RESTABELECIMENTO DO BENEFÍCIO PREVIDENCIÁRIO POR INCAPACIDADE TEMPORÁRIA POR ACIDENTE DO TRA"/>
    <s v="Nathalia Louiz"/>
    <n v="24809.99"/>
    <s v="Entrada"/>
    <x v="1"/>
  </r>
  <r>
    <x v="220"/>
    <s v="Itaú - Lisboa e Lisboa"/>
    <s v="Pagamento de procuração -  Cartório"/>
    <x v="7"/>
    <x v="5"/>
    <s v="JALES ROBERTO MANSE"/>
    <s v="JALES ROBERTO MANSE"/>
    <m/>
    <s v="JALES ROBERTO MANSE x INSS"/>
    <s v="Nathalia Louiz"/>
    <n v="-200"/>
    <s v="Saída"/>
    <x v="0"/>
  </r>
  <r>
    <x v="221"/>
    <s v="Banco do Brasil - Sarah Alves Lisboa"/>
    <s v="PAGAMENTO DE HONORÁRIOS - ACORDO APÓS EXECUÇÃO DO CONTRATO"/>
    <x v="2"/>
    <x v="2"/>
    <s v="MARCOS ANTONIO LOURENÇO DE TOLEDO"/>
    <s v="MARCOS ANTONIO LOURENÇO DE TOLEDO"/>
    <m/>
    <s v="AUXILIO DOENÇA"/>
    <s v="Nathalia Louiz"/>
    <n v="500"/>
    <s v="Entrada"/>
    <x v="1"/>
  </r>
  <r>
    <x v="221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221"/>
    <s v="Itaú - Lisboa e Lisboa"/>
    <s v="Salário"/>
    <x v="15"/>
    <x v="6"/>
    <s v="SAMARA ALMEIDA BOGEA"/>
    <s v="SAMARA ALMEIDA BOGEA"/>
    <m/>
    <m/>
    <s v="Nathalia Louiz"/>
    <n v="-2296.77"/>
    <s v="Saída"/>
    <x v="0"/>
  </r>
  <r>
    <x v="221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221"/>
    <s v="Itaú - Lisboa e Lisboa"/>
    <s v="Transferência de SCB cliente JAQUELINE BIZIACH BARBOSA DA SILVEIRA"/>
    <x v="40"/>
    <x v="11"/>
    <s v="Itaú - Lisboa e Lisboa"/>
    <s v="Itaú - Lisboa e Lisboa"/>
    <m/>
    <m/>
    <s v="Nathalia Louiz"/>
    <n v="8269.99"/>
    <s v="Entrada"/>
    <x v="1"/>
  </r>
  <r>
    <x v="221"/>
    <s v="Itaú - Lisboa e Lisboa"/>
    <s v="Curso Dra Thaynara"/>
    <x v="32"/>
    <x v="6"/>
    <s v="EMPRESA BLINDADA TREINAMENTOS"/>
    <s v="EMPRESA BLINDADA TREINAMENTOS"/>
    <m/>
    <m/>
    <s v="Nathalia Louiz"/>
    <n v="-197"/>
    <s v="Saída"/>
    <x v="0"/>
  </r>
  <r>
    <x v="221"/>
    <s v="Itaú - Lisboa e Lisboa"/>
    <s v="Benefícios - GIOVANNA VICTORIA GOMES RODRIGUES (163,00 - 19 DIAS - Vale transporte) + 2,50 Taxas Valuu"/>
    <x v="45"/>
    <x v="6"/>
    <s v="NAAMA MENDES JUNIOR - VALUU"/>
    <s v="NAAMA MENDES JUNIOR - VALUU"/>
    <m/>
    <m/>
    <s v="Nathalia Louiz"/>
    <n v="-165.9"/>
    <s v="Saída"/>
    <x v="0"/>
  </r>
  <r>
    <x v="221"/>
    <s v="Itaú - Lisboa e Lisboa"/>
    <s v="Comissão Vanessa"/>
    <x v="28"/>
    <x v="7"/>
    <s v="SHIRLEY PEREIRA DE REZENDE/ RAFAELA"/>
    <s v="SHIRLEY PEREIRA DE REZENDE/ RAFAELA"/>
    <m/>
    <s v="INVENTÁRIO"/>
    <s v="Thaynara Borges"/>
    <n v="-3164"/>
    <s v="Saída"/>
    <x v="0"/>
  </r>
  <r>
    <x v="221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221"/>
    <s v="Itaú - Lisboa e Lisboa"/>
    <s v="Salário"/>
    <x v="15"/>
    <x v="6"/>
    <s v="MARIA EDUARDA DE SOUZA"/>
    <s v="MARIA EDUARDA DE SOUZA"/>
    <m/>
    <m/>
    <s v="Nathalia Louiz"/>
    <n v="-2338.41"/>
    <s v="Saída"/>
    <x v="0"/>
  </r>
  <r>
    <x v="221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21"/>
    <s v="Banco do Brasil - Sarah Alves Lisboa"/>
    <s v="Salário"/>
    <x v="15"/>
    <x v="6"/>
    <s v="Raffaela Nunes"/>
    <s v="Raffaela Nunes"/>
    <m/>
    <m/>
    <s v="Thaynara Borges"/>
    <n v="-3500"/>
    <s v="Saída"/>
    <x v="0"/>
  </r>
  <r>
    <x v="221"/>
    <s v="Itaú - Lisboa e Lisboa"/>
    <s v="Pagamento de benefícios: SAMARA ALMEIDA BOGEA (300,00) - MARIA EDUARDA DE SOUZA (300,00) - RAFFAELA NUNES SANTANA (300,00) - NINA ARAUJO (300,00) + Taxas da VALUU (2,50)"/>
    <x v="45"/>
    <x v="6"/>
    <s v="NAAMA MENDES JUNIOR - VALUU"/>
    <s v="NAAMA MENDES JUNIOR - VALUU"/>
    <m/>
    <m/>
    <s v="Nathalia Louiz"/>
    <n v="-1202.5"/>
    <s v="Saída"/>
    <x v="0"/>
  </r>
  <r>
    <x v="221"/>
    <s v="Itaú - Lisboa e Lisboa"/>
    <s v="Salário"/>
    <x v="15"/>
    <x v="6"/>
    <s v="GIOVANNA VICTORIA GOMES RODRIGUES"/>
    <s v="GIOVANNA VICTORIA GOMES RODRIGUES"/>
    <m/>
    <m/>
    <s v="Nathalia Louiz"/>
    <n v="-1502.42"/>
    <s v="Saída"/>
    <x v="0"/>
  </r>
  <r>
    <x v="221"/>
    <s v="Itaú - Lisboa e Lisboa"/>
    <s v="Salário"/>
    <x v="15"/>
    <x v="6"/>
    <s v="Nina Araujo"/>
    <s v="Nina Araujo"/>
    <m/>
    <m/>
    <s v="Thaynara Borges"/>
    <n v="-3230.22"/>
    <s v="Saída"/>
    <x v="0"/>
  </r>
  <r>
    <x v="221"/>
    <s v="Itaú - Lisboa e Lisboa"/>
    <s v="Transferência de Honorários 30% - cliente: JAQUELINE BIZIACH BARBOSA DA SILVEIRA"/>
    <x v="40"/>
    <x v="11"/>
    <s v="Itaú - Lisboa e Lisboa"/>
    <s v="Itaú - Lisboa e Lisboa"/>
    <m/>
    <m/>
    <s v="Nathalia Louiz"/>
    <n v="24809.99"/>
    <s v="Entrada"/>
    <x v="1"/>
  </r>
  <r>
    <x v="221"/>
    <s v="Itaú - Lisboa e Lisboa"/>
    <s v="Comissão para Vanessa"/>
    <x v="28"/>
    <x v="7"/>
    <s v="MARIA APARECIDA SILVA ALVES/ IVANILTON ROCHA ALVES"/>
    <s v="MARIA APARECIDA SILVA ALVES/ IVANILTON ROCHA ALVES"/>
    <m/>
    <s v="APOSENTADORIA POR TEMPO DE CONTRIBUIÇAO / PORTADOR DE NESCESSIDADES ESPECIAIS"/>
    <s v="Thaynara Borges"/>
    <n v="-26278.86"/>
    <s v="Saída"/>
    <x v="0"/>
  </r>
  <r>
    <x v="221"/>
    <s v="Banco do Brasil - Sarah Alves Lisboa"/>
    <s v="Transferência de SCB cliente JAQUELINE BIZIACH BARBOSA DA SILVEIRA"/>
    <x v="40"/>
    <x v="11"/>
    <s v="Banco do Brasil - Sarah Alves Lisboa"/>
    <s v="Banco do Brasil - Sarah Alves Lisboa"/>
    <m/>
    <m/>
    <s v="Nathalia Louiz"/>
    <n v="-8269.99"/>
    <s v="Saída"/>
    <x v="0"/>
  </r>
  <r>
    <x v="221"/>
    <s v="Itaú - Lisboa e Lisboa"/>
    <s v="Honorários contratuais - inventário"/>
    <x v="2"/>
    <x v="2"/>
    <s v="SHIRLEY PEREIRA DE REZENDE/ RAFAELA"/>
    <s v="SHIRLEY PEREIRA DE REZENDE/ RAFAELA"/>
    <m/>
    <s v="INVENTÁRIO"/>
    <s v="Thaynara Borges"/>
    <n v="5000"/>
    <s v="Entrada"/>
    <x v="1"/>
  </r>
  <r>
    <x v="221"/>
    <s v="Itaú - Lisboa e Lisboa"/>
    <s v="Comissão para Vanessa"/>
    <x v="28"/>
    <x v="7"/>
    <s v="MARIA APARECIDA SILVA ALVES/ IVANILTON ROCHA ALVES"/>
    <s v="MARIA APARECIDA SILVA ALVES/ IVANILTON ROCHA ALVES"/>
    <m/>
    <s v="APOSENTADORIA POR TEMPO DE CONTRIBUIÇAO / PORTADOR DE NESCESSIDADES ESPECIAIS"/>
    <s v="Thaynara Borges"/>
    <n v="-13124.64"/>
    <s v="Saída"/>
    <x v="0"/>
  </r>
  <r>
    <x v="221"/>
    <s v="Itaú - Lisboa e Lisboa"/>
    <s v="Comissão para Vanessa"/>
    <x v="28"/>
    <x v="7"/>
    <s v="ISAEL MARCULINO DOS SANTOS"/>
    <s v="ISAEL MARCULINO DOS SANTOS"/>
    <m/>
    <s v="APOSENTADORIA POR TEMPO DE CONTRIBUIÇAO/ PORTADOR DE NECESSIDADES ESPECIAIS"/>
    <s v="Thaynara Borges"/>
    <n v="-365.58"/>
    <s v="Saída"/>
    <x v="0"/>
  </r>
  <r>
    <x v="221"/>
    <s v="Itaú - Lisboa e Lisboa"/>
    <s v="Retirada de Lucros"/>
    <x v="22"/>
    <x v="8"/>
    <s v="Thaynara Borges Pereira"/>
    <s v="Thaynara Borges Pereira"/>
    <m/>
    <m/>
    <s v="Nathalia Louiz"/>
    <n v="-3964.21"/>
    <s v="Saída"/>
    <x v="0"/>
  </r>
  <r>
    <x v="221"/>
    <s v="Itaú - Lisboa e Lisboa"/>
    <s v="PRÓ-LABORE"/>
    <x v="23"/>
    <x v="8"/>
    <s v="Thaynara Borges Pereira"/>
    <s v="Thaynara Borges Pereira"/>
    <m/>
    <m/>
    <s v="Thaynara Borges"/>
    <n v="-1035.79"/>
    <s v="Saída"/>
    <x v="0"/>
  </r>
  <r>
    <x v="221"/>
    <s v="Banco do Brasil - Sarah Alves Lisboa"/>
    <s v="Transferência de Honorários 30% - cliente: JAQUELINE BIZIACH BARBOSA DA SILVEIRA"/>
    <x v="40"/>
    <x v="11"/>
    <s v="Banco do Brasil - Sarah Alves Lisboa"/>
    <s v="Banco do Brasil - Sarah Alves Lisboa"/>
    <m/>
    <m/>
    <s v="Nathalia Louiz"/>
    <n v="-24809.99"/>
    <s v="Saída"/>
    <x v="0"/>
  </r>
  <r>
    <x v="222"/>
    <s v="Itaú - Lisboa e Lisboa"/>
    <s v="Honorários R$5000,00 (Parceria com Dr Luciano R$2.500) - 5 parcelas para cada."/>
    <x v="2"/>
    <x v="2"/>
    <s v="LUZIA VIEIRA DE JESUS NASCIMENTO"/>
    <s v="LUZIA VIEIRA DE JESUS NASCIMENTO"/>
    <m/>
    <s v="aposentadoria"/>
    <s v="Nathalia Louiz"/>
    <n v="500"/>
    <s v="Entrada"/>
    <x v="2"/>
  </r>
  <r>
    <x v="223"/>
    <s v="Itaú - Lisboa e Lisboa"/>
    <s v="Salário Marketing"/>
    <x v="15"/>
    <x v="6"/>
    <s v="ANNA CLARA JARDIM"/>
    <s v="ANNA CLARA JARDIM"/>
    <m/>
    <m/>
    <s v="Nathalia Louiz"/>
    <n v="-1300"/>
    <s v="Saída"/>
    <x v="0"/>
  </r>
  <r>
    <x v="223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223"/>
    <s v="Banco do Brasil - Sarah Alves Lisboa"/>
    <s v="Compras para escritório"/>
    <x v="11"/>
    <x v="1"/>
    <s v="ASSAI ATACADISTA"/>
    <s v="ASSAI ATACADISTA"/>
    <m/>
    <m/>
    <s v="Nathalia Louiz"/>
    <n v="-60.7"/>
    <s v="Saída"/>
    <x v="0"/>
  </r>
  <r>
    <x v="223"/>
    <s v="Itaú - Lisboa e Lisboa"/>
    <s v="ALUGUEL - ESCRITÓRIO GIRASSOIS"/>
    <x v="43"/>
    <x v="1"/>
    <s v="HELENA PEREIRA DOS REIS"/>
    <s v="HELENA PEREIRA DOS REIS"/>
    <m/>
    <m/>
    <s v="Nathalia Louiz"/>
    <n v="-1000"/>
    <s v="Saída"/>
    <x v="0"/>
  </r>
  <r>
    <x v="223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223"/>
    <s v="Banco do Brasil - Sarah Alves Lisboa"/>
    <s v="Comissão por indicação de cliente"/>
    <x v="28"/>
    <x v="7"/>
    <s v="LEONICE LEITE DE OLIVEIRA"/>
    <s v="LEONICE LEITE DE OLIVEIRA"/>
    <m/>
    <m/>
    <s v="Nathalia Louiz"/>
    <n v="-100"/>
    <s v="Saída"/>
    <x v="0"/>
  </r>
  <r>
    <x v="224"/>
    <s v="Cartão de Crédito Dr Ivanildo"/>
    <s v="ASA CURSOS"/>
    <x v="32"/>
    <x v="6"/>
    <s v="BANCO ITAU"/>
    <s v="BANCO ITAU"/>
    <m/>
    <m/>
    <s v="Nathalia Louiz"/>
    <n v="-59.9"/>
    <s v="Saída"/>
    <x v="0"/>
  </r>
  <r>
    <x v="224"/>
    <s v="Cartão de Crédito Dr Ivanildo"/>
    <s v="Prévius"/>
    <x v="12"/>
    <x v="1"/>
    <s v="BANCO ITAU"/>
    <s v="BANCO ITAU"/>
    <m/>
    <m/>
    <s v="Thaynara Borges"/>
    <n v="-80.91"/>
    <s v="Saída"/>
    <x v="0"/>
  </r>
  <r>
    <x v="224"/>
    <s v="Cartão de Crédito Dr Ivanildo"/>
    <s v="MANTIMENTOS PARA ESCRITÓRIO"/>
    <x v="14"/>
    <x v="1"/>
    <s v="BANCO ITAU"/>
    <s v="BANCO ITAU"/>
    <m/>
    <m/>
    <s v="Nathalia Louiz"/>
    <n v="-177.97"/>
    <s v="Saída"/>
    <x v="0"/>
  </r>
  <r>
    <x v="224"/>
    <s v="Cartão de Crédito Dr Ivanildo"/>
    <s v="Jusbrasil"/>
    <x v="12"/>
    <x v="1"/>
    <s v="BANCO ITAU"/>
    <s v="BANCO ITAU"/>
    <m/>
    <m/>
    <s v="Thaynara Borges"/>
    <n v="-58.9"/>
    <s v="Saída"/>
    <x v="0"/>
  </r>
  <r>
    <x v="224"/>
    <s v="Cartão de Crédito Dr Ivanildo"/>
    <s v="SUPERMERCADO MOREIRA"/>
    <x v="11"/>
    <x v="1"/>
    <s v="BANCO ITAU"/>
    <s v="BANCO ITAU"/>
    <m/>
    <m/>
    <s v="Nathalia Louiz"/>
    <n v="-79.599999999999994"/>
    <s v="Saída"/>
    <x v="0"/>
  </r>
  <r>
    <x v="224"/>
    <s v="Cartão de Crédito Dr Ivanildo"/>
    <s v="POTENCIA FRIOS"/>
    <x v="11"/>
    <x v="1"/>
    <s v="BANCO ITAU"/>
    <s v="BANCO ITAU"/>
    <m/>
    <m/>
    <s v="Nathalia Louiz"/>
    <n v="-26.68"/>
    <s v="Saída"/>
    <x v="0"/>
  </r>
  <r>
    <x v="224"/>
    <s v="Banco do Brasil - Sarah Alves Lisboa"/>
    <s v="Anuidade 13x de 550"/>
    <x v="2"/>
    <x v="2"/>
    <s v="SEBASTIAO RIBEIRO NETO"/>
    <s v="SEBASTIAO RIBEIRO NETO"/>
    <m/>
    <s v="APOSENTADORIA POR TEMPO DE CONTRIBUIÇAO DA PESSOA COM DEFICIENCIA"/>
    <s v="Nathalia Louiz"/>
    <n v="557"/>
    <s v="Entrada"/>
    <x v="1"/>
  </r>
  <r>
    <x v="224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224"/>
    <s v="Cartão de Crédito Dr Ivanildo"/>
    <s v="Pagamento Cartão de Crédito Dr Ivanildo"/>
    <x v="6"/>
    <x v="1"/>
    <s v="BANCO ITAU"/>
    <s v="BANCO ITAU"/>
    <m/>
    <m/>
    <s v="Thaynara Borges"/>
    <n v="1504.82"/>
    <s v="Entrada"/>
    <x v="1"/>
  </r>
  <r>
    <x v="224"/>
    <s v="Itaú - Lisboa e Lisboa"/>
    <s v="Cestas e Panetones de parceiros"/>
    <x v="16"/>
    <x v="4"/>
    <s v="CASA CAFE"/>
    <s v="CASA CAFE"/>
    <m/>
    <m/>
    <s v="Nathalia Louiz"/>
    <n v="-2347.11"/>
    <s v="Saída"/>
    <x v="0"/>
  </r>
  <r>
    <x v="224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224"/>
    <s v="Cartão de Crédito Dr Ivanildo"/>
    <s v="ALMOÇO MENSAL DE METAS"/>
    <x v="11"/>
    <x v="1"/>
    <s v="BANCO ITAU"/>
    <s v="BANCO ITAU"/>
    <m/>
    <m/>
    <s v="Nathalia Louiz"/>
    <n v="-390.3"/>
    <s v="Saída"/>
    <x v="0"/>
  </r>
  <r>
    <x v="224"/>
    <s v="Cartão de Crédito Dr Ivanildo"/>
    <s v="Jusbrasil"/>
    <x v="12"/>
    <x v="1"/>
    <s v="BANCO ITAU"/>
    <s v="BANCO ITAU"/>
    <m/>
    <m/>
    <s v="Thaynara Borges"/>
    <n v="-58.9"/>
    <s v="Saída"/>
    <x v="0"/>
  </r>
  <r>
    <x v="224"/>
    <s v="Cartão de Crédito Dr Ivanildo"/>
    <s v="CANAÃ FRIOS"/>
    <x v="11"/>
    <x v="1"/>
    <s v="BANCO ITAÚ S/A"/>
    <s v="BANCO ITAÚ S/A"/>
    <m/>
    <m/>
    <s v="Nathalia Louiz"/>
    <n v="-26.73"/>
    <s v="Saída"/>
    <x v="0"/>
  </r>
  <r>
    <x v="224"/>
    <s v="Cartão de Crédito Dr Ivanildo"/>
    <s v="PAPELARIA BA"/>
    <x v="26"/>
    <x v="1"/>
    <s v="BANCO ITAU"/>
    <s v="BANCO ITAU"/>
    <m/>
    <m/>
    <s v="Nathalia Louiz"/>
    <n v="-21.9"/>
    <s v="Saída"/>
    <x v="0"/>
  </r>
  <r>
    <x v="224"/>
    <s v="Banco do Brasil - Sarah Alves Lisboa"/>
    <s v="30% Sob implantação"/>
    <x v="2"/>
    <x v="2"/>
    <s v="LUCIA ALVES DA SILVA"/>
    <s v="LUCIA ALVES DA SILVA"/>
    <m/>
    <s v="BENEFÍCIO POR INCAPACIDADE"/>
    <s v="Nathalia Louiz"/>
    <n v="759"/>
    <s v="Entrada"/>
    <x v="1"/>
  </r>
  <r>
    <x v="224"/>
    <s v="Cartão de Crédito Dr Ivanildo"/>
    <s v="Google One"/>
    <x v="12"/>
    <x v="1"/>
    <s v="BANCO ITAU"/>
    <s v="BANCO ITAU"/>
    <m/>
    <m/>
    <s v="Thaynara Borges"/>
    <n v="-49.99"/>
    <s v="Saída"/>
    <x v="0"/>
  </r>
  <r>
    <x v="224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225"/>
    <s v="Banco do Brasil - Sarah Alves Lisboa"/>
    <s v="Cartões de visita"/>
    <x v="26"/>
    <x v="1"/>
    <s v="ODORICO CANASSA BIANCHINI JUNIOR"/>
    <s v="ODORICO CANASSA BIANCHINI JUNIOR"/>
    <m/>
    <m/>
    <s v="Nathalia Louiz"/>
    <n v="-290"/>
    <s v="Saída"/>
    <x v="0"/>
  </r>
  <r>
    <x v="225"/>
    <s v="Itaú - Lisboa e Lisboa"/>
    <s v="Pagamento Cartão de Crédito Dr Ivanildo"/>
    <x v="6"/>
    <x v="1"/>
    <s v="BANCO ITAU"/>
    <s v="BANCO ITAU"/>
    <m/>
    <m/>
    <s v="Nathalia Louiz"/>
    <n v="-1504.82"/>
    <s v="Saída"/>
    <x v="0"/>
  </r>
  <r>
    <x v="225"/>
    <s v="Itaú - Lisboa e Lisboa"/>
    <s v="Taxa de Condomínio Vaga Garagem A-81"/>
    <x v="10"/>
    <x v="1"/>
    <s v="ATON BUSINESS STYLE"/>
    <s v="ATON BUSINESS STYLE"/>
    <m/>
    <m/>
    <s v="Thaynara Borges"/>
    <n v="-61.65"/>
    <s v="Saída"/>
    <x v="0"/>
  </r>
  <r>
    <x v="225"/>
    <s v="Itaú - Lisboa e Lisboa"/>
    <s v="Taxa de Condomínio Sala B-73"/>
    <x v="10"/>
    <x v="1"/>
    <s v="ATON BUSINESS STYLE"/>
    <s v="ATON BUSINESS STYLE"/>
    <m/>
    <m/>
    <s v="Thaynara Borges"/>
    <n v="-1291.57"/>
    <s v="Saída"/>
    <x v="0"/>
  </r>
  <r>
    <x v="225"/>
    <s v="Itaú - Lisboa e Lisboa"/>
    <s v="Taxa de Condomínio Vaga Garagem A-78"/>
    <x v="10"/>
    <x v="1"/>
    <s v="ATON BUSINESS STYLE"/>
    <s v="ATON BUSINESS STYLE"/>
    <m/>
    <m/>
    <s v="Thaynara Borges"/>
    <n v="-61.65"/>
    <s v="Saída"/>
    <x v="0"/>
  </r>
  <r>
    <x v="225"/>
    <s v="Itaú - Lisboa e Lisboa"/>
    <s v="Taxa de Condomínio Vaga Garagem A-88"/>
    <x v="10"/>
    <x v="1"/>
    <s v="ATON BUSINESS STYLE"/>
    <s v="ATON BUSINESS STYLE"/>
    <m/>
    <m/>
    <s v="Thaynara Borges"/>
    <n v="-61.65"/>
    <s v="Saída"/>
    <x v="0"/>
  </r>
  <r>
    <x v="225"/>
    <s v="Itaú - Lisboa e Lisboa"/>
    <s v="Taxa de Condomínio Vaga Garagem A-82"/>
    <x v="10"/>
    <x v="1"/>
    <s v="ATON BUSINESS STYLE"/>
    <s v="ATON BUSINESS STYLE"/>
    <m/>
    <m/>
    <s v="Thaynara Borges"/>
    <n v="-61.65"/>
    <s v="Saída"/>
    <x v="0"/>
  </r>
  <r>
    <x v="225"/>
    <s v="Itaú - Lisboa e Lisboa"/>
    <s v="Taxa de Condomínio Vaga Garagem A-83"/>
    <x v="10"/>
    <x v="1"/>
    <s v="ATON BUSINESS STYLE"/>
    <s v="ATON BUSINESS STYLE"/>
    <m/>
    <m/>
    <s v="Thaynara Borges"/>
    <n v="-61.65"/>
    <s v="Saída"/>
    <x v="0"/>
  </r>
  <r>
    <x v="225"/>
    <s v="Itaú - Lisboa e Lisboa"/>
    <s v="Taxa de Condomínio Sala B-74"/>
    <x v="10"/>
    <x v="1"/>
    <s v="ATON BUSINESS STYLE"/>
    <s v="ATON BUSINESS STYLE"/>
    <m/>
    <m/>
    <s v="Thaynara Borges"/>
    <n v="-1292.2"/>
    <s v="Saída"/>
    <x v="0"/>
  </r>
  <r>
    <x v="225"/>
    <s v="Banco do Brasil - Sarah Alves Lisboa"/>
    <s v="Honorários de Sucumbência"/>
    <x v="2"/>
    <x v="2"/>
    <s v="MARIA ISMENIA FURTADO SILVA"/>
    <s v="MARIA ISMENIA FURTADO SILVA"/>
    <m/>
    <s v="APOSENTADORIA"/>
    <s v="Nathalia Louiz"/>
    <n v="1824.25"/>
    <s v="Entrada"/>
    <x v="1"/>
  </r>
  <r>
    <x v="226"/>
    <s v="Itaú - Lisboa e Lisboa"/>
    <s v="Celular"/>
    <x v="8"/>
    <x v="1"/>
    <s v="VIVO"/>
    <s v="VIVO"/>
    <m/>
    <m/>
    <s v="Thaynara Borges"/>
    <n v="-137.37"/>
    <s v="Saída"/>
    <x v="0"/>
  </r>
  <r>
    <x v="226"/>
    <s v="Itaú - Lisboa e Lisboa"/>
    <s v="3 SALÁRIOS DE BENEFICIO (Entrada de 1000,00 + 6x de 492,33 no boleto)"/>
    <x v="2"/>
    <x v="2"/>
    <s v="Maura Cardoso Borges"/>
    <s v="Maura Cardoso Borges"/>
    <m/>
    <s v="APOSENTADORIA POR IDADE"/>
    <s v="Nathalia Louiz"/>
    <n v="489.47999999999996"/>
    <s v="Entrada"/>
    <x v="1"/>
  </r>
  <r>
    <x v="227"/>
    <s v="Banco do Brasil - Sarah Alves Lisboa"/>
    <s v="Peças avulsas"/>
    <x v="42"/>
    <x v="6"/>
    <s v="Dra Raffaela Nunes"/>
    <s v="Dra Raffaela Nunes"/>
    <m/>
    <m/>
    <s v="Nathalia Louiz"/>
    <n v="-400"/>
    <s v="Saída"/>
    <x v="0"/>
  </r>
  <r>
    <x v="227"/>
    <s v="Banco do Brasil - Sarah Alves Lisboa"/>
    <s v="Compras para viagem"/>
    <x v="5"/>
    <x v="4"/>
    <s v="Marcelo Pereira de"/>
    <s v="Marcelo Pereira de"/>
    <m/>
    <m/>
    <s v="Nathalia Louiz"/>
    <n v="-96"/>
    <s v="Saída"/>
    <x v="0"/>
  </r>
  <r>
    <x v="227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27"/>
    <s v="Banco do Brasil - Sarah Alves Lisboa"/>
    <s v="COMPRAS PARA VIAGEM"/>
    <x v="11"/>
    <x v="1"/>
    <s v="SUPERMERCADO MOREIRA"/>
    <s v="SUPERMERCADO MOREIRA"/>
    <m/>
    <m/>
    <s v="Nathalia Louiz"/>
    <n v="-271.07"/>
    <s v="Saída"/>
    <x v="0"/>
  </r>
  <r>
    <x v="227"/>
    <s v="Banco do Brasil - Sarah Alves Lisboa"/>
    <s v="Combustível - Viagem"/>
    <x v="35"/>
    <x v="4"/>
    <s v="POSTO SÃO ROQUE"/>
    <s v="POSTO SÃO ROQUE"/>
    <m/>
    <m/>
    <s v="Nathalia Louiz"/>
    <n v="-50.08"/>
    <s v="Saída"/>
    <x v="0"/>
  </r>
  <r>
    <x v="227"/>
    <s v="Banco do Brasil - Sarah Alves Lisboa"/>
    <s v="PEDÁGIO"/>
    <x v="5"/>
    <x v="4"/>
    <s v="CORUMBA CONCESSOES LTDA"/>
    <s v="CORUMBA CONCESSOES LTDA"/>
    <m/>
    <m/>
    <s v="Nathalia Louiz"/>
    <n v="-14.3"/>
    <s v="Saída"/>
    <x v="0"/>
  </r>
  <r>
    <x v="227"/>
    <s v="Banco do Brasil - Sarah Alves Lisboa"/>
    <s v="PEDÁGIO"/>
    <x v="5"/>
    <x v="4"/>
    <s v="CORUMBA CONCESSOES LTDA"/>
    <s v="CORUMBA CONCESSOES LTDA"/>
    <m/>
    <m/>
    <s v="Nathalia Louiz"/>
    <n v="-14.3"/>
    <s v="Saída"/>
    <x v="0"/>
  </r>
  <r>
    <x v="227"/>
    <s v="Banco do Brasil - Sarah Alves Lisboa"/>
    <s v="PEDÁGIO"/>
    <x v="5"/>
    <x v="4"/>
    <s v="CONCEBRA - PEDÁGIO"/>
    <s v="CONCEBRA - PEDÁGIO"/>
    <m/>
    <m/>
    <s v="Nathalia Louiz"/>
    <n v="-5.4"/>
    <s v="Saída"/>
    <x v="0"/>
  </r>
  <r>
    <x v="228"/>
    <s v="Cartão de Crédito Dra Sarah"/>
    <s v="LATAM (Premio Águia)"/>
    <x v="5"/>
    <x v="4"/>
    <s v="BANCO ITAU"/>
    <s v="BANCO ITAU"/>
    <m/>
    <m/>
    <s v="Nathalia Louiz"/>
    <n v="-242.06"/>
    <s v="Saída"/>
    <x v="0"/>
  </r>
  <r>
    <x v="228"/>
    <s v="Cartão de Crédito Dra Sarah"/>
    <s v="AG DE TURISMO"/>
    <x v="5"/>
    <x v="4"/>
    <s v="BANCO ITAU"/>
    <s v="BANCO ITAU"/>
    <m/>
    <m/>
    <s v="Nathalia Louiz"/>
    <n v="-271.8"/>
    <s v="Saída"/>
    <x v="0"/>
  </r>
  <r>
    <x v="228"/>
    <s v="Cartão de Crédito Dra Sarah"/>
    <s v="COMPRA MERCADO LIVRE"/>
    <x v="6"/>
    <x v="1"/>
    <s v="BANCO ITAU"/>
    <s v="BANCO ITAU"/>
    <m/>
    <m/>
    <s v="Nathalia Louiz"/>
    <n v="-224.99"/>
    <s v="Saída"/>
    <x v="0"/>
  </r>
  <r>
    <x v="228"/>
    <s v="Cartão de Crédito Dra Thaynara - Itaú"/>
    <s v="Cartão de Crédito Dra Thaynara - Itaú"/>
    <x v="46"/>
    <x v="12"/>
    <s v=""/>
    <s v=""/>
    <m/>
    <m/>
    <m/>
    <n v="0"/>
    <s v="Entrada"/>
    <x v="1"/>
  </r>
  <r>
    <x v="228"/>
    <s v="Cartão de Crédito Dra Sarah"/>
    <s v="Hotel"/>
    <x v="5"/>
    <x v="4"/>
    <s v="BANCO ITAU"/>
    <s v="BANCO ITAU"/>
    <m/>
    <m/>
    <s v="Nathalia Louiz"/>
    <n v="-319.32"/>
    <s v="Saída"/>
    <x v="0"/>
  </r>
  <r>
    <x v="228"/>
    <s v="Cartão de Crédito Dra Thaynara - Itaú"/>
    <s v="CANAÃ FRIOS"/>
    <x v="11"/>
    <x v="1"/>
    <s v="BANCO ITAU"/>
    <s v="BANCO ITAU"/>
    <m/>
    <m/>
    <s v="Nathalia Louiz"/>
    <n v="-18.87"/>
    <s v="Saída"/>
    <x v="0"/>
  </r>
  <r>
    <x v="228"/>
    <s v="Cartão de Crédito Dra Thaynara - Itaú"/>
    <s v="AMAZON BR - SITE"/>
    <x v="26"/>
    <x v="1"/>
    <s v="BANCO ITAU"/>
    <s v="BANCO ITAU"/>
    <m/>
    <m/>
    <s v="Nathalia Louiz"/>
    <n v="-85.87"/>
    <s v="Saída"/>
    <x v="0"/>
  </r>
  <r>
    <x v="228"/>
    <s v="Cartão de Crédito Dra Thaynara - Itaú"/>
    <s v="AMAZON BR - SITE"/>
    <x v="26"/>
    <x v="1"/>
    <s v="BANCO ITAU"/>
    <s v="BANCO ITAU"/>
    <m/>
    <m/>
    <s v="Nathalia Louiz"/>
    <n v="-53.71"/>
    <s v="Saída"/>
    <x v="0"/>
  </r>
  <r>
    <x v="228"/>
    <s v="Cartão de Crédito Dra Sarah"/>
    <s v="Cartão de crédito Dra Sarah"/>
    <x v="6"/>
    <x v="1"/>
    <s v="BANCO ITAU"/>
    <s v="BANCO ITAU"/>
    <m/>
    <m/>
    <s v="Nathalia Louiz"/>
    <n v="1594.32"/>
    <s v="Entrada"/>
    <x v="1"/>
  </r>
  <r>
    <x v="228"/>
    <s v="Cartão de Crédito Dra Thaynara - Itaú"/>
    <s v="Pagamento Cartão de Crédito Dra Thaynara - Itaú"/>
    <x v="6"/>
    <x v="1"/>
    <s v="BANCO ITAU"/>
    <s v="BANCO ITAU"/>
    <m/>
    <m/>
    <s v="Nathalia Louiz"/>
    <n v="272.38"/>
    <s v="Entrada"/>
    <x v="1"/>
  </r>
  <r>
    <x v="228"/>
    <s v="Cartão de Crédito Dra Thaynara - Itaú"/>
    <s v="KABUM KABUM"/>
    <x v="26"/>
    <x v="1"/>
    <s v="BANCO ITAU"/>
    <s v="BANCO ITAU"/>
    <m/>
    <m/>
    <s v="Nathalia Louiz"/>
    <n v="-94.04"/>
    <s v="Saída"/>
    <x v="0"/>
  </r>
  <r>
    <x v="228"/>
    <s v="Cartão de Crédito Dra Sarah"/>
    <s v="CONSULTORIA ESTRATEGIA"/>
    <x v="34"/>
    <x v="1"/>
    <s v="BANCO ITAU"/>
    <s v="BANCO ITAU"/>
    <m/>
    <m/>
    <s v="Nathalia Louiz"/>
    <n v="-300.05"/>
    <s v="Saída"/>
    <x v="0"/>
  </r>
  <r>
    <x v="228"/>
    <s v="Cartão de Crédito Dra Thaynara - Itaú"/>
    <s v="AMAZON BR - SITE"/>
    <x v="26"/>
    <x v="1"/>
    <s v="BANCO ITAU"/>
    <s v="BANCO ITAU"/>
    <m/>
    <m/>
    <s v="Nathalia Louiz"/>
    <n v="-19.89"/>
    <s v="Saída"/>
    <x v="0"/>
  </r>
  <r>
    <x v="228"/>
    <s v="Cartão de Crédito Dra Sarah"/>
    <s v="GOL (Premio Águia)"/>
    <x v="5"/>
    <x v="4"/>
    <s v="BANCO ITAU"/>
    <s v="BANCO ITAU"/>
    <m/>
    <m/>
    <s v="Nathalia Louiz"/>
    <n v="-236.1"/>
    <s v="Saída"/>
    <x v="0"/>
  </r>
  <r>
    <x v="229"/>
    <s v="Banco do Brasil - Sarah Alves Lisboa"/>
    <s v="Combustível - Viagem"/>
    <x v="35"/>
    <x v="4"/>
    <s v="POSTO 2824"/>
    <s v="POSTO 2824"/>
    <m/>
    <m/>
    <s v="Nathalia Louiz"/>
    <n v="-385.1"/>
    <s v="Saída"/>
    <x v="0"/>
  </r>
  <r>
    <x v="229"/>
    <s v="Banco do Brasil - Sarah Alves Lisboa"/>
    <s v="Repasse de comissão por reunião"/>
    <x v="28"/>
    <x v="7"/>
    <s v="GIOVANNA G RODRIGUES"/>
    <s v="GIOVANNA G RODRIGUES"/>
    <m/>
    <m/>
    <s v="Nathalia Louiz"/>
    <n v="-100"/>
    <s v="Saída"/>
    <x v="0"/>
  </r>
  <r>
    <x v="229"/>
    <s v="Itaú - Lisboa e Lisboa"/>
    <s v="CONTRATO 9621661899"/>
    <x v="8"/>
    <x v="1"/>
    <s v="VIVO FIXO"/>
    <s v="VIVO FIXO"/>
    <m/>
    <m/>
    <s v="Thaynara Borges"/>
    <n v="-260.58"/>
    <s v="Saída"/>
    <x v="0"/>
  </r>
  <r>
    <x v="229"/>
    <s v="Itaú - Lisboa e Lisboa"/>
    <s v="Pagamento Cartão de Crédito Dra Sarah Lisboa"/>
    <x v="6"/>
    <x v="1"/>
    <s v="BANCO ITAU"/>
    <s v="BANCO ITAU"/>
    <m/>
    <m/>
    <s v="Nathalia Louiz"/>
    <n v="-1594.32"/>
    <s v="Saída"/>
    <x v="0"/>
  </r>
  <r>
    <x v="229"/>
    <s v="Itaú - Lisboa e Lisboa"/>
    <s v="Marketing"/>
    <x v="44"/>
    <x v="1"/>
    <s v="ANNA CLARA JARDIM"/>
    <s v="ANNA CLARA JARDIM"/>
    <m/>
    <m/>
    <s v="Nathalia Louiz"/>
    <n v="-700"/>
    <s v="Saída"/>
    <x v="0"/>
  </r>
  <r>
    <x v="229"/>
    <s v="Itaú - Lisboa e Lisboa"/>
    <s v="R$ 4.554,00 em 9x - IMPLANTAÇÃO"/>
    <x v="2"/>
    <x v="2"/>
    <s v="ADERSON CARDOSO SANTANA"/>
    <s v="ADERSON CARDOSO SANTANA"/>
    <m/>
    <s v="PENSÃO POR MORTE"/>
    <s v="Nathalia Louiz"/>
    <n v="504.88"/>
    <s v="Entrada"/>
    <x v="2"/>
  </r>
  <r>
    <x v="229"/>
    <s v="Itaú - Lisboa e Lisboa"/>
    <s v="3 SALÁRIOS DE BENEFICIO (1000,00 + 5X 710,80)"/>
    <x v="2"/>
    <x v="2"/>
    <s v="ALDENY TELES DE OLIVEIRA NUNES"/>
    <s v="ALDENY TELES DE OLIVEIRA NUNES"/>
    <m/>
    <s v="APOSENTADORIA POR IDADE"/>
    <s v="Nathalia Louiz"/>
    <n v="707.94999999999993"/>
    <s v="Entrada"/>
    <x v="1"/>
  </r>
  <r>
    <x v="229"/>
    <s v="Itaú - Lisboa e Lisboa"/>
    <s v="30% SOB RPV"/>
    <x v="2"/>
    <x v="2"/>
    <s v="GENILDO JANUARIO LEITE"/>
    <s v="GENILDO JANUARIO LEITE"/>
    <m/>
    <s v="BENEFICIO POR INCAPACIDADE"/>
    <s v="Nathalia Louiz"/>
    <n v="3272.57"/>
    <s v="Entrada"/>
    <x v="1"/>
  </r>
  <r>
    <x v="229"/>
    <s v="Itaú - Lisboa e Lisboa"/>
    <s v="Pagamento cartão de crédito Dra Thaynara - Itaú"/>
    <x v="6"/>
    <x v="1"/>
    <s v="BANCO ITAU"/>
    <s v="BANCO ITAU"/>
    <m/>
    <m/>
    <s v="Nathalia Louiz"/>
    <n v="-272.38"/>
    <s v="Saída"/>
    <x v="0"/>
  </r>
  <r>
    <x v="229"/>
    <s v="Banco do Brasil - Sarah Alves Lisboa"/>
    <s v="Lanches de viagem"/>
    <x v="11"/>
    <x v="1"/>
    <s v="MAURICIO HENRIQUE MARTINS"/>
    <s v="MAURICIO HENRIQUE MARTINS"/>
    <m/>
    <m/>
    <s v="Nathalia Louiz"/>
    <n v="-18"/>
    <s v="Saída"/>
    <x v="0"/>
  </r>
  <r>
    <x v="229"/>
    <s v="Itaú - Lisboa e Lisboa"/>
    <s v="PAGAMENTO DE HONORÁRIOS"/>
    <x v="2"/>
    <x v="2"/>
    <s v="VALDIR DE PAIVA BRASIL"/>
    <s v="VALDIR DE PAIVA BRASIL"/>
    <m/>
    <s v="PENSÃO POR MORTE"/>
    <s v="Nathalia Louiz"/>
    <n v="300"/>
    <s v="Entrada"/>
    <x v="2"/>
  </r>
  <r>
    <x v="229"/>
    <s v="Banco do Brasil - Sarah Alves Lisboa"/>
    <s v="Honorários (3x1500,00) 50% DR GUSTAVO"/>
    <x v="2"/>
    <x v="2"/>
    <s v="ELISEU FRADIQUE MARÇAL"/>
    <s v="ELISEU FRADIQUE MARÇAL"/>
    <m/>
    <s v="RECISÃO DE CONTRATO"/>
    <s v="Nathalia Louiz"/>
    <n v="1500"/>
    <s v="Entrada"/>
    <x v="1"/>
  </r>
  <r>
    <x v="229"/>
    <s v="Itaú - Lisboa e Lisboa"/>
    <s v="40% sob RPV"/>
    <x v="2"/>
    <x v="2"/>
    <s v="IVANESSA ADRIANA SILVA DE SOUSA"/>
    <s v="IVANESSA ADRIANA SILVA DE SOUSA"/>
    <m/>
    <s v="SALÁRIO MATERNIDADE"/>
    <s v="Nathalia Louiz"/>
    <n v="2693.78"/>
    <s v="Entrada"/>
    <x v="1"/>
  </r>
  <r>
    <x v="229"/>
    <s v="Banco do Brasil - Sarah Alves Lisboa"/>
    <s v="Tarifa Bancária"/>
    <x v="4"/>
    <x v="3"/>
    <s v="BANCO DO BRASIL S/A"/>
    <s v="BANCO DO BRASIL S/A"/>
    <m/>
    <m/>
    <s v="Thaynara Borges"/>
    <n v="-15.9"/>
    <s v="Saída"/>
    <x v="0"/>
  </r>
  <r>
    <x v="229"/>
    <s v="Itaú - Lisboa e Lisboa"/>
    <s v="30% sob RPV"/>
    <x v="2"/>
    <x v="2"/>
    <s v="MARCOS HENRIQUE SILVA SANTOS"/>
    <s v="MARCOS HENRIQUE SILVA SANTOS"/>
    <m/>
    <s v="BENEFÍCIO POR INCAPACIDADE"/>
    <s v="Nathalia Louiz"/>
    <n v="1396.26"/>
    <s v="Entrada"/>
    <x v="1"/>
  </r>
  <r>
    <x v="230"/>
    <s v="Banco do Brasil - Sarah Alves Lisboa"/>
    <s v="40% SOB IMPLANTAÇÃO"/>
    <x v="2"/>
    <x v="2"/>
    <s v="WELLINGTON FERREIRA DE ALMEIDA"/>
    <s v="WELLINGTON FERREIRA DE ALMEIDA"/>
    <m/>
    <s v="AUXILIO DOENÇA"/>
    <s v="Nathalia Louiz"/>
    <n v="1214.4000000000001"/>
    <s v="Entrada"/>
    <x v="1"/>
  </r>
  <r>
    <x v="230"/>
    <s v="Banco do Brasil - Sarah Alves Lisboa"/>
    <s v="30% sob implantação"/>
    <x v="2"/>
    <x v="2"/>
    <s v="JOEL ANDRADE FERREIRA"/>
    <s v="JOEL ANDRADE FERREIRA"/>
    <m/>
    <s v="APOSENTADORIA POR IDADE"/>
    <s v="Nathalia Louiz"/>
    <n v="953.1"/>
    <s v="Entrada"/>
    <x v="1"/>
  </r>
  <r>
    <x v="230"/>
    <s v="Itaú - Lisboa e Lisboa"/>
    <s v="30% + 20% honorários"/>
    <x v="2"/>
    <x v="2"/>
    <s v="MARIA APARECIDA QUEIROZ BARROS MONTEIRO"/>
    <s v="MARIA APARECIDA QUEIROZ BARROS MONTEIRO"/>
    <m/>
    <s v="AUXILIO DOENÇA"/>
    <s v="Nathalia Louiz"/>
    <n v="11079.36"/>
    <s v="Entrada"/>
    <x v="1"/>
  </r>
  <r>
    <x v="230"/>
    <s v="Itaú - Lisboa e Lisboa"/>
    <s v="40% SOB RPV"/>
    <x v="2"/>
    <x v="2"/>
    <s v="ADILSON GOMES GUIMARAES"/>
    <s v="ADILSON GOMES GUIMARAES"/>
    <m/>
    <s v="BENEFICIO POR INCAPACIDADE"/>
    <s v="Nathalia Louiz"/>
    <n v="16656.64"/>
    <s v="Entrada"/>
    <x v="1"/>
  </r>
  <r>
    <x v="230"/>
    <s v="Itaú - Lisboa e Lisboa"/>
    <s v="30  % Sob recebimento de RPV + Anuidade"/>
    <x v="2"/>
    <x v="2"/>
    <s v="SIRLEY PAULINO DE LIMA"/>
    <s v="SIRLEY PAULINO DE LIMA"/>
    <m/>
    <s v="APOSENTADORIA RURAL"/>
    <s v="Nathalia Louiz"/>
    <n v="8538.6200000000008"/>
    <s v="Entrada"/>
    <x v="1"/>
  </r>
  <r>
    <x v="231"/>
    <s v="Itaú - Lisboa e Lisboa"/>
    <s v="3 SALÁRIOS DE BENEFICIOS (R$ 8.269,50 em 8 vezes)"/>
    <x v="2"/>
    <x v="2"/>
    <s v="COSME DOS SANTOS VAZ"/>
    <s v="COSME DOS SANTOS VAZ"/>
    <m/>
    <s v="APOSENTADORIA POR TEMPO DE CONTRIBUIÇÃO"/>
    <s v="Nathalia Louiz"/>
    <n v="1030.8400000000001"/>
    <s v="Entrada"/>
    <x v="1"/>
  </r>
  <r>
    <x v="231"/>
    <s v="Banco do Brasil - Sarah Alves Lisboa"/>
    <s v="Adiantamento para procuração em cartório"/>
    <x v="7"/>
    <x v="5"/>
    <s v="JACINTO ALVES FALCÃO"/>
    <s v="JACINTO ALVES FALCÃO"/>
    <m/>
    <s v="AMPARO AO IDOSO"/>
    <s v="Nathalia Louiz"/>
    <n v="-110.98"/>
    <s v="Saída"/>
    <x v="0"/>
  </r>
  <r>
    <x v="231"/>
    <s v="Banco do Brasil - Sarah Alves Lisboa"/>
    <s v="Comissão por indicação"/>
    <x v="28"/>
    <x v="7"/>
    <s v="BRENNO VICTOR CASSIMIRO"/>
    <s v="BRENNO VICTOR CASSIMIRO"/>
    <m/>
    <m/>
    <s v="Nathalia Louiz"/>
    <n v="-100"/>
    <s v="Saída"/>
    <x v="0"/>
  </r>
  <r>
    <x v="231"/>
    <s v="Itaú - Lisboa e Lisboa"/>
    <s v="SUPRIMENTOS PARA ESCRITÓRIO"/>
    <x v="26"/>
    <x v="1"/>
    <s v="R3 SUPRIMENTOS CORPORATIVOS LTDA"/>
    <s v="R3 SUPRIMENTOS CORPORATIVOS LTDA"/>
    <m/>
    <m/>
    <s v="Nathalia Louiz"/>
    <n v="-384.5"/>
    <s v="Saída"/>
    <x v="0"/>
  </r>
  <r>
    <x v="231"/>
    <s v="Itaú - Lisboa e Lisboa"/>
    <s v="Transferência de honorários da cliente SIRLEY PAULINO (NFE)"/>
    <x v="40"/>
    <x v="11"/>
    <s v="Itaú - Lisboa e Lisboa"/>
    <s v="Itaú - Lisboa e Lisboa"/>
    <m/>
    <m/>
    <s v="Nathalia Louiz"/>
    <n v="910.8"/>
    <s v="Entrada"/>
    <x v="1"/>
  </r>
  <r>
    <x v="231"/>
    <s v="Banco do Brasil - Sarah Alves Lisboa"/>
    <s v="Gratificação por reuniões"/>
    <x v="28"/>
    <x v="7"/>
    <s v="Maria Lourdes Feitosa do Nascimento"/>
    <s v="Maria Lourdes Feitosa do Nascimento"/>
    <m/>
    <m/>
    <s v="Nathalia Louiz"/>
    <n v="-1500"/>
    <s v="Saída"/>
    <x v="0"/>
  </r>
  <r>
    <x v="231"/>
    <s v="Banco do Brasil - Sarah Alves Lisboa"/>
    <s v="Pagamento de 50% DR SILVIO/GUSTAVO"/>
    <x v="28"/>
    <x v="7"/>
    <s v="ELISEU FRADIQUE MARÇAL"/>
    <s v="ELISEU FRADIQUE MARÇAL"/>
    <m/>
    <s v="RECISÃO DE CONTRATO"/>
    <s v="Nathalia Louiz"/>
    <n v="-750"/>
    <s v="Saída"/>
    <x v="0"/>
  </r>
  <r>
    <x v="231"/>
    <s v="Itaú - Lisboa e Lisboa"/>
    <s v="CESTAS E PRESENTES PARA DOAÇÃO"/>
    <x v="27"/>
    <x v="4"/>
    <s v="THIAGO SILVA AGUIAR"/>
    <s v="THIAGO SILVA AGUIAR"/>
    <m/>
    <m/>
    <s v="Nathalia Louiz"/>
    <n v="-3992"/>
    <s v="Saída"/>
    <x v="0"/>
  </r>
  <r>
    <x v="231"/>
    <s v="Itaú - Lisboa e Lisboa"/>
    <s v="Custas finais do processo"/>
    <x v="7"/>
    <x v="5"/>
    <s v="GERALDINA CANDIDA DA SILVA"/>
    <s v="GERALDINA CANDIDA DA SILVA"/>
    <m/>
    <s v="INEXIGIBILIDADE DE DÉBITO C/C REPETIÇÃO DE INDÉBITO C/C DANOS MORAIS"/>
    <s v="Nathalia Louiz"/>
    <n v="-1674.43"/>
    <s v="Saída"/>
    <x v="0"/>
  </r>
  <r>
    <x v="231"/>
    <s v="Banco do Brasil - Sarah Alves Lisboa"/>
    <s v="PARCEIRIA DR SILVIO - Honorários de parceria caso VALENTINA SOUSA FONSECA"/>
    <x v="2"/>
    <x v="2"/>
    <s v="VALENTINA SOUSA FONSECA"/>
    <s v="VALENTINA SOUSA FONSECA"/>
    <m/>
    <s v="SOLICITAR PAGAMENTOS NÃO RECEBIDOS"/>
    <s v="Nathalia Louiz"/>
    <n v="168"/>
    <s v="Entrada"/>
    <x v="1"/>
  </r>
  <r>
    <x v="231"/>
    <s v="Banco do Brasil - Sarah Alves Lisboa"/>
    <s v="Mantimentos para escritório"/>
    <x v="11"/>
    <x v="1"/>
    <s v="ASSAI ATACADISTA"/>
    <s v="ASSAI ATACADISTA"/>
    <m/>
    <m/>
    <s v="Nathalia Louiz"/>
    <n v="-63.85"/>
    <s v="Saída"/>
    <x v="0"/>
  </r>
  <r>
    <x v="231"/>
    <s v="Banco do Brasil - Sarah Alves Lisboa"/>
    <s v="Transferência de honorários da cliente SIRLEY PAULINO (NFE)"/>
    <x v="40"/>
    <x v="11"/>
    <s v="Banco do Brasil - Sarah Alves Lisboa"/>
    <s v="Banco do Brasil - Sarah Alves Lisboa"/>
    <m/>
    <m/>
    <s v="Nathalia Louiz"/>
    <n v="-910.8"/>
    <s v="Saída"/>
    <x v="0"/>
  </r>
  <r>
    <x v="232"/>
    <s v="Banco do Brasil - Sarah Alves Lisboa"/>
    <s v="Mantimentos para escritório"/>
    <x v="11"/>
    <x v="1"/>
    <s v="SUPERMERCADO MOREIRA"/>
    <s v="SUPERMERCADO MOREIRA"/>
    <m/>
    <m/>
    <s v="Nathalia Louiz"/>
    <n v="-23.65"/>
    <s v="Saída"/>
    <x v="0"/>
  </r>
  <r>
    <x v="233"/>
    <s v="Banco do Brasil - Sarah Alves Lisboa"/>
    <s v="Pagamento de uber"/>
    <x v="7"/>
    <x v="5"/>
    <s v="SILMARA ALVES ROSA"/>
    <s v="SILMARA ALVES ROSA"/>
    <m/>
    <s v="BENEFÍCIO POR INCAPACIDADE"/>
    <s v="Nathalia Louiz"/>
    <n v="-17.18"/>
    <s v="Saída"/>
    <x v="0"/>
  </r>
  <r>
    <x v="233"/>
    <s v="Banco do Brasil - Sarah Alves Lisboa"/>
    <s v="Pagamento de Uber para comparecimento de INSS"/>
    <x v="7"/>
    <x v="5"/>
    <s v="SILMARA ALVES ROSA"/>
    <s v="SILMARA ALVES ROSA"/>
    <m/>
    <s v="BENEFÍCIO POR INCAPACIDADE"/>
    <s v="Nathalia Louiz"/>
    <n v="-13.98"/>
    <s v="Saída"/>
    <x v="0"/>
  </r>
  <r>
    <x v="233"/>
    <s v="Itaú - Lisboa e Lisboa"/>
    <s v="Anuidade R$ 8.967,07 (2.000 + 12x R$580,59)"/>
    <x v="2"/>
    <x v="2"/>
    <s v="ISAEL MARCULINO DOS SANTOS"/>
    <s v="ISAEL MARCULINO DOS SANTOS"/>
    <m/>
    <s v="APOSENTADORIA POR TEMPO DE CONTRIBUIÇAO/ PORTADOR DE NECESSIDADES ESPECIAIS"/>
    <s v="Nathalia Louiz"/>
    <n v="589.54"/>
    <s v="Entrada"/>
    <x v="1"/>
  </r>
  <r>
    <x v="233"/>
    <s v="Banco do Brasil - Sarah Alves Lisboa"/>
    <s v="Peças a vulsas"/>
    <x v="28"/>
    <x v="7"/>
    <s v="Dra Raffaela Nunes"/>
    <s v="Dra Raffaela Nunes"/>
    <m/>
    <m/>
    <s v="Nathalia Louiz"/>
    <n v="-600"/>
    <s v="Saída"/>
    <x v="0"/>
  </r>
  <r>
    <x v="233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33"/>
    <s v="Itaú - Lisboa e Lisboa"/>
    <s v="R$ 10.410,60 (ENTRADA DE 5.000,00 + 3X DE 1.803,53)"/>
    <x v="2"/>
    <x v="2"/>
    <s v="FRANCISCO DO NASCIMENTO"/>
    <s v="FRANCISCO DO NASCIMENTO"/>
    <m/>
    <s v="APOSENTADORIA POR TEMPO DE CONTRIBUIÇÃO"/>
    <s v="Nathalia Louiz"/>
    <n v="1800.68"/>
    <s v="Entrada"/>
    <x v="1"/>
  </r>
  <r>
    <x v="233"/>
    <s v="Banco do Brasil - Sarah Alves Lisboa"/>
    <s v="Parceria com Dr (Consultas e Laudos)"/>
    <x v="28"/>
    <x v="7"/>
    <s v="RODOLFO CARVALHO CUNHA"/>
    <s v="RODOLFO CARVALHO CUNHA"/>
    <m/>
    <m/>
    <s v="Nathalia Louiz"/>
    <n v="-400"/>
    <s v="Saída"/>
    <x v="0"/>
  </r>
  <r>
    <x v="233"/>
    <s v="Banco do Brasil - Sarah Alves Lisboa"/>
    <s v="Comissão por indicação"/>
    <x v="28"/>
    <x v="7"/>
    <s v="MARIA NIELIA EVANGELISTA GOMES"/>
    <s v="MARIA NIELIA EVANGELISTA GOMES"/>
    <m/>
    <m/>
    <s v="Nathalia Louiz"/>
    <n v="-100"/>
    <s v="Saída"/>
    <x v="0"/>
  </r>
  <r>
    <x v="234"/>
    <s v="Cartão de Crédito Dra Thaynara - C6"/>
    <s v="CHAT GPT"/>
    <x v="12"/>
    <x v="1"/>
    <s v="C6"/>
    <s v="C6"/>
    <m/>
    <m/>
    <s v="Nathalia Louiz"/>
    <n v="-117.14"/>
    <s v="Saída"/>
    <x v="0"/>
  </r>
  <r>
    <x v="234"/>
    <s v="Cartão de Crédito Dra Thaynara - C6"/>
    <s v="BIGLAR - PORTA RETRATOS"/>
    <x v="26"/>
    <x v="1"/>
    <s v="C6"/>
    <s v="C6"/>
    <m/>
    <m/>
    <s v="Nathalia Louiz"/>
    <n v="-59.97"/>
    <s v="Saída"/>
    <x v="0"/>
  </r>
  <r>
    <x v="234"/>
    <s v="Cartão de Crédito Dra Thaynara - C6"/>
    <s v="ASTREA"/>
    <x v="12"/>
    <x v="1"/>
    <s v="C6"/>
    <s v="C6"/>
    <m/>
    <m/>
    <s v="Thaynara Borges"/>
    <n v="-653.29999999999995"/>
    <s v="Saída"/>
    <x v="0"/>
  </r>
  <r>
    <x v="234"/>
    <s v="Cartão de Crédito Dra Thaynara - C6"/>
    <s v="GOOGLE ONE"/>
    <x v="12"/>
    <x v="1"/>
    <s v="C6"/>
    <s v="C6"/>
    <m/>
    <m/>
    <s v="Nathalia Louiz"/>
    <n v="-4.5"/>
    <s v="Saída"/>
    <x v="0"/>
  </r>
  <r>
    <x v="234"/>
    <s v="Cartão de Crédito Dra Thaynara - C6"/>
    <s v="CALCULO JURIDICO"/>
    <x v="12"/>
    <x v="1"/>
    <s v="C6"/>
    <s v="C6"/>
    <m/>
    <m/>
    <s v="Nathalia Louiz"/>
    <n v="-118.3"/>
    <s v="Saída"/>
    <x v="0"/>
  </r>
  <r>
    <x v="234"/>
    <s v="Cartão de Crédito Dra Thaynara - C6"/>
    <s v="Pagamento Cartão de Crédito Dra Thaynara"/>
    <x v="6"/>
    <x v="1"/>
    <s v="C6"/>
    <s v="C6"/>
    <m/>
    <m/>
    <s v="Nathalia Louiz"/>
    <n v="1311.6"/>
    <s v="Entrada"/>
    <x v="1"/>
  </r>
  <r>
    <x v="234"/>
    <s v="Cartão de Crédito Dra Thaynara - C6"/>
    <s v="GOOGLE ONE"/>
    <x v="12"/>
    <x v="1"/>
    <s v="C6"/>
    <s v="C6"/>
    <m/>
    <m/>
    <s v="Nathalia Louiz"/>
    <n v="-14.99"/>
    <s v="Saída"/>
    <x v="0"/>
  </r>
  <r>
    <x v="234"/>
    <s v="Cartão de Crédito Dra Thaynara - C6"/>
    <s v="GOOGLE WHATSAPP BUSINESS"/>
    <x v="12"/>
    <x v="1"/>
    <s v="C6"/>
    <s v="C6"/>
    <m/>
    <m/>
    <s v="Nathalia Louiz"/>
    <n v="-109.9"/>
    <s v="Saída"/>
    <x v="0"/>
  </r>
  <r>
    <x v="234"/>
    <s v="Cartão de Crédito Dra Thaynara - C6"/>
    <s v="POS THAYNARA"/>
    <x v="32"/>
    <x v="6"/>
    <s v="C6"/>
    <s v="C6"/>
    <m/>
    <m/>
    <s v="Nathalia Louiz"/>
    <n v="-229"/>
    <s v="Saída"/>
    <x v="0"/>
  </r>
  <r>
    <x v="234"/>
    <s v="Cartão de Crédito Dra Thaynara - C6"/>
    <s v="GOOGLE ONE"/>
    <x v="12"/>
    <x v="1"/>
    <s v="C6"/>
    <s v="C6"/>
    <m/>
    <m/>
    <s v="Nathalia Louiz"/>
    <n v="-4.5"/>
    <s v="Saída"/>
    <x v="0"/>
  </r>
  <r>
    <x v="235"/>
    <s v="Banco do Brasil - Sarah Alves Lisboa"/>
    <s v="Cartão de Crédito Dra Thaynara"/>
    <x v="6"/>
    <x v="1"/>
    <s v="C6"/>
    <s v="C6"/>
    <m/>
    <m/>
    <s v="Thaynara Borges"/>
    <n v="-1311.6"/>
    <s v="Saída"/>
    <x v="0"/>
  </r>
  <r>
    <x v="235"/>
    <s v="Banco do Brasil - Sarah Alves Lisboa"/>
    <s v="Mantimentos para escritório"/>
    <x v="11"/>
    <x v="1"/>
    <s v="ASSAI ATACADISTA"/>
    <s v="ASSAI ATACADISTA"/>
    <m/>
    <m/>
    <s v="Nathalia Louiz"/>
    <n v="-95.64"/>
    <s v="Saída"/>
    <x v="0"/>
  </r>
  <r>
    <x v="236"/>
    <s v="Itaú - Lisboa e Lisboa"/>
    <s v="Simples Nacional"/>
    <x v="20"/>
    <x v="7"/>
    <s v="Simples Nacional"/>
    <s v="Simples Nacional"/>
    <m/>
    <m/>
    <s v="Thaynara Borges"/>
    <n v="-13727.09"/>
    <s v="Saída"/>
    <x v="0"/>
  </r>
  <r>
    <x v="236"/>
    <s v="Itaú - Lisboa e Lisboa"/>
    <s v="AÇÃO SOCIAL"/>
    <x v="27"/>
    <x v="4"/>
    <s v="CAPPTA"/>
    <s v="CAPPTA"/>
    <m/>
    <m/>
    <s v="Nathalia Louiz"/>
    <n v="-450"/>
    <s v="Saída"/>
    <x v="0"/>
  </r>
  <r>
    <x v="236"/>
    <s v="Itaú - Lisboa e Lisboa"/>
    <s v="INSS"/>
    <x v="19"/>
    <x v="6"/>
    <s v="RECEITA FEDERAL"/>
    <s v="RECEITA FEDERAL"/>
    <m/>
    <m/>
    <s v="Thaynara Borges"/>
    <n v="-3959.05"/>
    <s v="Saída"/>
    <x v="0"/>
  </r>
  <r>
    <x v="236"/>
    <s v="Banco do Brasil - Sarah Alves Lisboa"/>
    <s v="LIMPEZA"/>
    <x v="9"/>
    <x v="1"/>
    <s v="ELIZANGELA FERREIRA DA SILVA"/>
    <s v="ELIZANGELA FERREIRA DA SILVA"/>
    <m/>
    <m/>
    <s v="Nathalia Louiz"/>
    <n v="-170"/>
    <s v="Saída"/>
    <x v="0"/>
  </r>
  <r>
    <x v="236"/>
    <s v="Banco do Brasil - Sarah Alves Lisboa"/>
    <s v="30% sob implantação"/>
    <x v="2"/>
    <x v="2"/>
    <s v="DOMINGOS DA TRINDADE SILVA"/>
    <s v="DOMINGOS DA TRINDADE SILVA"/>
    <m/>
    <s v="BENEFÍCIO POR INCAPACIDADE"/>
    <s v="Nathalia Louiz"/>
    <n v="1177.79"/>
    <s v="Entrada"/>
    <x v="1"/>
  </r>
  <r>
    <x v="236"/>
    <s v="Itaú - Lisboa e Lisboa"/>
    <s v="30% sob RPV"/>
    <x v="2"/>
    <x v="2"/>
    <s v="JOSE BATISTA DE ANDRADE"/>
    <s v="JOSE BATISTA DE ANDRADE"/>
    <m/>
    <s v="AUXILIO ACIDENTE"/>
    <s v="Nathalia Louiz"/>
    <n v="27682.06"/>
    <s v="Entrada"/>
    <x v="1"/>
  </r>
  <r>
    <x v="236"/>
    <s v="Itaú - Lisboa e Lisboa"/>
    <s v="100% sob recebimento de sucumbência"/>
    <x v="2"/>
    <x v="2"/>
    <s v="JOSE BATISTA DE ANDRADE"/>
    <s v="JOSE BATISTA DE ANDRADE"/>
    <m/>
    <s v="AUXILIO ACIDENTE"/>
    <s v="Nathalia Louiz"/>
    <n v="10257.68"/>
    <s v="Entrada"/>
    <x v="1"/>
  </r>
  <r>
    <x v="236"/>
    <s v="Itaú - Lisboa e Lisboa"/>
    <s v="FGTS"/>
    <x v="18"/>
    <x v="6"/>
    <s v="FGTS"/>
    <s v="FGTS"/>
    <m/>
    <m/>
    <s v="Thaynara Borges"/>
    <n v="-997.52"/>
    <s v="Saída"/>
    <x v="0"/>
  </r>
  <r>
    <x v="236"/>
    <s v="Banco do Brasil - Sarah Alves Lisboa"/>
    <s v="Comissões de indicações"/>
    <x v="28"/>
    <x v="7"/>
    <s v="GEZIEL SANTOS"/>
    <s v="GEZIEL SANTOS"/>
    <m/>
    <m/>
    <s v="Nathalia Louiz"/>
    <n v="-595"/>
    <s v="Saída"/>
    <x v="0"/>
  </r>
  <r>
    <x v="237"/>
    <s v="Itaú - Lisboa e Lisboa"/>
    <s v="Água"/>
    <x v="17"/>
    <x v="1"/>
    <s v="SANEAGO GOIAS S/A"/>
    <s v="SANEAGO GOIAS S/A"/>
    <m/>
    <m/>
    <s v="Thaynara Borges"/>
    <n v="-179.27"/>
    <s v="Saída"/>
    <x v="0"/>
  </r>
  <r>
    <x v="237"/>
    <s v="Itaú - Lisboa e Lisboa"/>
    <s v="IPTU - SALA B74"/>
    <x v="29"/>
    <x v="1"/>
    <s v="PREFEITURA MUNICIPAL DE GOIÂNIA"/>
    <s v="PREFEITURA MUNICIPAL DE GOIÂNIA"/>
    <m/>
    <m/>
    <s v="Nathalia Louiz"/>
    <n v="-125.52"/>
    <s v="Saída"/>
    <x v="0"/>
  </r>
  <r>
    <x v="237"/>
    <s v="Banco do Brasil - Sarah Alves Lisboa"/>
    <s v="Combustível viagem"/>
    <x v="35"/>
    <x v="4"/>
    <s v="POSTO SHUKRAN"/>
    <s v="POSTO SHUKRAN"/>
    <m/>
    <m/>
    <s v="Nathalia Louiz"/>
    <n v="-100"/>
    <s v="Saída"/>
    <x v="0"/>
  </r>
  <r>
    <x v="238"/>
    <s v="Banco do Brasil - Sarah Alves Lisboa"/>
    <s v="Honorários de implantação (655,4 em 2x)"/>
    <x v="2"/>
    <x v="2"/>
    <s v="JALES ROBERTO MANSE"/>
    <s v="JALES ROBERTO MANSE"/>
    <m/>
    <s v="JALES ROBERTO MANSE x INSS"/>
    <s v="Nathalia Louiz"/>
    <n v="327.7"/>
    <s v="Entrada"/>
    <x v="1"/>
  </r>
  <r>
    <x v="238"/>
    <s v="Banco do Brasil - Sarah Alves Lisboa"/>
    <s v="Comissão para Vanessa"/>
    <x v="28"/>
    <x v="7"/>
    <s v="MARIA ISMENIA FURTADO SILVA"/>
    <s v="MARIA ISMENIA FURTADO SILVA"/>
    <m/>
    <s v="APOSENTADORIA"/>
    <s v="Thaynara Borges"/>
    <n v="-1276.97"/>
    <s v="Saída"/>
    <x v="0"/>
  </r>
  <r>
    <x v="238"/>
    <s v="Banco do Brasil - Sarah Alves Lisboa"/>
    <s v="Peças avulsas"/>
    <x v="42"/>
    <x v="6"/>
    <s v="Dra Raffaela Nunes"/>
    <s v="Dra Raffaela Nunes"/>
    <m/>
    <m/>
    <s v="Nathalia Louiz"/>
    <n v="-800"/>
    <s v="Saída"/>
    <x v="0"/>
  </r>
  <r>
    <x v="238"/>
    <s v="Banco do Brasil - Sarah Alves Lisboa"/>
    <s v="1.000,00 no pix e R$ 3.000,00 em 12 vezes no boleto"/>
    <x v="2"/>
    <x v="2"/>
    <s v="ANGELA FULGENCIA DOS SANTOS"/>
    <s v="ANGELA FULGENCIA DOS SANTOS"/>
    <m/>
    <s v="PENSÃO POR MORTE"/>
    <s v="Nathalia Louiz"/>
    <n v="1000"/>
    <s v="Entrada"/>
    <x v="1"/>
  </r>
  <r>
    <x v="239"/>
    <s v="Itaú - Lisboa e Lisboa"/>
    <s v="Prêmio São Paulo"/>
    <x v="27"/>
    <x v="4"/>
    <s v="INQS - Instituto Nacional da Qualidade Social"/>
    <s v="INQS - Instituto Nacional da Qualidade Social"/>
    <m/>
    <m/>
    <s v="Nathalia Louiz"/>
    <n v="-925"/>
    <s v="Saída"/>
    <x v="0"/>
  </r>
  <r>
    <x v="239"/>
    <s v="Itaú - Lisboa e Lisboa"/>
    <s v="Comissão à Vanessa sobre honorários contratuais"/>
    <x v="28"/>
    <x v="7"/>
    <s v="JOSE BATISTA DE ANDRADE"/>
    <s v="JOSE BATISTA DE ANDRADE"/>
    <m/>
    <s v="AUXILIO ACIDENTE"/>
    <s v="Thaynara Borges"/>
    <n v="-13300.24"/>
    <s v="Saída"/>
    <x v="0"/>
  </r>
  <r>
    <x v="239"/>
    <s v="Itaú - Lisboa e Lisboa"/>
    <s v="Comissao a Giuliano sobre honorário contratual"/>
    <x v="28"/>
    <x v="7"/>
    <s v="JOSE BATISTA DE ANDRADE"/>
    <s v="JOSE BATISTA DE ANDRADE"/>
    <m/>
    <s v="AUXILIO ACIDENTE"/>
    <s v="Thaynara Borges"/>
    <n v="-5675.42"/>
    <s v="Saída"/>
    <x v="0"/>
  </r>
  <r>
    <x v="239"/>
    <s v="Itaú - Lisboa e Lisboa"/>
    <s v="Comissão à Vanessa sobre honorários de sucumbência"/>
    <x v="28"/>
    <x v="7"/>
    <s v="JOSE BATISTA DE ANDRADE"/>
    <s v="JOSE BATISTA DE ANDRADE"/>
    <m/>
    <s v="AUXILIO ACIDENTE"/>
    <s v="Thaynara Borges"/>
    <n v="-4928.4399999999996"/>
    <s v="Saída"/>
    <x v="0"/>
  </r>
  <r>
    <x v="239"/>
    <s v="Itaú - Lisboa e Lisboa"/>
    <s v="Comissão ao Giuliano sobre honorário de sucumbencia"/>
    <x v="28"/>
    <x v="7"/>
    <s v="JOSE BATISTA DE ANDRADE"/>
    <s v="JOSE BATISTA DE ANDRADE"/>
    <m/>
    <s v="AUXILIO ACIDENTE"/>
    <s v="Thaynara Borges"/>
    <n v="-2103.04"/>
    <s v="Saída"/>
    <x v="0"/>
  </r>
  <r>
    <x v="240"/>
    <s v="Itaú - Lisboa e Lisboa"/>
    <s v="Pagamento de benefícios: SAMARA ALMEIDA BOGEA (300,00) - MARIA EDUARDA DE SOUZA (300,00) - GIOVANNA VICTORIA GOMES RODRIGUES (300,00) - NINA ARAUJO (300,00) + Taxas da VALUU (2,50)"/>
    <x v="45"/>
    <x v="6"/>
    <s v="NAAMA MENDES JUNIOR - VALUU"/>
    <s v="NAAMA MENDES JUNIOR - VALUU"/>
    <m/>
    <m/>
    <s v="Nathalia Louiz"/>
    <n v="-1202.5"/>
    <s v="Saída"/>
    <x v="0"/>
  </r>
  <r>
    <x v="240"/>
    <s v="Itaú - Lisboa e Lisboa"/>
    <s v="Recarga de Cartão"/>
    <x v="45"/>
    <x v="6"/>
    <s v="NAAMA MENDES JUNIOR - VALUU"/>
    <s v="NAAMA MENDES JUNIOR - VALUU"/>
    <m/>
    <m/>
    <s v="Nathalia Louiz"/>
    <n v="-131.5"/>
    <s v="Saída"/>
    <x v="0"/>
  </r>
  <r>
    <x v="240"/>
    <s v="Itaú - Lisboa e Lisboa"/>
    <s v="30% + 20% sob RPV"/>
    <x v="2"/>
    <x v="2"/>
    <s v="JOAQUIM DE QUEIROZ MONTEIRO"/>
    <s v="JOAQUIM DE QUEIROZ MONTEIRO"/>
    <m/>
    <s v="APOSENTADORIA POR TEMPO DE CONTRIBUIÇÃO"/>
    <s v="Nathalia Louiz"/>
    <n v="15469.47"/>
    <s v="Entrada"/>
    <x v="1"/>
  </r>
  <r>
    <x v="241"/>
    <s v="Itaú - Lisboa e Lisboa"/>
    <s v="Honorários de 2.500 (500 + 500 + 3x500)"/>
    <x v="2"/>
    <x v="2"/>
    <s v="CHRISYA  MATOS AZEVEDO"/>
    <s v="CHRISYA  MATOS AZEVEDO"/>
    <m/>
    <s v="DEFESA DIVÓRCIO"/>
    <s v="Nathalia Louiz"/>
    <n v="500"/>
    <s v="Entrada"/>
    <x v="2"/>
  </r>
  <r>
    <x v="242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42"/>
    <s v="Itaú - Lisboa e Lisboa"/>
    <s v="Retirada"/>
    <x v="22"/>
    <x v="8"/>
    <s v="Thaynara Borges Pereira"/>
    <s v="Thaynara Borges Pereira"/>
    <m/>
    <m/>
    <s v="Thaynara Borges"/>
    <n v="-3648.98"/>
    <s v="Saída"/>
    <x v="0"/>
  </r>
  <r>
    <x v="242"/>
    <s v="Banco do Brasil - Sarah Alves Lisboa"/>
    <s v="Salário"/>
    <x v="15"/>
    <x v="6"/>
    <s v="Raffaela Nunes"/>
    <s v="Raffaela Nunes"/>
    <m/>
    <m/>
    <s v="Thaynara Borges"/>
    <n v="-3500"/>
    <s v="Saída"/>
    <x v="0"/>
  </r>
  <r>
    <x v="242"/>
    <s v="Itaú - Lisboa e Lisboa"/>
    <s v="PRÓ-LABORE"/>
    <x v="23"/>
    <x v="8"/>
    <s v="Thaynara Borges Pereira"/>
    <s v="Thaynara Borges Pereira"/>
    <m/>
    <m/>
    <s v="Thaynara Borges"/>
    <n v="-1351.02"/>
    <s v="Saída"/>
    <x v="0"/>
  </r>
  <r>
    <x v="242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242"/>
    <s v="Banco do Brasil - Sarah Alves Lisboa"/>
    <s v="Reembolso de Pedágios - Viagem SP"/>
    <x v="5"/>
    <x v="4"/>
    <s v="Thaynara Borges Pereira"/>
    <s v="Thaynara Borges Pereira"/>
    <m/>
    <m/>
    <s v="Nathalia Louiz"/>
    <n v="-55.1"/>
    <s v="Saída"/>
    <x v="0"/>
  </r>
  <r>
    <x v="242"/>
    <s v="Itaú - Lisboa e Lisboa"/>
    <s v="Pagamento do 13° salário"/>
    <x v="15"/>
    <x v="6"/>
    <s v="SAMARA ALMEIDA BOGEA"/>
    <s v="SAMARA ALMEIDA BOGEA"/>
    <m/>
    <m/>
    <s v="Nathalia Louiz"/>
    <n v="-963.55"/>
    <s v="Saída"/>
    <x v="0"/>
  </r>
  <r>
    <x v="242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242"/>
    <s v="Itaú - Lisboa e Lisboa"/>
    <s v="Salário"/>
    <x v="15"/>
    <x v="6"/>
    <s v="SAMARA ALMEIDA BOGEA"/>
    <s v="SAMARA ALMEIDA BOGEA"/>
    <m/>
    <m/>
    <s v="Nathalia Louiz"/>
    <n v="-2296.77"/>
    <s v="Saída"/>
    <x v="0"/>
  </r>
  <r>
    <x v="242"/>
    <s v="Itaú - Lisboa e Lisboa"/>
    <s v="Salário"/>
    <x v="15"/>
    <x v="6"/>
    <s v="GIOVANNA VICTORIA GOMES RODRIGUES"/>
    <s v="GIOVANNA VICTORIA GOMES RODRIGUES"/>
    <m/>
    <m/>
    <s v="Nathalia Louiz"/>
    <n v="-1551.77"/>
    <s v="Saída"/>
    <x v="0"/>
  </r>
  <r>
    <x v="242"/>
    <s v="Itaú - Lisboa e Lisboa"/>
    <s v="Energia contrato 0067122721"/>
    <x v="21"/>
    <x v="1"/>
    <s v="EQUATORIAL GOIAS 0067122721"/>
    <s v="EQUATORIAL GOIAS 0067122721"/>
    <m/>
    <m/>
    <s v="Thaynara Borges"/>
    <n v="-627.22"/>
    <s v="Saída"/>
    <x v="0"/>
  </r>
  <r>
    <x v="242"/>
    <s v="Itaú - Lisboa e Lisboa"/>
    <s v="Energia contrato 0067122663"/>
    <x v="21"/>
    <x v="1"/>
    <s v="EQUATORIAL GOIAS 0067122663"/>
    <s v="EQUATORIAL GOIAS 0067122663"/>
    <m/>
    <m/>
    <s v="Thaynara Borges"/>
    <n v="-380.75"/>
    <s v="Saída"/>
    <x v="0"/>
  </r>
  <r>
    <x v="242"/>
    <s v="Itaú - Lisboa e Lisboa"/>
    <s v="Pagamento do 13° salário"/>
    <x v="15"/>
    <x v="6"/>
    <s v="Nina Araujo"/>
    <s v="Nina Araujo"/>
    <m/>
    <m/>
    <s v="Nathalia Louiz"/>
    <n v="-3381.96"/>
    <s v="Saída"/>
    <x v="0"/>
  </r>
  <r>
    <x v="242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242"/>
    <s v="Itaú - Lisboa e Lisboa"/>
    <s v="Salário"/>
    <x v="15"/>
    <x v="6"/>
    <s v="Nina Araujo"/>
    <s v="Nina Araujo"/>
    <m/>
    <m/>
    <s v="Thaynara Borges"/>
    <n v="-3230.22"/>
    <s v="Saída"/>
    <x v="0"/>
  </r>
  <r>
    <x v="242"/>
    <s v="Banco do Brasil - Sarah Alves Lisboa"/>
    <s v="Pagamentos de peças avulsas"/>
    <x v="42"/>
    <x v="6"/>
    <s v="Dra Raffaela Nunes"/>
    <s v="Dra Raffaela Nunes"/>
    <m/>
    <m/>
    <s v="Nathalia Louiz"/>
    <n v="-200"/>
    <s v="Saída"/>
    <x v="0"/>
  </r>
  <r>
    <x v="242"/>
    <s v="Itaú - Lisboa e Lisboa"/>
    <s v="Pagamento do 13° salário"/>
    <x v="15"/>
    <x v="6"/>
    <s v="GIOVANNA VICTORIA GOMES RODRIGUES"/>
    <s v="GIOVANNA VICTORIA GOMES RODRIGUES"/>
    <m/>
    <m/>
    <s v="Nathalia Louiz"/>
    <n v="-416.25"/>
    <s v="Saída"/>
    <x v="0"/>
  </r>
  <r>
    <x v="242"/>
    <s v="Itaú - Lisboa e Lisboa"/>
    <s v="Pagamento do 13° salário"/>
    <x v="15"/>
    <x v="6"/>
    <s v="MARIA EDUARDA DE SOUZA"/>
    <s v="MARIA EDUARDA DE SOUZA"/>
    <m/>
    <m/>
    <s v="Nathalia Louiz"/>
    <n v="-1373.65"/>
    <s v="Saída"/>
    <x v="0"/>
  </r>
  <r>
    <x v="242"/>
    <s v="Itaú - Lisboa e Lisboa"/>
    <s v="Salário"/>
    <x v="15"/>
    <x v="6"/>
    <s v="MARIA EDUARDA DE SOUZA"/>
    <s v="MARIA EDUARDA DE SOUZA"/>
    <m/>
    <m/>
    <s v="Nathalia Louiz"/>
    <n v="-2338.41"/>
    <s v="Saída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5">
  <r>
    <x v="0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0"/>
    <s v="Lisboa e Lisboa"/>
    <s v="CONTABILIDADE"/>
    <x v="1"/>
    <x v="1"/>
    <s v="CARLOS ALBERTO GRACIANO RODRIGUES"/>
    <s v="CARLOS ALBERTO GRACIANO RODRIGUES"/>
    <m/>
    <m/>
    <s v="Thaynara Borges"/>
    <n v="-1412"/>
    <s v="Saída"/>
    <x v="0"/>
  </r>
  <r>
    <x v="0"/>
    <s v="Thaynara Borges Pereira"/>
    <s v="Parcelamento em 7x"/>
    <x v="2"/>
    <x v="2"/>
    <s v="MARIA DA SILVA NOGUEIRA"/>
    <s v="MARIA DA SILVA NOGUEIRA"/>
    <m/>
    <s v="Maria da Silva Nogueira x Nathalia dos Santos Nogueira"/>
    <s v="Thaynara Borges"/>
    <n v="250"/>
    <s v="Entrada"/>
    <x v="1"/>
  </r>
  <r>
    <x v="0"/>
    <s v="Lisboa e Lisboa"/>
    <s v="Honorário de implantação sobre 1 competência"/>
    <x v="2"/>
    <x v="2"/>
    <s v="ADOLFA MARIA DE JESUS ALMEIDA"/>
    <s v="ADOLFA MARIA DE JESUS ALMEIDA"/>
    <m/>
    <s v="BENEFÍCIO POR INCAPACIDADE"/>
    <s v="Thaynara Borges"/>
    <n v="423.6"/>
    <s v="Entrada"/>
    <x v="1"/>
  </r>
  <r>
    <x v="0"/>
    <s v="Lisboa e Lisboa"/>
    <s v="Serviços TI"/>
    <x v="3"/>
    <x v="1"/>
    <s v="Rhuan Carlos Batista"/>
    <s v="Rhuan Carlos Batista"/>
    <m/>
    <m/>
    <s v="Thaynara Borges"/>
    <n v="-60"/>
    <s v="Saída"/>
    <x v="0"/>
  </r>
  <r>
    <x v="1"/>
    <s v="Lisboa e Lisboa"/>
    <s v="PLANO ADAPT 3"/>
    <x v="4"/>
    <x v="3"/>
    <s v="BANCO ITAU"/>
    <s v="BANCO ITAU"/>
    <m/>
    <m/>
    <s v="Thaynara Borges"/>
    <n v="-261.75"/>
    <s v="Saída"/>
    <x v="0"/>
  </r>
  <r>
    <x v="2"/>
    <s v="Thaynara Borges Pereira"/>
    <s v="Última parcela acordo - parceria Dr. Gustavo"/>
    <x v="2"/>
    <x v="2"/>
    <s v="ODORICO CANASSA BIANCHINI JUNIOR"/>
    <s v="ODORICO CANASSA BIANCHINI JUNIOR"/>
    <m/>
    <m/>
    <s v="Thaynara Borges"/>
    <n v="450"/>
    <s v="Entrada"/>
    <x v="1"/>
  </r>
  <r>
    <x v="2"/>
    <s v="Sarah Alves Lisboa"/>
    <s v="Pedágios Edilândia"/>
    <x v="5"/>
    <x v="4"/>
    <s v="Sarah Alves Lisboa"/>
    <s v="Sarah Alves Lisboa"/>
    <m/>
    <m/>
    <s v="Thaynara Borges"/>
    <n v="-36.119999999999997"/>
    <s v="Saída"/>
    <x v="0"/>
  </r>
  <r>
    <x v="2"/>
    <s v="Thaynara Borges Pereira"/>
    <s v="30% de uma competência"/>
    <x v="2"/>
    <x v="2"/>
    <s v="EDSON RAEL DE OLIVEIRA"/>
    <s v="EDSON RAEL DE OLIVEIRA"/>
    <m/>
    <s v="BENEFÍCIO POR INCAPACIDADE"/>
    <s v="Thaynara Borges"/>
    <n v="268.3"/>
    <s v="Entrada"/>
    <x v="1"/>
  </r>
  <r>
    <x v="3"/>
    <s v="Lisboa e Lisboa"/>
    <s v="Cartão de Crédito"/>
    <x v="6"/>
    <x v="1"/>
    <s v="Itau Cartões"/>
    <s v="BANCO ITAU"/>
    <m/>
    <m/>
    <s v="Thaynara Borges"/>
    <n v="-1924.77"/>
    <s v="Saída"/>
    <x v="0"/>
  </r>
  <r>
    <x v="3"/>
    <s v="Lisboa e Lisboa"/>
    <s v="2 Benefícios parcelados em 6x"/>
    <x v="2"/>
    <x v="2"/>
    <s v="ISABEL PEREIRA SOUSA"/>
    <s v="ISABEL PEREIRA SOUSA"/>
    <m/>
    <s v="APOSENTADORIA POR IDADE"/>
    <s v="Thaynara Borges"/>
    <n v="471"/>
    <s v="Entrada"/>
    <x v="1"/>
  </r>
  <r>
    <x v="3"/>
    <s v="Lisboa e Lisboa"/>
    <s v="Anuidade"/>
    <x v="2"/>
    <x v="2"/>
    <s v="LENIR MARIA DOS SANTOS LIMA"/>
    <s v="LENIR MARIA DOS SANTOS LIMA"/>
    <m/>
    <s v="LENIR MARIA DOS SANTOS LIMA x INSS"/>
    <s v="Thaynara Borges"/>
    <n v="284.39999999999998"/>
    <s v="Entrada"/>
    <x v="1"/>
  </r>
  <r>
    <x v="4"/>
    <s v="Thaynara Borges Pereira"/>
    <s v="Parcela 3 e 4 - 3 benefícios"/>
    <x v="2"/>
    <x v="2"/>
    <s v="ANDREZA CESARIA DA SILVA RODRIGUES"/>
    <s v="ANDREZA CESARIA DA SILVA RODRIGUES"/>
    <m/>
    <s v="APOSENTADORIA POR IDADE"/>
    <s v="Thaynara Borges"/>
    <n v="1059"/>
    <s v="Entrada"/>
    <x v="1"/>
  </r>
  <r>
    <x v="4"/>
    <s v="Sarah Alves Lisboa"/>
    <s v="Estacionamento - ida ao banco"/>
    <x v="7"/>
    <x v="5"/>
    <s v="NATALIA ALVES DA SILVA"/>
    <s v="NATALIA ALVES DA SILVA"/>
    <m/>
    <s v="SALÁRIO MATERNIDADE"/>
    <s v="Thaynara Borges"/>
    <n v="-10"/>
    <s v="Saída"/>
    <x v="0"/>
  </r>
  <r>
    <x v="4"/>
    <s v="Lisboa e Lisboa"/>
    <s v="Celular escritório"/>
    <x v="8"/>
    <x v="1"/>
    <s v="VIVO"/>
    <s v="VIVO"/>
    <m/>
    <m/>
    <s v="Thaynara Borges"/>
    <n v="-130.37"/>
    <s v="Saída"/>
    <x v="0"/>
  </r>
  <r>
    <x v="4"/>
    <s v="Thaynara Borges Pereira"/>
    <s v="Limpeza"/>
    <x v="9"/>
    <x v="1"/>
    <s v="ELIZANGELA FERREIRA DA SILVA"/>
    <s v="ELIZANGELA FERREIRA DA SILVA"/>
    <m/>
    <m/>
    <s v="Thaynara Borges"/>
    <n v="-340"/>
    <s v="Saída"/>
    <x v="0"/>
  </r>
  <r>
    <x v="4"/>
    <s v="Lisboa e Lisboa"/>
    <s v="Condomínio"/>
    <x v="10"/>
    <x v="1"/>
    <s v="ATON BUSINESS STYLE"/>
    <s v="ATON BUSINESS STYLE"/>
    <m/>
    <m/>
    <s v="Thaynara Borges"/>
    <n v="-2977.01"/>
    <s v="Saída"/>
    <x v="0"/>
  </r>
  <r>
    <x v="5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5"/>
    <s v="Sarah Alves Lisboa"/>
    <s v="Lanche"/>
    <x v="11"/>
    <x v="1"/>
    <s v="ISABELLA ALVIM BIACHINI"/>
    <s v="ISABELLA ALVIM BIACHINI"/>
    <m/>
    <m/>
    <s v="Thaynara Borges"/>
    <n v="-67.64"/>
    <s v="Saída"/>
    <x v="0"/>
  </r>
  <r>
    <x v="5"/>
    <s v="Lisboa e Lisboa"/>
    <s v="Telefone e internet"/>
    <x v="8"/>
    <x v="1"/>
    <s v="VIVO"/>
    <s v="VIVO"/>
    <m/>
    <m/>
    <s v="Thaynara Borges"/>
    <n v="-371.57"/>
    <s v="Saída"/>
    <x v="0"/>
  </r>
  <r>
    <x v="6"/>
    <s v="Lisboa e Lisboa"/>
    <s v="Publicações Renio"/>
    <x v="12"/>
    <x v="1"/>
    <s v="PRO JURIDICO"/>
    <s v="PRO JURIDICO"/>
    <m/>
    <m/>
    <s v="Thaynara Borges"/>
    <n v="-100"/>
    <s v="Saída"/>
    <x v="0"/>
  </r>
  <r>
    <x v="6"/>
    <s v="Lisboa e Lisboa"/>
    <s v="Parcela 2 de 2"/>
    <x v="2"/>
    <x v="2"/>
    <s v="ANTONIO MOREIRA DOS SANTOS"/>
    <s v="ANTONIO MOREIRA DOS SANTOS"/>
    <m/>
    <s v="DIVÓRCIO"/>
    <s v="Thaynara Borges"/>
    <n v="600"/>
    <s v="Entrada"/>
    <x v="1"/>
  </r>
  <r>
    <x v="6"/>
    <s v="Lisboa e Lisboa"/>
    <s v="Seguros estagiárias"/>
    <x v="13"/>
    <x v="6"/>
    <s v="IEL"/>
    <s v="IEL"/>
    <m/>
    <m/>
    <s v="Thaynara Borges"/>
    <n v="-300"/>
    <s v="Saída"/>
    <x v="0"/>
  </r>
  <r>
    <x v="6"/>
    <s v="Sarah Alves Lisboa"/>
    <s v="Tarifa Bancária"/>
    <x v="4"/>
    <x v="3"/>
    <s v="BANCO DO BRASIL S/A"/>
    <s v="BANCO DO BRASIL S/A"/>
    <m/>
    <m/>
    <s v="Thaynara Borges"/>
    <n v="-14.55"/>
    <s v="Saída"/>
    <x v="0"/>
  </r>
  <r>
    <x v="7"/>
    <s v="Lisboa e Lisboa"/>
    <s v="Parcela Honorários Parceria"/>
    <x v="2"/>
    <x v="2"/>
    <s v="SONIA MARIA DA SILVA"/>
    <s v="SONIA MARIA DA SILVA"/>
    <m/>
    <s v="Defesa Cível - Parceria Dr Silvio"/>
    <s v="Thaynara Borges"/>
    <n v="450"/>
    <s v="Entrada"/>
    <x v="2"/>
  </r>
  <r>
    <x v="8"/>
    <s v="Lisboa e Lisboa"/>
    <s v="30% sobre os atrasados"/>
    <x v="2"/>
    <x v="2"/>
    <s v="NATALIA ALVES DA SILVA"/>
    <s v="NATALIA ALVES DA SILVA"/>
    <m/>
    <s v="SALÁRIO MATERNIDADE"/>
    <s v="Thaynara Borges"/>
    <n v="2464.31"/>
    <s v="Entrada"/>
    <x v="1"/>
  </r>
  <r>
    <x v="9"/>
    <s v="Thaynara Borges Pereira"/>
    <s v="Material e troca de todas as tomadas do escritório"/>
    <x v="14"/>
    <x v="1"/>
    <s v="Luiz Antonio Sousa de Morais"/>
    <s v="Luiz Antonio Sousa de Morais"/>
    <m/>
    <m/>
    <s v="Thaynara Borges"/>
    <n v="-1083"/>
    <s v="Saída"/>
    <x v="0"/>
  </r>
  <r>
    <x v="9"/>
    <s v="Lisboa e Lisboa"/>
    <s v="30% sobre os atrasados + 20% anuidade + Imposto (líquido, tirando Giuliano e Vanessa)"/>
    <x v="2"/>
    <x v="2"/>
    <s v="ANA MARIA DE JESUS"/>
    <s v="ANA MARIA DE JESUS"/>
    <m/>
    <s v="PENSAO POR MORTE"/>
    <s v="Thaynara Borges"/>
    <n v="6691.29"/>
    <s v="Entrada"/>
    <x v="1"/>
  </r>
  <r>
    <x v="9"/>
    <s v="Lisboa e Lisboa"/>
    <s v="Sucumbencia líquida (tirando Giuliano e Vanessa)"/>
    <x v="2"/>
    <x v="2"/>
    <s v="ANA MARIA DE JESUS"/>
    <s v="ANA MARIA DE JESUS"/>
    <m/>
    <s v="PENSAO POR MORTE"/>
    <s v="Thaynara Borges"/>
    <n v="1331.36"/>
    <s v="Entrada"/>
    <x v="1"/>
  </r>
  <r>
    <x v="9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10"/>
    <s v="Lisboa e Lisboa"/>
    <s v="Parceria Dra Flavia"/>
    <x v="2"/>
    <x v="2"/>
    <s v="JULIANI DOMINGOS DOS REIS"/>
    <s v="JULIANI DOMINGOS DOS REIS"/>
    <m/>
    <s v="AÇÃO DE GUARDA"/>
    <s v="Thaynara Borges"/>
    <n v="150"/>
    <s v="Entrada"/>
    <x v="1"/>
  </r>
  <r>
    <x v="10"/>
    <s v="Lisboa e Lisboa"/>
    <s v="Parceria Dra Flavia"/>
    <x v="2"/>
    <x v="2"/>
    <s v="JULIANI DOMINGOS DOS REIS"/>
    <s v="JULIANI DOMINGOS DOS REIS"/>
    <m/>
    <s v="AÇÃO DE GUARDA"/>
    <s v="Thaynara Borges"/>
    <n v="150"/>
    <s v="Entrada"/>
    <x v="1"/>
  </r>
  <r>
    <x v="11"/>
    <s v="Thaynara Borges Pereira"/>
    <s v="Gastos com cartão de crédito"/>
    <x v="6"/>
    <x v="1"/>
    <s v="Thaynara Borges Pereira"/>
    <s v="C6"/>
    <m/>
    <m/>
    <s v="Thaynara Borges"/>
    <n v="-1012.15"/>
    <s v="Saída"/>
    <x v="0"/>
  </r>
  <r>
    <x v="11"/>
    <s v="Thaynara Borges Pereira"/>
    <s v="Parceria com Dr. Silvio"/>
    <x v="2"/>
    <x v="2"/>
    <s v="LEONARDO MATEUS BATISTA DE OLIVEIRA"/>
    <s v="LEONARDO MATEUS BATISTA DE OLIVEIRA"/>
    <m/>
    <m/>
    <s v="Thaynara Borges"/>
    <n v="150"/>
    <s v="Entrada"/>
    <x v="1"/>
  </r>
  <r>
    <x v="11"/>
    <s v="Lisboa e Lisboa"/>
    <s v="Publicações"/>
    <x v="12"/>
    <x v="1"/>
    <s v="AVISO URGENTE T I LTDA"/>
    <s v="AVISO URGENTE T I LTDA"/>
    <m/>
    <m/>
    <s v="Thaynara Borges"/>
    <n v="-507.3"/>
    <s v="Saída"/>
    <x v="0"/>
  </r>
  <r>
    <x v="12"/>
    <s v="Lisboa e Lisboa"/>
    <s v="Anuidade - parceria com Dr Fernando"/>
    <x v="2"/>
    <x v="2"/>
    <s v="ELVIO DE OLIVEIRA SOARES"/>
    <s v="ELVIO DE OLIVEIRA SOARES"/>
    <m/>
    <s v="APOSENTADORIA POR IDADE"/>
    <s v="Thaynara Borges"/>
    <n v="211.8"/>
    <s v="Entrada"/>
    <x v="1"/>
  </r>
  <r>
    <x v="12"/>
    <s v="Sarah Alves Lisboa"/>
    <s v="Sucumbencia liquida (tirando Vanessa)"/>
    <x v="2"/>
    <x v="2"/>
    <s v="UBIRACI LOSI"/>
    <s v="UBIRACI LOSI"/>
    <m/>
    <s v="CONCESSÃO DA APOSENTADORIA POR IDADE RURAL"/>
    <s v="Thaynara Borges"/>
    <n v="386.8"/>
    <s v="Entrada"/>
    <x v="1"/>
  </r>
  <r>
    <x v="13"/>
    <s v="Thaynara Borges Pereira"/>
    <s v="2º Parcela 13º salário"/>
    <x v="15"/>
    <x v="6"/>
    <s v="Raffaela Nunes"/>
    <s v="Raffaela Nunes"/>
    <m/>
    <m/>
    <s v="Thaynara Borges"/>
    <n v="-1100"/>
    <s v="Saída"/>
    <x v="0"/>
  </r>
  <r>
    <x v="13"/>
    <s v="Lisboa e Lisboa"/>
    <s v="13º CONTADOR"/>
    <x v="1"/>
    <x v="1"/>
    <s v="CARLOS ALBERTO GRACIANO RODRIGUES"/>
    <s v="CARLOS ALBERTO GRACIANO RODRIGUES"/>
    <m/>
    <m/>
    <s v="Thaynara Borges"/>
    <n v="-1412"/>
    <s v="Saída"/>
    <x v="0"/>
  </r>
  <r>
    <x v="13"/>
    <s v="Thaynara Borges Pereira"/>
    <s v="CESTA DE NATAL PARA JAINY"/>
    <x v="16"/>
    <x v="4"/>
    <s v="A mesma (Pessoa de contato de: Alci Ferraz de Aguiar Barbosa)"/>
    <s v="A mesma (Pessoa de contato de: Alci Ferraz de Aguiar Barbosa)"/>
    <m/>
    <m/>
    <s v="Thaynara Borges"/>
    <n v="-165"/>
    <s v="Saída"/>
    <x v="0"/>
  </r>
  <r>
    <x v="14"/>
    <s v="Lisboa e Lisboa"/>
    <s v="Água"/>
    <x v="17"/>
    <x v="1"/>
    <s v="SANEAGO GOIAS S/A"/>
    <s v="SANEAGO GOIAS S/A"/>
    <m/>
    <m/>
    <s v="Thaynara Borges"/>
    <n v="-106.3"/>
    <s v="Saída"/>
    <x v="0"/>
  </r>
  <r>
    <x v="14"/>
    <s v="Lisboa e Lisboa"/>
    <s v="FGTS"/>
    <x v="18"/>
    <x v="6"/>
    <s v="Ministério do Trabalho e Emprego"/>
    <s v="Ministério do Trabalho e Emprego"/>
    <m/>
    <m/>
    <s v="Thaynara Borges"/>
    <n v="-392.19"/>
    <s v="Saída"/>
    <x v="0"/>
  </r>
  <r>
    <x v="14"/>
    <s v="Lisboa e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1"/>
  </r>
  <r>
    <x v="14"/>
    <s v="Lisboa e Lisboa"/>
    <s v="2ª Parcela 13º salário"/>
    <x v="15"/>
    <x v="6"/>
    <s v="Nina Araujo"/>
    <s v="Nina Araujo"/>
    <m/>
    <m/>
    <s v="Thaynara Borges"/>
    <n v="-1378.81"/>
    <s v="Saída"/>
    <x v="0"/>
  </r>
  <r>
    <x v="14"/>
    <s v="Lisboa e Lisboa"/>
    <s v="INSS 13º Salário"/>
    <x v="19"/>
    <x v="6"/>
    <s v="Receita Federal"/>
    <s v="Receita Federal"/>
    <m/>
    <m/>
    <s v="Thaynara Borges"/>
    <n v="-864.45"/>
    <s v="Saída"/>
    <x v="0"/>
  </r>
  <r>
    <x v="14"/>
    <s v="Lisboa e Lisboa"/>
    <s v="Simples Nacional"/>
    <x v="20"/>
    <x v="7"/>
    <s v="Simples Nacional"/>
    <s v="Simples Nacional"/>
    <m/>
    <m/>
    <s v="Thaynara Borges"/>
    <n v="-1623.52"/>
    <s v="Saída"/>
    <x v="0"/>
  </r>
  <r>
    <x v="14"/>
    <s v="Lisboa e Lisboa"/>
    <s v="INSS"/>
    <x v="19"/>
    <x v="6"/>
    <s v="Receita Federal"/>
    <s v="Receita Federal"/>
    <m/>
    <m/>
    <s v="Thaynara Borges"/>
    <n v="-1980.52"/>
    <s v="Saída"/>
    <x v="0"/>
  </r>
  <r>
    <x v="14"/>
    <s v="Thaynara Borges Pereira"/>
    <s v="Limpeza"/>
    <x v="9"/>
    <x v="1"/>
    <s v="ELIZANGELA FERREIRA DA SILVA"/>
    <s v="ELIZANGELA FERREIRA DA SILVA"/>
    <m/>
    <m/>
    <s v="Thaynara Borges"/>
    <n v="-340"/>
    <s v="Saída"/>
    <x v="0"/>
  </r>
  <r>
    <x v="15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16"/>
    <s v="Sarah Alves Lisboa"/>
    <s v="30% sobre 1 competencia tirando 20% da Dra Nubia (indicação)"/>
    <x v="2"/>
    <x v="2"/>
    <s v="LUZIMEIRE MARTINS COSTA ALVES"/>
    <s v="LUZIMEIRE MARTINS COSTA ALVES"/>
    <m/>
    <s v="BENEFÍCIO POR INCAPACIDADE"/>
    <s v="Thaynara Borges"/>
    <n v="338.88"/>
    <s v="Entrada"/>
    <x v="1"/>
  </r>
  <r>
    <x v="16"/>
    <s v="Sarah Alves Lisboa"/>
    <s v="Parcelas anuidade"/>
    <x v="2"/>
    <x v="2"/>
    <s v="JOSE NILTON FERREIRA DE SOUZA"/>
    <s v="JOSE NILTON FERREIRA DE SOUZA"/>
    <m/>
    <s v="APOSENTADORIA POR IDADE"/>
    <s v="Thaynara Borges"/>
    <n v="282.39999999999998"/>
    <s v="Entrada"/>
    <x v="1"/>
  </r>
  <r>
    <x v="16"/>
    <s v="Lisboa e Lisboa"/>
    <s v="3 Benefícios parcelados"/>
    <x v="2"/>
    <x v="2"/>
    <s v="ANA ELIA DE SOUZA MANSE"/>
    <s v="ANA ELIA DE SOUZA MANSE"/>
    <m/>
    <s v="PENSÃO POR MORTE"/>
    <s v="Thaynara Borges"/>
    <n v="400"/>
    <s v="Entrada"/>
    <x v="1"/>
  </r>
  <r>
    <x v="16"/>
    <s v="Sarah Alves Lisboa"/>
    <s v="30% SOBRE IMPLANTAÇÃO"/>
    <x v="2"/>
    <x v="2"/>
    <s v="FRANCISCA DA COSTA GOMES OLIVEIRA"/>
    <s v="FRANCISCA DA COSTA GOMES OLIVEIRA"/>
    <m/>
    <s v="AUXILIO DOENÇA"/>
    <s v="Thaynara Borges"/>
    <n v="1962"/>
    <s v="Entrada"/>
    <x v="1"/>
  </r>
  <r>
    <x v="16"/>
    <s v="Lisboa e Lisboa"/>
    <s v="ENERGIA"/>
    <x v="21"/>
    <x v="1"/>
    <s v="EQUATORIAL GOIAS"/>
    <s v="EQUATORIAL GOIAS"/>
    <m/>
    <m/>
    <s v="Thaynara Borges"/>
    <n v="-1168.73"/>
    <s v="Saída"/>
    <x v="0"/>
  </r>
  <r>
    <x v="17"/>
    <s v="Thaynara Borges Pereira"/>
    <s v="Retirada de lucros"/>
    <x v="22"/>
    <x v="8"/>
    <s v="Thaynara Borges Pereira"/>
    <s v="Thaynara Borges Pereira"/>
    <m/>
    <m/>
    <s v="Thaynara Borges"/>
    <n v="-8743.32"/>
    <s v="Saída"/>
    <x v="0"/>
  </r>
  <r>
    <x v="17"/>
    <s v="Thaynara Borges Pereira"/>
    <s v="Retirada de lucros"/>
    <x v="22"/>
    <x v="8"/>
    <s v="Sarah Alves Lisboa"/>
    <s v="Sarah Alves Lisboa"/>
    <m/>
    <m/>
    <s v="Thaynara Borges"/>
    <n v="-13743.32"/>
    <s v="Saída"/>
    <x v="0"/>
  </r>
  <r>
    <x v="18"/>
    <s v="Lisboa e Lisboa"/>
    <s v="Bolsa estágio"/>
    <x v="13"/>
    <x v="6"/>
    <s v="ISABELLA ALVIM BIACHINI"/>
    <s v="ISABELLA ALVIM BIACHINI"/>
    <m/>
    <m/>
    <s v="Thaynara Borges"/>
    <n v="-1200"/>
    <s v="Saída"/>
    <x v="0"/>
  </r>
  <r>
    <x v="18"/>
    <s v="Lisboa e Lisboa"/>
    <s v="Salário"/>
    <x v="15"/>
    <x v="6"/>
    <s v="Nina Araujo"/>
    <s v="Nina Araujo"/>
    <m/>
    <m/>
    <s v="Thaynara Borges"/>
    <n v="-3191.28"/>
    <s v="Saída"/>
    <x v="0"/>
  </r>
  <r>
    <x v="18"/>
    <s v="Lisboa e Lisboa"/>
    <s v="Pró-labore"/>
    <x v="23"/>
    <x v="8"/>
    <s v="Sarah Alves Lisboa"/>
    <s v="Sarah Alves Lisboa"/>
    <m/>
    <m/>
    <s v="Thaynara Borges"/>
    <n v="-1256.68"/>
    <s v="Saída"/>
    <x v="0"/>
  </r>
  <r>
    <x v="18"/>
    <s v="Thaynara Borges Pereira"/>
    <s v="Salário"/>
    <x v="15"/>
    <x v="6"/>
    <s v="Raffaela Nunes"/>
    <s v="Raffaela Nunes"/>
    <m/>
    <m/>
    <s v="Thaynara Borges"/>
    <n v="-2200"/>
    <s v="Saída"/>
    <x v="0"/>
  </r>
  <r>
    <x v="18"/>
    <s v="Lisboa e Lisboa"/>
    <s v="Pró-labore"/>
    <x v="23"/>
    <x v="8"/>
    <s v="Thaynara Borges Pereira"/>
    <s v="Thaynara Borges Pereira"/>
    <m/>
    <m/>
    <s v="Thaynara Borges"/>
    <n v="-1256.68"/>
    <s v="Saída"/>
    <x v="0"/>
  </r>
  <r>
    <x v="18"/>
    <s v="Lisboa e Lisboa"/>
    <s v="Bolsa estágio"/>
    <x v="13"/>
    <x v="6"/>
    <s v="Laura Barbosa Marques"/>
    <s v="Laura Barbosa Marques"/>
    <m/>
    <m/>
    <s v="Thaynara Borges"/>
    <n v="-1200"/>
    <s v="Saída"/>
    <x v="0"/>
  </r>
  <r>
    <x v="19"/>
    <s v="Cartão de Crédito Dra Thaynara"/>
    <s v="Pagamento Cartão de Crédito Dra Thaynara"/>
    <x v="6"/>
    <x v="1"/>
    <s v="C6"/>
    <s v="C6"/>
    <m/>
    <m/>
    <s v="Thaynara Borges"/>
    <n v="1012.15"/>
    <s v="Entrada"/>
    <x v="3"/>
  </r>
  <r>
    <x v="19"/>
    <s v="Cartão de Crédito Dr Ivanildo"/>
    <s v="São Jorge - ultima parcela vaso sanitario Sarah"/>
    <x v="24"/>
    <x v="0"/>
    <s v="BANCO ITAU"/>
    <s v="BANCO ITAU"/>
    <m/>
    <m/>
    <s v="Thaynara Borges"/>
    <n v="-233.15"/>
    <s v="Saída"/>
    <x v="0"/>
  </r>
  <r>
    <x v="19"/>
    <s v="Cartão de Crédito Dr Ivanildo"/>
    <s v="Presente de fim de ano para Dra Flavia"/>
    <x v="16"/>
    <x v="4"/>
    <s v="BANCO ITAU"/>
    <s v="BANCO ITAU"/>
    <m/>
    <m/>
    <s v="Thaynara Borges"/>
    <n v="-126.7"/>
    <s v="Saída"/>
    <x v="0"/>
  </r>
  <r>
    <x v="19"/>
    <s v="Cartão de Crédito Dr Ivanildo"/>
    <s v="Lanches"/>
    <x v="11"/>
    <x v="1"/>
    <s v="BANCO ITAU"/>
    <s v="BANCO ITAU"/>
    <m/>
    <m/>
    <s v="Thaynara Borges"/>
    <n v="-26"/>
    <s v="Saída"/>
    <x v="0"/>
  </r>
  <r>
    <x v="19"/>
    <s v="Cartão de Crédito Dra Thaynara"/>
    <s v="ASTREA"/>
    <x v="12"/>
    <x v="1"/>
    <s v="C6"/>
    <s v="C6"/>
    <m/>
    <m/>
    <s v="Thaynara Borges"/>
    <n v="-456.75"/>
    <s v="Saída"/>
    <x v="0"/>
  </r>
  <r>
    <x v="19"/>
    <s v="Cartão de Crédito Dr Ivanildo"/>
    <s v="Almoço de confraternização final de ano"/>
    <x v="11"/>
    <x v="1"/>
    <s v="BANCO ITAU"/>
    <s v="BANCO ITAU"/>
    <m/>
    <m/>
    <s v="Thaynara Borges"/>
    <n v="-1212.29"/>
    <s v="Saída"/>
    <x v="0"/>
  </r>
  <r>
    <x v="19"/>
    <s v="Cartão de Crédito Dr Ivanildo"/>
    <s v="Jusbrasil"/>
    <x v="12"/>
    <x v="1"/>
    <s v="BANCO ITAU"/>
    <s v="BANCO ITAU"/>
    <m/>
    <m/>
    <s v="Thaynara Borges"/>
    <n v="-58.9"/>
    <s v="Saída"/>
    <x v="0"/>
  </r>
  <r>
    <x v="19"/>
    <s v="Cartão de Crédito Dra Sarah"/>
    <s v="DELL - Notebook (será estornado)"/>
    <x v="24"/>
    <x v="0"/>
    <s v="BANCO ITAU"/>
    <s v="BANCO ITAU"/>
    <m/>
    <m/>
    <s v="Thaynara Borges"/>
    <n v="-308.25"/>
    <s v="Saída"/>
    <x v="0"/>
  </r>
  <r>
    <x v="19"/>
    <s v="Cartão de Crédito Dra Thaynara"/>
    <s v="Cálculo Jurídico"/>
    <x v="12"/>
    <x v="1"/>
    <s v="C6"/>
    <s v="C6"/>
    <m/>
    <m/>
    <s v="Thaynara Borges"/>
    <n v="-120.29"/>
    <s v="Saída"/>
    <x v="0"/>
  </r>
  <r>
    <x v="19"/>
    <s v="Cartão de Crédito Dra Thaynara"/>
    <s v="ASA*TRINDADE AMADO PRO (Curso de atualização previdenciária)"/>
    <x v="12"/>
    <x v="1"/>
    <s v="C6"/>
    <s v="C6"/>
    <m/>
    <m/>
    <s v="Thaynara Borges"/>
    <n v="-59.9"/>
    <s v="Saída"/>
    <x v="0"/>
  </r>
  <r>
    <x v="19"/>
    <s v="Cartão de Crédito Dr Ivanildo"/>
    <s v="Prévius"/>
    <x v="12"/>
    <x v="1"/>
    <s v="BANCO ITAU"/>
    <s v="BANCO ITAU"/>
    <m/>
    <m/>
    <s v="Thaynara Borges"/>
    <n v="-80.91"/>
    <s v="Saída"/>
    <x v="0"/>
  </r>
  <r>
    <x v="19"/>
    <s v="Cartão de Crédito Dr Ivanildo"/>
    <s v="kabum - última parcela do origem (servidor)"/>
    <x v="25"/>
    <x v="0"/>
    <s v="BANCO ITAU"/>
    <s v="BANCO ITAU"/>
    <m/>
    <m/>
    <s v="Thaynara Borges"/>
    <n v="-292.89"/>
    <s v="Saída"/>
    <x v="0"/>
  </r>
  <r>
    <x v="19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19"/>
    <s v="Cartão de Crédito Dr Ivanildo"/>
    <s v="Jusbrasil"/>
    <x v="12"/>
    <x v="1"/>
    <s v="BANCO ITAU"/>
    <s v="BANCO ITAU"/>
    <m/>
    <m/>
    <s v="Thaynara Borges"/>
    <n v="-58.9"/>
    <s v="Saída"/>
    <x v="0"/>
  </r>
  <r>
    <x v="19"/>
    <s v="Cartão de Crédito Dr Ivanildo"/>
    <s v="Google One"/>
    <x v="12"/>
    <x v="1"/>
    <s v="BANCO ITAU"/>
    <s v="BANCO ITAU"/>
    <m/>
    <m/>
    <s v="Thaynara Borges"/>
    <n v="-38.99"/>
    <s v="Saída"/>
    <x v="0"/>
  </r>
  <r>
    <x v="19"/>
    <s v="Cartão de Crédito Dr Ivanildo"/>
    <s v="Bolo aniversario Sarah e Nina"/>
    <x v="11"/>
    <x v="1"/>
    <s v="BANCO ITAU"/>
    <s v="BANCO ITAU"/>
    <m/>
    <m/>
    <s v="Thaynara Borges"/>
    <n v="-170.99"/>
    <s v="Saída"/>
    <x v="0"/>
  </r>
  <r>
    <x v="19"/>
    <s v="Cartão de Crédito Dra Sarah"/>
    <s v="Pagamento Cartão de Crédito Dra Sarah"/>
    <x v="6"/>
    <x v="1"/>
    <s v="BANCO ITAU"/>
    <s v="BANCO ITAU"/>
    <m/>
    <m/>
    <s v="Thaynara Borges"/>
    <n v="308.25"/>
    <s v="Entrada"/>
    <x v="3"/>
  </r>
  <r>
    <x v="19"/>
    <s v="Cartão de Crédito Dr Ivanildo"/>
    <s v="Cestas de fim de ano para equipe"/>
    <x v="11"/>
    <x v="1"/>
    <s v="BANCO ITAU"/>
    <s v="BANCO ITAU"/>
    <m/>
    <m/>
    <s v="Thaynara Borges"/>
    <n v="-725"/>
    <s v="Saída"/>
    <x v="0"/>
  </r>
  <r>
    <x v="19"/>
    <s v="Cartão de Crédito Dr Ivanildo"/>
    <s v="Pagamento Cartão de Crédito Dr Ivanildo"/>
    <x v="6"/>
    <x v="1"/>
    <s v="BANCO ITAU"/>
    <s v="BANCO ITAU"/>
    <m/>
    <m/>
    <s v="Thaynara Borges"/>
    <n v="3379.88"/>
    <s v="Entrada"/>
    <x v="3"/>
  </r>
  <r>
    <x v="19"/>
    <s v="Cartão de Crédito Dr Ivanildo"/>
    <s v="Previdenciarista"/>
    <x v="12"/>
    <x v="1"/>
    <s v="BANCO ITAU"/>
    <s v="BANCO ITAU"/>
    <m/>
    <m/>
    <s v="Thaynara Borges"/>
    <n v="-99.9"/>
    <s v="Saída"/>
    <x v="0"/>
  </r>
  <r>
    <x v="19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19"/>
    <s v="Cartão de Crédito Dr Ivanildo"/>
    <s v="Google One"/>
    <x v="12"/>
    <x v="1"/>
    <s v="BANCO ITAU"/>
    <s v="BANCO ITAU"/>
    <m/>
    <m/>
    <s v="Thaynara Borges"/>
    <n v="-11.99"/>
    <s v="Saída"/>
    <x v="0"/>
  </r>
  <r>
    <x v="19"/>
    <s v="Cartão de Crédito Dra Thaynara"/>
    <s v="GOOGLE GSUITE_PREVLEX."/>
    <x v="12"/>
    <x v="1"/>
    <s v="C6"/>
    <s v="C6"/>
    <m/>
    <m/>
    <s v="Thaynara Borges"/>
    <n v="-126"/>
    <s v="Saída"/>
    <x v="0"/>
  </r>
  <r>
    <x v="19"/>
    <s v="Cartão de Crédito Dr Ivanildo"/>
    <s v="Salgados aniversario Sarah e Nina"/>
    <x v="11"/>
    <x v="1"/>
    <s v="BANCO ITAU"/>
    <s v="BANCO ITAU"/>
    <m/>
    <m/>
    <s v="Thaynara Borges"/>
    <n v="-170.6"/>
    <s v="Saída"/>
    <x v="0"/>
  </r>
  <r>
    <x v="19"/>
    <s v="Cartão de Crédito Dr Ivanildo"/>
    <s v="Lanches"/>
    <x v="11"/>
    <x v="1"/>
    <s v="BANCO ITAU"/>
    <s v="BANCO ITAU"/>
    <m/>
    <m/>
    <s v="Thaynara Borges"/>
    <n v="-52.77"/>
    <s v="Saída"/>
    <x v="0"/>
  </r>
  <r>
    <x v="20"/>
    <s v="Lisboa e Lisboa"/>
    <s v="Assessoria Contábil"/>
    <x v="1"/>
    <x v="1"/>
    <s v="CARLOS ALBERTO GRACIANO RODRIGUES"/>
    <s v="CARLOS ALBERTO GRACIANO RODRIGUES"/>
    <m/>
    <m/>
    <s v="Thaynara Borges"/>
    <n v="-1412"/>
    <s v="Saída"/>
    <x v="0"/>
  </r>
  <r>
    <x v="20"/>
    <s v="Sarah Alves Lisboa"/>
    <s v="50% sobre implantação (líquido, tirando 10% da Jainy)"/>
    <x v="2"/>
    <x v="2"/>
    <s v="MARIA DAS GRAÇAS MOREIRA DA SILVA"/>
    <s v="MARIA DAS GRAÇAS MOREIRA DA SILVA"/>
    <m/>
    <s v="APOSENTADORIA RURAL"/>
    <s v="Thaynara Borges"/>
    <n v="2385"/>
    <s v="Entrada"/>
    <x v="1"/>
  </r>
  <r>
    <x v="20"/>
    <s v="Sarah Alves Lisboa"/>
    <s v="50% sobre a implantação"/>
    <x v="2"/>
    <x v="2"/>
    <s v="JOSELINA ROSA DE SANTANA"/>
    <s v="JOSELINA ROSA DE SANTANA"/>
    <m/>
    <s v="APOSENTADORIA RURAL"/>
    <s v="Thaynara Borges"/>
    <n v="1945"/>
    <s v="Entrada"/>
    <x v="1"/>
  </r>
  <r>
    <x v="20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20"/>
    <s v="Lisboa e Lisboa"/>
    <s v="30% sobre a implantação"/>
    <x v="2"/>
    <x v="2"/>
    <s v="MARIA JOSE FONSECA ARAUJO MELO ROSETE GOIS"/>
    <s v="MARIA JOSE FONSECA ARAUJO MELO ROSETE GOIS"/>
    <m/>
    <s v="REVISÃO DE BENEFÍCIO"/>
    <s v="Thaynara Borges"/>
    <n v="3692.45"/>
    <s v="Entrada"/>
    <x v="1"/>
  </r>
  <r>
    <x v="20"/>
    <s v="Thaynara Borges Pereira"/>
    <s v="Parcelamento em 7x"/>
    <x v="2"/>
    <x v="2"/>
    <s v="MARIA DA SILVA NOGUEIRA"/>
    <s v="MARIA DA SILVA NOGUEIRA"/>
    <m/>
    <s v="Maria da Silva Nogueira x Nathalia dos Santos Nogueira"/>
    <s v="Thaynara Borges"/>
    <n v="250"/>
    <s v="Entrada"/>
    <x v="1"/>
  </r>
  <r>
    <x v="21"/>
    <s v="Lisboa e Lisboa"/>
    <s v="Plano mensal - conta corrente"/>
    <x v="4"/>
    <x v="3"/>
    <s v="BANCO ITAU"/>
    <s v="BANCO ITAU"/>
    <m/>
    <m/>
    <s v="Thaynara Borges"/>
    <n v="-261.75"/>
    <s v="Saída"/>
    <x v="0"/>
  </r>
  <r>
    <x v="21"/>
    <s v="Sarah Alves Lisboa"/>
    <s v="30% sobre o 1º pagamento"/>
    <x v="2"/>
    <x v="2"/>
    <s v="ANTÔNIO BARBOSA DA SILVA FILHO"/>
    <s v="ANTÔNIO BARBOSA DA SILVA FILHO"/>
    <m/>
    <s v="BENEFÍCIO POR INCAPACIDADE"/>
    <s v="Thaynara Borges"/>
    <n v="560"/>
    <s v="Entrada"/>
    <x v="1"/>
  </r>
  <r>
    <x v="22"/>
    <s v="Sarah Alves Lisboa"/>
    <s v="GRU"/>
    <x v="7"/>
    <x v="5"/>
    <s v="Jose Francisco Rodrigues da Silva"/>
    <s v="Jose Francisco Rodrigues da Silva"/>
    <m/>
    <s v="AUXILIO DOENÇA/ APOSENTADORIA POR INVALIDEZ"/>
    <s v="Thaynara Borges"/>
    <n v="-21.73"/>
    <s v="Saída"/>
    <x v="0"/>
  </r>
  <r>
    <x v="22"/>
    <s v="Lisboa e Lisboa"/>
    <s v="30% sobre os atrasados (valor liquido 50% Fernando)"/>
    <x v="2"/>
    <x v="2"/>
    <s v="MARCOS ANTONIO LOURENÇO DE TOLEDO"/>
    <s v="MARCOS ANTONIO LOURENÇO DE TOLEDO"/>
    <m/>
    <s v="AUXILIO DOENÇA"/>
    <s v="Thaynara Borges"/>
    <n v="1507.81"/>
    <s v="Entrada"/>
    <x v="2"/>
  </r>
  <r>
    <x v="22"/>
    <s v="Lisboa e Lisboa"/>
    <s v="Sucumbência líquida (70% da Vanessa)"/>
    <x v="2"/>
    <x v="2"/>
    <s v="LEILA DIAS MARTINS"/>
    <s v="LEILA DIAS MARTINS"/>
    <m/>
    <s v="SUSPENÇAO DE ALTA MEDICA CONCEDIDA EM APOSENTADORIA POR INVALIDEZ"/>
    <s v="Thaynara Borges"/>
    <n v="361.22"/>
    <s v="Entrada"/>
    <x v="2"/>
  </r>
  <r>
    <x v="22"/>
    <s v="Lisboa e Lisboa"/>
    <s v="30% sobre os atrasados (líquidos, 70% da Vanessa)"/>
    <x v="2"/>
    <x v="2"/>
    <s v="LEILA DIAS MARTINS"/>
    <s v="LEILA DIAS MARTINS"/>
    <m/>
    <s v="SUSPENÇAO DE ALTA MEDICA CONCEDIDA EM APOSENTADORIA POR INVALIDEZ"/>
    <s v="Thaynara Borges"/>
    <n v="1083.6400000000001"/>
    <s v="Entrada"/>
    <x v="2"/>
  </r>
  <r>
    <x v="22"/>
    <s v="Thaynara Borges Pereira"/>
    <s v="Jarra para cafeteira"/>
    <x v="26"/>
    <x v="1"/>
    <s v="Mercado Livre"/>
    <s v="Mercado Livre"/>
    <m/>
    <m/>
    <s v="Thaynara Borges"/>
    <n v="-70.22"/>
    <s v="Saída"/>
    <x v="0"/>
  </r>
  <r>
    <x v="22"/>
    <s v="Lisboa e Lisboa"/>
    <s v="2 Benefícios parcelados em 6x"/>
    <x v="2"/>
    <x v="2"/>
    <s v="ISABEL PEREIRA SOUSA"/>
    <s v="ISABEL PEREIRA SOUSA"/>
    <m/>
    <s v="APOSENTADORIA POR IDADE"/>
    <s v="Thaynara Borges"/>
    <n v="470.66"/>
    <s v="Entrada"/>
    <x v="1"/>
  </r>
  <r>
    <x v="22"/>
    <s v="Sarah Alves Lisboa"/>
    <s v="GRU"/>
    <x v="7"/>
    <x v="5"/>
    <s v="FABIANO MAGNO CESAR"/>
    <s v="FABIANO MAGNO CESAR"/>
    <m/>
    <s v="AUXILIO DOENÇA"/>
    <s v="Thaynara Borges"/>
    <n v="-21.73"/>
    <s v="Saída"/>
    <x v="0"/>
  </r>
  <r>
    <x v="22"/>
    <s v="Lisboa e Lisboa"/>
    <s v="Condomínio"/>
    <x v="10"/>
    <x v="1"/>
    <s v="ATON BUSINESS STYLE"/>
    <s v="ATON BUSINESS STYLE"/>
    <m/>
    <m/>
    <s v="Thaynara Borges"/>
    <n v="-2967.49"/>
    <s v="Saída"/>
    <x v="0"/>
  </r>
  <r>
    <x v="22"/>
    <s v="Sarah Alves Lisboa"/>
    <s v="GRU"/>
    <x v="7"/>
    <x v="5"/>
    <s v="MARCOS ANTONIO LOURENÇO DE TOLEDO"/>
    <s v="MARCOS ANTONIO LOURENÇO DE TOLEDO"/>
    <m/>
    <s v="AUXILIO DOENÇA"/>
    <s v="Thaynara Borges"/>
    <n v="-21.73"/>
    <s v="Saída"/>
    <x v="0"/>
  </r>
  <r>
    <x v="22"/>
    <s v="Sarah Alves Lisboa"/>
    <s v="Limpeza"/>
    <x v="9"/>
    <x v="1"/>
    <s v="ELIZANGELA FERREIRA DA SILVA"/>
    <s v="ELIZANGELA FERREIRA DA SILVA"/>
    <m/>
    <m/>
    <s v="Thaynara Borges"/>
    <n v="-170"/>
    <s v="Saída"/>
    <x v="0"/>
  </r>
  <r>
    <x v="22"/>
    <s v="Lisboa e Lisboa"/>
    <s v="Cartão de Crédito Dr Ivanilldo"/>
    <x v="6"/>
    <x v="1"/>
    <s v="BANCO ITAU"/>
    <s v="BANCO ITAU"/>
    <m/>
    <m/>
    <s v="Thaynara Borges"/>
    <n v="-3379.88"/>
    <s v="Saída"/>
    <x v="3"/>
  </r>
  <r>
    <x v="23"/>
    <s v="Lisboa e Lisboa"/>
    <s v="Banner"/>
    <x v="3"/>
    <x v="1"/>
    <s v="Rhuan Carlos Batista"/>
    <s v="Rhuan Carlos Batista"/>
    <m/>
    <m/>
    <s v="Thaynara Borges"/>
    <n v="-30"/>
    <s v="Saída"/>
    <x v="0"/>
  </r>
  <r>
    <x v="23"/>
    <s v="Sarah Alves Lisboa"/>
    <s v="30% sobre implantação"/>
    <x v="2"/>
    <x v="2"/>
    <s v="GERENIAS GOMES DA SILVA"/>
    <s v="GERENIAS GOMES DA SILVA"/>
    <m/>
    <s v="BENEFÍCIO POR INCAPACIDADE"/>
    <s v="Thaynara Borges"/>
    <n v="1523.1"/>
    <s v="Entrada"/>
    <x v="1"/>
  </r>
  <r>
    <x v="23"/>
    <s v="Thaynara Borges Pereira"/>
    <s v="Honorários 25% sobre a parte encontrada (tirando parte da Vanessa)"/>
    <x v="2"/>
    <x v="2"/>
    <s v="PABLO CASSIO MENDES"/>
    <s v="PABLO CASSIO MENDES"/>
    <m/>
    <s v="INDENIZACAO POR DANOS MORAIS E MATERIAIS"/>
    <s v="Thaynara Borges"/>
    <n v="201.46"/>
    <s v="Entrada"/>
    <x v="1"/>
  </r>
  <r>
    <x v="23"/>
    <s v="Thaynara Borges Pereira"/>
    <s v="Parceria com Dr. Silvio"/>
    <x v="2"/>
    <x v="2"/>
    <s v="ANTONIO PEREIRA SOBRINHO"/>
    <s v="ANTONIO PEREIRA SOBRINHO"/>
    <m/>
    <m/>
    <s v="Thaynara Borges"/>
    <n v="354"/>
    <s v="Entrada"/>
    <x v="1"/>
  </r>
  <r>
    <x v="24"/>
    <s v="Lisboa e Lisboa"/>
    <s v="Telefone fixo e internet"/>
    <x v="8"/>
    <x v="1"/>
    <s v="VIVO"/>
    <s v="VIVO"/>
    <m/>
    <m/>
    <s v="Thaynara Borges"/>
    <n v="-367.84"/>
    <s v="Saída"/>
    <x v="0"/>
  </r>
  <r>
    <x v="24"/>
    <s v="Lisboa e Lisboa"/>
    <s v="Parcelas - honorários 3 benefícios"/>
    <x v="2"/>
    <x v="2"/>
    <s v="JOÃO BAREICHA FERREIRA GALVÃO"/>
    <s v="JOÃO BAREICHA FERREIRA GALVÃO"/>
    <m/>
    <s v="APOSENTADORIA"/>
    <s v="Thaynara Borges"/>
    <n v="1589.62"/>
    <s v="Entrada"/>
    <x v="1"/>
  </r>
  <r>
    <x v="25"/>
    <s v="Sarah Alves Lisboa"/>
    <s v="Celular"/>
    <x v="8"/>
    <x v="1"/>
    <s v="VIVO"/>
    <s v="VIVO"/>
    <m/>
    <m/>
    <s v="Thaynara Borges"/>
    <n v="-130.37"/>
    <s v="Saída"/>
    <x v="0"/>
  </r>
  <r>
    <x v="25"/>
    <s v="Lisboa e Lisboa"/>
    <s v="Cartão de Crédito Dra Sarah"/>
    <x v="6"/>
    <x v="1"/>
    <s v="BANCO ITAU"/>
    <s v="BANCO ITAU"/>
    <m/>
    <m/>
    <s v="Thaynara Borges"/>
    <n v="-308.25"/>
    <s v="Saída"/>
    <x v="3"/>
  </r>
  <r>
    <x v="26"/>
    <s v="Sarah Alves Lisboa"/>
    <s v="Tarifa Bancária"/>
    <x v="4"/>
    <x v="3"/>
    <s v="BANCO DO BRASIL S/A"/>
    <s v="BANCO DO BRASIL S/A"/>
    <m/>
    <m/>
    <s v="Thaynara Borges"/>
    <n v="-14.55"/>
    <s v="Saída"/>
    <x v="0"/>
  </r>
  <r>
    <x v="26"/>
    <s v="Lisboa e Lisboa"/>
    <s v="30% sobre os atrasados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12957.89"/>
    <s v="Entrada"/>
    <x v="1"/>
  </r>
  <r>
    <x v="26"/>
    <s v="Lisboa e Lisboa"/>
    <s v="Publicações Renio"/>
    <x v="12"/>
    <x v="1"/>
    <s v="PRO JURIDICO"/>
    <s v="PRO JURIDICO"/>
    <m/>
    <m/>
    <s v="Thaynara Borges"/>
    <n v="-100"/>
    <s v="Saída"/>
    <x v="0"/>
  </r>
  <r>
    <x v="26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6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26"/>
    <s v="Lisboa e Lisboa"/>
    <s v="IEL Estagiárias"/>
    <x v="13"/>
    <x v="6"/>
    <s v="IEL"/>
    <s v="IEL"/>
    <m/>
    <m/>
    <s v="Thaynara Borges"/>
    <n v="-200"/>
    <s v="Saída"/>
    <x v="0"/>
  </r>
  <r>
    <x v="26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6"/>
    <s v="Lisboa e Lisboa"/>
    <s v="50% dos atrasados (líquido, 10% da jainy)"/>
    <x v="2"/>
    <x v="2"/>
    <s v="MARIA DAS GRAÇAS MOREIRA DA SILVA"/>
    <s v="MARIA DAS GRAÇAS MOREIRA DA SILVA"/>
    <m/>
    <s v="APOSENTADORIA RURAL"/>
    <s v="Thaynara Borges"/>
    <n v="3438"/>
    <s v="Entrada"/>
    <x v="1"/>
  </r>
  <r>
    <x v="26"/>
    <s v="Lisboa e Lisboa"/>
    <s v="30% dos atrasados + 20% anuidade"/>
    <x v="2"/>
    <x v="2"/>
    <s v="MARIA APARECIDA DA COSTA DIAS"/>
    <s v="MARIA APARECIDA DA COSTA DIAS"/>
    <m/>
    <s v="AUXÍLIO DOENÇA RURAL"/>
    <s v="Thaynara Borges"/>
    <n v="11829.76"/>
    <s v="Entrada"/>
    <x v="1"/>
  </r>
  <r>
    <x v="26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6"/>
    <s v="Sarah Alves Lisboa"/>
    <s v="30% SOBRE A IMPLANTAÇÃO"/>
    <x v="2"/>
    <x v="2"/>
    <s v="ANA PEREIRA DA SILVA JESUS"/>
    <s v="ANA PEREIRA DA SILVA JESUS"/>
    <m/>
    <s v="AMPARA AO IDOSO"/>
    <s v="Thaynara Borges"/>
    <n v="1272.3"/>
    <s v="Entrada"/>
    <x v="1"/>
  </r>
  <r>
    <x v="27"/>
    <s v="Lisboa e Lisboa"/>
    <s v="Parcela Honorários Parceria"/>
    <x v="2"/>
    <x v="2"/>
    <s v="SONIA MARIA DA SILVA"/>
    <s v="SONIA MARIA DA SILVA"/>
    <m/>
    <s v="Defesa Cível - Parceria Dr Silvio"/>
    <s v="Thaynara Borges"/>
    <n v="450"/>
    <s v="Entrada"/>
    <x v="2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8"/>
    <s v="Lisboa e Lisboa"/>
    <s v="Anuidade parcelada em 13x"/>
    <x v="2"/>
    <x v="2"/>
    <s v="CALEB FERNANDES BARCELLOS REPRESENTADO PELA ROSALIA FERNANDES TEIXEIRA"/>
    <s v="CALEB FERNANDES BARCELLOS REPRESENTADO PELA ROSALIA FERNANDES TEIXEIRA"/>
    <m/>
    <s v="AUXILIO RECLUSÃO"/>
    <s v="Thaynara Borges"/>
    <n v="282.39999999999998"/>
    <s v="Entrada"/>
    <x v="1"/>
  </r>
  <r>
    <x v="29"/>
    <s v="Lisboa e Lisboa"/>
    <s v="CONSULTA"/>
    <x v="2"/>
    <x v="2"/>
    <s v="DJEROWILSON ARAÚJO GONÇALVES"/>
    <s v="DJEROWILSON ARAÚJO GONÇALVES"/>
    <m/>
    <s v="ANÁLISE"/>
    <s v="Nathalia Louiz"/>
    <n v="400"/>
    <s v="Entrada"/>
    <x v="1"/>
  </r>
  <r>
    <x v="29"/>
    <s v="Sarah Alves Lisboa"/>
    <s v="Honorário de implantação"/>
    <x v="2"/>
    <x v="2"/>
    <s v="AMARILDO DE MOURA"/>
    <s v="AMARILDO DE MOURA"/>
    <m/>
    <s v="APOSENTADORIA"/>
    <s v="Thaynara Borges"/>
    <n v="1125"/>
    <s v="Entrada"/>
    <x v="1"/>
  </r>
  <r>
    <x v="30"/>
    <s v="Sarah Alves Lisboa"/>
    <s v="Cartão de Crédito Dra Thaynara"/>
    <x v="6"/>
    <x v="1"/>
    <s v="C6"/>
    <s v="C6"/>
    <m/>
    <m/>
    <s v="Thaynara Borges"/>
    <n v="-1012.15"/>
    <s v="Saída"/>
    <x v="3"/>
  </r>
  <r>
    <x v="30"/>
    <s v="Lisboa e Lisboa"/>
    <s v="Publicações aviso urgente"/>
    <x v="12"/>
    <x v="1"/>
    <s v="AVISO URGENTE T I LTDA"/>
    <s v="AVISO URGENTE T I LTDA"/>
    <m/>
    <m/>
    <s v="Thaynara Borges"/>
    <n v="-507.3"/>
    <s v="Saída"/>
    <x v="0"/>
  </r>
  <r>
    <x v="31"/>
    <s v="Sarah Alves Lisboa"/>
    <s v="SSD para computador da Nina"/>
    <x v="14"/>
    <x v="1"/>
    <s v="LISBOA E LISBOA ADVOGADOS ASSOCIADOS"/>
    <s v="LISBOA E LISBOA ADVOGADOS ASSOCIADOS"/>
    <m/>
    <m/>
    <s v="Nathalia Louiz"/>
    <n v="-244.32"/>
    <s v="Saída"/>
    <x v="0"/>
  </r>
  <r>
    <x v="32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33"/>
    <s v="Lisboa e Lisboa"/>
    <s v="Simples Nacional"/>
    <x v="20"/>
    <x v="7"/>
    <s v="Simples Nacional"/>
    <s v="Simples Nacional"/>
    <m/>
    <m/>
    <s v="Thaynara Borges"/>
    <n v="-3049.39"/>
    <s v="Saída"/>
    <x v="0"/>
  </r>
  <r>
    <x v="33"/>
    <s v="Thaynara Borges Pereira"/>
    <s v="Parceria com Dr. Silvio"/>
    <x v="2"/>
    <x v="2"/>
    <s v="ANTONIO PEREIRA SOBRINHO"/>
    <s v="ANTONIO PEREIRA SOBRINHO"/>
    <m/>
    <m/>
    <s v="Thaynara Borges"/>
    <n v="354"/>
    <s v="Entrada"/>
    <x v="2"/>
  </r>
  <r>
    <x v="33"/>
    <s v="Lisboa e Lisboa"/>
    <s v="Água"/>
    <x v="17"/>
    <x v="1"/>
    <s v="SANEAGO GOIAS S/A"/>
    <s v="SANEAGO GOIAS S/A"/>
    <m/>
    <m/>
    <s v="Thaynara Borges"/>
    <n v="-61.14"/>
    <s v="Saída"/>
    <x v="0"/>
  </r>
  <r>
    <x v="33"/>
    <s v="Lisboa e Lisboa"/>
    <s v="Anuidade - parceria com Dr Fernando"/>
    <x v="2"/>
    <x v="2"/>
    <s v="ELVIO DE OLIVEIRA SOARES"/>
    <s v="ELVIO DE OLIVEIRA SOARES"/>
    <m/>
    <s v="APOSENTADORIA POR IDADE"/>
    <s v="Thaynara Borges"/>
    <n v="211.8"/>
    <s v="Entrada"/>
    <x v="1"/>
  </r>
  <r>
    <x v="33"/>
    <s v="Lisboa e Lisboa"/>
    <s v="FGTS"/>
    <x v="18"/>
    <x v="6"/>
    <s v="Ministério do Trabalho e Emprego"/>
    <s v="Ministério do Trabalho e Emprego"/>
    <m/>
    <m/>
    <s v="Thaynara Borges"/>
    <n v="-415.96"/>
    <s v="Saída"/>
    <x v="0"/>
  </r>
  <r>
    <x v="33"/>
    <s v="Sarah Alves Lisboa"/>
    <s v="PIX para Gasolina - Sarah (Pleiteio de Cliente)"/>
    <x v="27"/>
    <x v="4"/>
    <s v="LISBOA E LISBOA ADVOGADOS ASSOCIADOS"/>
    <s v="LISBOA E LISBOA ADVOGADOS ASSOCIADOS"/>
    <s v="Enviado da conta BB Sarah para a conta Itaú Sarah"/>
    <m/>
    <s v="Nathalia Louiz"/>
    <n v="-70"/>
    <s v="Saída"/>
    <x v="0"/>
  </r>
  <r>
    <x v="33"/>
    <s v="Sarah Alves Lisboa"/>
    <s v="PIX PARA XEROX (Plenteio de cliente)"/>
    <x v="28"/>
    <x v="4"/>
    <s v="LISBOA E LISBOA ADVOGADOS ASSOCIADOS"/>
    <s v="LISBOA E LISBOA ADVOGADOS ASSOCIADOS"/>
    <s v="Enviado da conta BB Sarah para a conta Itaú Sarah"/>
    <m/>
    <s v="Nathalia Louiz"/>
    <n v="-30"/>
    <s v="Saída"/>
    <x v="0"/>
  </r>
  <r>
    <x v="33"/>
    <s v="Lisboa e Lisboa"/>
    <s v="INSS"/>
    <x v="19"/>
    <x v="6"/>
    <s v="Receita Federal"/>
    <s v="Receita Federal"/>
    <m/>
    <m/>
    <s v="Thaynara Borges"/>
    <n v="-1980.52"/>
    <s v="Saída"/>
    <x v="0"/>
  </r>
  <r>
    <x v="34"/>
    <s v="Sarah Alves Lisboa"/>
    <s v="Indicação para Dra. Karine Domingues"/>
    <x v="2"/>
    <x v="2"/>
    <s v="KESIA DA SILVA RIBEIRO"/>
    <s v="KESIA DA SILVA RIBEIRO"/>
    <m/>
    <m/>
    <s v="Thaynara Borges"/>
    <n v="270"/>
    <s v="Entrada"/>
    <x v="1"/>
  </r>
  <r>
    <x v="34"/>
    <s v="Lisboa e Lisboa"/>
    <s v="20% pela parceria com Dra. Nubia"/>
    <x v="2"/>
    <x v="2"/>
    <s v="GILNETH VIDAL DOS SANTOS"/>
    <s v="GILNETH VIDAL DOS SANTOS"/>
    <m/>
    <s v="ANALISAR PROCESSOS"/>
    <s v="Thaynara Borges"/>
    <n v="120"/>
    <s v="Entrada"/>
    <x v="2"/>
  </r>
  <r>
    <x v="34"/>
    <s v="Lisboa e Lisboa"/>
    <s v="Sucumbencia liquida, tirando Giuliano e Vanessa"/>
    <x v="2"/>
    <x v="2"/>
    <s v="LUCILENE DOMINGUES DE OLIVEIRA"/>
    <s v="LUCILENE DOMINGUES DE OLIVEIRA"/>
    <m/>
    <s v="PENSAO POR MORTE"/>
    <s v="Thaynara Borges"/>
    <n v="3674.98"/>
    <s v="Entrada"/>
    <x v="1"/>
  </r>
  <r>
    <x v="34"/>
    <s v="Sarah Alves Lisboa"/>
    <s v="Indicação para Dra. Karine Domingues"/>
    <x v="2"/>
    <x v="2"/>
    <s v="KESIA DA SILVA RIBEIRO"/>
    <s v="KESIA DA SILVA RIBEIRO"/>
    <m/>
    <m/>
    <s v="Thaynara Borges"/>
    <n v="270"/>
    <s v="Entrada"/>
    <x v="1"/>
  </r>
  <r>
    <x v="35"/>
    <s v="Sarah Alves Lisboa"/>
    <s v="30%  sobre atrasados"/>
    <x v="2"/>
    <x v="2"/>
    <s v="Jose Francisco Rodrigues da Silva"/>
    <s v="Jose Francisco Rodrigues da Silva"/>
    <s v="BB da Sarah"/>
    <s v="AUXILIO DOENÇA/ APOSENTADORIA POR INVALIDEZ"/>
    <s v="Thaynara Borges"/>
    <n v="616.44000000000005"/>
    <s v="Entrada"/>
    <x v="1"/>
  </r>
  <r>
    <x v="36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36"/>
    <s v="Lisboa e Lisboa"/>
    <s v="MANUTENÇÃO DO ESCRITORIO (vazamentos hidráulicos)"/>
    <x v="14"/>
    <x v="1"/>
    <s v="LISBOA E LISBOA ADVOGADOS ASSOCIADOS"/>
    <s v="LISBOA E LISBOA ADVOGADOS ASSOCIADOS"/>
    <s v="PIX para IDEAL DEDETIZADORA E DESENTUPIDORA"/>
    <m/>
    <s v="Nathalia Louiz"/>
    <n v="-150"/>
    <s v="Saída"/>
    <x v="0"/>
  </r>
  <r>
    <x v="37"/>
    <s v="Lisboa e Lisboa"/>
    <s v="CUSTAS EXECUÇÃO ESPÓLIO REGINALDO"/>
    <x v="7"/>
    <x v="5"/>
    <s v="ESPÓLIO DE REGINALDO DE SOUZA LIRA"/>
    <s v="ESPÓLIO DE REGINALDO DE SOUZA LIRA"/>
    <m/>
    <s v="ESPÓLIO DE REGINALDO DE SOUZA LIRA x A DEFINIR"/>
    <s v="Nathalia Louiz"/>
    <n v="-132.99"/>
    <s v="Saída"/>
    <x v="0"/>
  </r>
  <r>
    <x v="37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38"/>
    <s v="Sarah Alves Lisboa"/>
    <s v="Parcelas anuidade"/>
    <x v="2"/>
    <x v="2"/>
    <s v="JOSE NILTON FERREIRA DE SOUZA"/>
    <s v="JOSE NILTON FERREIRA DE SOUZA"/>
    <m/>
    <s v="APOSENTADORIA POR IDADE"/>
    <s v="Thaynara Borges"/>
    <n v="282.39999999999998"/>
    <s v="Entrada"/>
    <x v="1"/>
  </r>
  <r>
    <x v="38"/>
    <s v="Lisboa e Lisboa"/>
    <s v="Suprimentos para o Escritório"/>
    <x v="26"/>
    <x v="1"/>
    <s v="LISBOA E LISBOA ADVOGADOS ASSOCIADOS"/>
    <s v="LISBOA E LISBOA ADVOGADOS ASSOCIADOS"/>
    <s v="Boleto agendado"/>
    <m/>
    <s v="Nathalia Louiz"/>
    <n v="-340.6"/>
    <s v="Saída"/>
    <x v="0"/>
  </r>
  <r>
    <x v="38"/>
    <s v="Lisboa e Lisboa"/>
    <s v="30% sobre os atrasados"/>
    <x v="2"/>
    <x v="2"/>
    <s v="FABIANO MAGNO CESAR"/>
    <s v="FABIANO MAGNO CESAR"/>
    <m/>
    <s v="AUXILIO DOENÇA"/>
    <s v="Thaynara Borges"/>
    <n v="14421.52"/>
    <s v="Entrada"/>
    <x v="1"/>
  </r>
  <r>
    <x v="38"/>
    <s v="Lisboa e Lisboa"/>
    <s v="Energia"/>
    <x v="21"/>
    <x v="1"/>
    <s v="EQUATORIAL GOIAS"/>
    <s v="EQUATORIAL GOIAS"/>
    <m/>
    <m/>
    <s v="Thaynara Borges"/>
    <n v="-720.51"/>
    <s v="Saída"/>
    <x v="0"/>
  </r>
  <r>
    <x v="39"/>
    <s v="Thaynara Borges Pereira"/>
    <s v="Diferença ref.: 3 Benefícios parcelados"/>
    <x v="2"/>
    <x v="2"/>
    <s v="ANA ELIA DE SOUZA MANSE"/>
    <s v="ANA ELIA DE SOUZA MANSE"/>
    <s v="Recebimento parcial"/>
    <s v="PENSÃO POR MORTE"/>
    <s v="Thaynara Borges"/>
    <n v="410"/>
    <s v="Entrada"/>
    <x v="1"/>
  </r>
  <r>
    <x v="39"/>
    <s v="Thaynara Borges Pereira"/>
    <s v="Diferença ref.: 3 Benefícios parcelados"/>
    <x v="2"/>
    <x v="2"/>
    <s v="ANA ELIA DE SOUZA MANSE"/>
    <s v="ANA ELIA DE SOUZA MANSE"/>
    <m/>
    <s v="PENSÃO POR MORTE"/>
    <s v="Thaynara Borges"/>
    <n v="59"/>
    <s v="Entrada"/>
    <x v="1"/>
  </r>
  <r>
    <x v="40"/>
    <s v="Lisboa e Lisboa"/>
    <s v="Salario"/>
    <x v="15"/>
    <x v="6"/>
    <s v="Nina Araujo"/>
    <s v="Nina Araujo"/>
    <m/>
    <m/>
    <s v="Thaynara Borges"/>
    <n v="-3195.89"/>
    <s v="Saída"/>
    <x v="0"/>
  </r>
  <r>
    <x v="40"/>
    <s v="Sarah Alves Lisboa"/>
    <s v="Limpeza"/>
    <x v="9"/>
    <x v="1"/>
    <s v="ELIZANGELA FERREIRA DA SILVA"/>
    <s v="ELIZANGELA FERREIRA DA SILVA"/>
    <m/>
    <m/>
    <s v="Thaynara Borges"/>
    <n v="-340"/>
    <s v="Saída"/>
    <x v="0"/>
  </r>
  <r>
    <x v="40"/>
    <s v="Lisboa e Lisboa"/>
    <s v="Retirada"/>
    <x v="22"/>
    <x v="8"/>
    <s v="Thaynara Borges Pereira"/>
    <s v="Thaynara Borges Pereira"/>
    <m/>
    <m/>
    <s v="Thaynara Borges"/>
    <n v="-3648.98"/>
    <s v="Saída"/>
    <x v="0"/>
  </r>
  <r>
    <x v="40"/>
    <s v="Sarah Alves Lisboa"/>
    <s v="Salário - Parcial"/>
    <x v="15"/>
    <x v="6"/>
    <s v="Nathalia Louiz Alves Vigilato"/>
    <s v="Nathalia Louiz Alves Vigilato"/>
    <m/>
    <m/>
    <s v="Nathalia Louiz"/>
    <n v="-930.39"/>
    <s v="Saída"/>
    <x v="0"/>
  </r>
  <r>
    <x v="40"/>
    <s v="Lisboa e Lisboa"/>
    <s v="Bolsa Estagio"/>
    <x v="13"/>
    <x v="6"/>
    <s v="ISABELLA ALVIM BIACHINI"/>
    <s v="ISABELLA ALVIM BIACHINI"/>
    <m/>
    <m/>
    <s v="Thaynara Borges"/>
    <n v="-1300"/>
    <s v="Saída"/>
    <x v="0"/>
  </r>
  <r>
    <x v="40"/>
    <s v="Lisboa e Lisboa"/>
    <s v="Retirada"/>
    <x v="22"/>
    <x v="8"/>
    <s v="Sarah Alves Lisboa"/>
    <s v="Sarah Alves Lisboa"/>
    <m/>
    <m/>
    <s v="Thaynara Borges"/>
    <n v="-6148.98"/>
    <s v="Saída"/>
    <x v="0"/>
  </r>
  <r>
    <x v="40"/>
    <s v="Lisboa e Lisboa"/>
    <s v="Pro labore"/>
    <x v="23"/>
    <x v="8"/>
    <s v="Thaynara Borges Pereira"/>
    <s v="Thaynara Borges Pereira"/>
    <m/>
    <m/>
    <s v="Thaynara Borges"/>
    <n v="-1351.02"/>
    <s v="Saída"/>
    <x v="0"/>
  </r>
  <r>
    <x v="40"/>
    <s v="Lisboa e Lisboa"/>
    <s v="Pro labore"/>
    <x v="23"/>
    <x v="8"/>
    <s v="Sarah Alves Lisboa"/>
    <s v="Sarah Alves Lisboa"/>
    <m/>
    <m/>
    <s v="Thaynara Borges"/>
    <n v="-1351.02"/>
    <s v="Saída"/>
    <x v="0"/>
  </r>
  <r>
    <x v="40"/>
    <s v="Lisboa e Lisboa"/>
    <s v="Bolsa Estagio"/>
    <x v="13"/>
    <x v="6"/>
    <s v="Laura Barbosa Marques"/>
    <s v="Laura Barbosa Marques"/>
    <m/>
    <m/>
    <s v="Thaynara Borges"/>
    <n v="-1300"/>
    <s v="Saída"/>
    <x v="0"/>
  </r>
  <r>
    <x v="40"/>
    <s v="Sarah Alves Lisboa"/>
    <s v="Salario"/>
    <x v="15"/>
    <x v="6"/>
    <s v="Raffaela Nunes"/>
    <s v="Raffaela Nunes"/>
    <m/>
    <m/>
    <s v="Thaynara Borges"/>
    <n v="-2200"/>
    <s v="Saída"/>
    <x v="0"/>
  </r>
  <r>
    <x v="41"/>
    <s v="Cartão de Crédito Dr Ivanildo"/>
    <s v="Google One"/>
    <x v="12"/>
    <x v="1"/>
    <s v="BANCO ITAU"/>
    <s v="BANCO ITAU"/>
    <m/>
    <m/>
    <s v="Thaynara Borges"/>
    <n v="-38.99"/>
    <s v="Saída"/>
    <x v="0"/>
  </r>
  <r>
    <x v="41"/>
    <s v="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41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41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41"/>
    <s v="Cartão de Crédito Dra Thaynara"/>
    <s v="GOOGLE GSUITE_PREVLEX."/>
    <x v="12"/>
    <x v="1"/>
    <s v="C6"/>
    <s v="C6"/>
    <m/>
    <m/>
    <s v="Thaynara Borges"/>
    <n v="-126"/>
    <s v="Saída"/>
    <x v="0"/>
  </r>
  <r>
    <x v="41"/>
    <s v="Cartão de Crédito Dr Ivanildo"/>
    <s v="Jusbrasil"/>
    <x v="12"/>
    <x v="1"/>
    <s v="BANCO ITAU"/>
    <s v="BANCO ITAU"/>
    <m/>
    <m/>
    <s v="Thaynara Borges"/>
    <n v="-58.9"/>
    <s v="Saída"/>
    <x v="0"/>
  </r>
  <r>
    <x v="41"/>
    <s v="Cartão de Crédito Dr Ivanildo"/>
    <s v="Canaã Frios"/>
    <x v="11"/>
    <x v="1"/>
    <s v="BANCO ITAU"/>
    <s v="BANCO ITAU"/>
    <m/>
    <m/>
    <s v="Nathalia Louiz"/>
    <n v="-41.08"/>
    <s v="Saída"/>
    <x v="0"/>
  </r>
  <r>
    <x v="41"/>
    <s v="Cartão de Crédito Dr Ivanildo"/>
    <s v="Pagamento Cartão de Crédito Dr Ivanildo"/>
    <x v="6"/>
    <x v="1"/>
    <s v="BANCO ITAU"/>
    <s v="BANCO ITAU"/>
    <m/>
    <m/>
    <s v="Thaynara Borges"/>
    <n v="2474.3000000000002"/>
    <s v="Entrada"/>
    <x v="1"/>
  </r>
  <r>
    <x v="41"/>
    <s v="Cartão de Crédito Dr Ivanildo"/>
    <s v="Google One"/>
    <x v="12"/>
    <x v="1"/>
    <s v="BANCO ITAU"/>
    <s v="BANCO ITAU"/>
    <m/>
    <m/>
    <s v="Thaynara Borges"/>
    <n v="-11.99"/>
    <s v="Saída"/>
    <x v="0"/>
  </r>
  <r>
    <x v="41"/>
    <s v="Sarah Alves Lisboa"/>
    <s v="Parcela Honorários Parceria"/>
    <x v="2"/>
    <x v="2"/>
    <s v="SONIA MARIA DA SILVA"/>
    <s v="SONIA MARIA DA SILVA"/>
    <m/>
    <s v="Defesa Cível - Parceria Dr Silvio"/>
    <s v="Thaynara Borges"/>
    <n v="450"/>
    <s v="Entrada"/>
    <x v="1"/>
  </r>
  <r>
    <x v="41"/>
    <s v="Cartão de Crédito Dr Ivanildo"/>
    <s v="Moreira"/>
    <x v="26"/>
    <x v="1"/>
    <s v="BANCO ITAU"/>
    <s v="BANCO ITAU"/>
    <m/>
    <m/>
    <s v="Nathalia Louiz"/>
    <n v="-198.48"/>
    <s v="Saída"/>
    <x v="0"/>
  </r>
  <r>
    <x v="41"/>
    <s v="Cartão de Crédito Dra Thaynara"/>
    <s v="ASTREA"/>
    <x v="12"/>
    <x v="1"/>
    <s v="C6"/>
    <s v="C6"/>
    <m/>
    <m/>
    <s v="Thaynara Borges"/>
    <n v="-456.75"/>
    <s v="Saída"/>
    <x v="0"/>
  </r>
  <r>
    <x v="41"/>
    <s v="Cartão de Crédito Dr Ivanildo"/>
    <s v="Previdenciarista"/>
    <x v="12"/>
    <x v="1"/>
    <s v="BANCO ITAU"/>
    <s v="BANCO ITAU"/>
    <m/>
    <m/>
    <s v="Thaynara Borges"/>
    <n v="-99.9"/>
    <s v="Saída"/>
    <x v="0"/>
  </r>
  <r>
    <x v="41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41"/>
    <s v="Sarah Alves Lisboa"/>
    <s v="Honorários contratuais + sucumbência"/>
    <x v="2"/>
    <x v="2"/>
    <s v="PABLO CASSIO MENDES"/>
    <s v="PABLO CASSIO MENDES"/>
    <m/>
    <s v="INDENIZACAO POR DANOS MORAIS E MATERIAIS"/>
    <s v="Thaynara Borges"/>
    <n v="6125"/>
    <s v="Entrada"/>
    <x v="1"/>
  </r>
  <r>
    <x v="41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41"/>
    <s v="Thaynara Borges Pereira"/>
    <s v="Parcelamento em 7x"/>
    <x v="2"/>
    <x v="2"/>
    <s v="MARIA DA SILVA NOGUEIRA"/>
    <s v="MARIA DA SILVA NOGUEIRA"/>
    <m/>
    <s v="Maria da Silva Nogueira x Nathalia dos Santos Nogueira"/>
    <s v="Thaynara Borges"/>
    <n v="250"/>
    <s v="Entrada"/>
    <x v="1"/>
  </r>
  <r>
    <x v="41"/>
    <s v="Lisboa e Lisboa"/>
    <s v="30% da implantação do adicional de 25%. Será descontado na RPV."/>
    <x v="2"/>
    <x v="2"/>
    <s v="SANDRA MARIA SOARES"/>
    <s v="SANDRA MARIA SOARES"/>
    <m/>
    <s v="RESTABELECIMENTO AUXILIO DOENÇA"/>
    <s v="Thaynara Borges"/>
    <n v="317.7"/>
    <s v="Entrada"/>
    <x v="2"/>
  </r>
  <r>
    <x v="41"/>
    <s v="Cartão de Crédito Dra Thaynara"/>
    <s v="Cálculo Jurídico"/>
    <x v="12"/>
    <x v="1"/>
    <s v="C6"/>
    <s v="C6"/>
    <m/>
    <m/>
    <s v="Thaynara Borges"/>
    <n v="-120.29"/>
    <s v="Saída"/>
    <x v="0"/>
  </r>
  <r>
    <x v="41"/>
    <s v="Cartão de Crédito Dra Thaynara"/>
    <s v="APPLE.COM/BILL - Assinatura Teleprompter"/>
    <x v="12"/>
    <x v="1"/>
    <s v="C6"/>
    <s v="C6"/>
    <m/>
    <m/>
    <s v="Thaynara Borges"/>
    <n v="-99.9"/>
    <s v="Saída"/>
    <x v="0"/>
  </r>
  <r>
    <x v="41"/>
    <s v="Cartão de Crédito Dr Ivanildo"/>
    <s v="Cestas de fim de ano para equipe"/>
    <x v="11"/>
    <x v="1"/>
    <s v="BANCO ITAU"/>
    <s v="BANCO ITAU"/>
    <m/>
    <m/>
    <s v="Thaynara Borges"/>
    <n v="-725"/>
    <s v="Saída"/>
    <x v="0"/>
  </r>
  <r>
    <x v="41"/>
    <s v="Sarah Alves Lisboa"/>
    <s v="Parcela Honorários Parceria"/>
    <x v="2"/>
    <x v="2"/>
    <s v="SONIA MARIA DA SILVA"/>
    <s v="SONIA MARIA DA SILVA"/>
    <m/>
    <s v="Defesa Cível - Parceria Dr Silvio"/>
    <s v="Thaynara Borges"/>
    <n v="450"/>
    <s v="Entrada"/>
    <x v="1"/>
  </r>
  <r>
    <x v="41"/>
    <s v="Cartão de Crédito Dr Ivanildo"/>
    <s v="Canaã Frios"/>
    <x v="11"/>
    <x v="1"/>
    <s v="BANCO ITAU"/>
    <s v="BANCO ITAU"/>
    <m/>
    <m/>
    <s v="Nathalia Louiz"/>
    <n v="-41.1"/>
    <s v="Saída"/>
    <x v="0"/>
  </r>
  <r>
    <x v="41"/>
    <s v="Cartão de Crédito Dr Ivanildo"/>
    <s v="Pão de açúcar"/>
    <x v="26"/>
    <x v="1"/>
    <s v="BANCO ITAU"/>
    <s v="BANCO ITAU"/>
    <m/>
    <m/>
    <s v="Nathalia Louiz"/>
    <n v="-412.91"/>
    <s v="Saída"/>
    <x v="0"/>
  </r>
  <r>
    <x v="41"/>
    <s v="Cartão de Crédito Dr Ivanildo"/>
    <s v="Pequenas Coisas"/>
    <x v="26"/>
    <x v="1"/>
    <s v="BANCO ITAU"/>
    <s v="BANCO ITAU"/>
    <m/>
    <m/>
    <s v="Nathalia Louiz"/>
    <n v="-269"/>
    <s v="Saída"/>
    <x v="0"/>
  </r>
  <r>
    <x v="41"/>
    <s v="Cartão de Crédito Dr Ivanildo"/>
    <s v="Jusbrasil"/>
    <x v="12"/>
    <x v="1"/>
    <s v="BANCO ITAU"/>
    <s v="BANCO ITAU"/>
    <m/>
    <m/>
    <s v="Thaynara Borges"/>
    <n v="-58.9"/>
    <s v="Saída"/>
    <x v="0"/>
  </r>
  <r>
    <x v="41"/>
    <s v="Cartão de Crédito Dr Ivanildo"/>
    <s v="Papelaria"/>
    <x v="26"/>
    <x v="1"/>
    <s v="BANCO ITAU"/>
    <s v="BANCO ITAU"/>
    <m/>
    <m/>
    <s v="Nathalia Louiz"/>
    <n v="-84"/>
    <s v="Saída"/>
    <x v="0"/>
  </r>
  <r>
    <x v="41"/>
    <s v="Cartão de Crédito Dra Thaynara"/>
    <s v="Pagamento Cartão de Crédito Dra Thaynara"/>
    <x v="6"/>
    <x v="1"/>
    <s v="C6"/>
    <s v="C6"/>
    <m/>
    <m/>
    <s v="Nathalia Louiz"/>
    <n v="1112.05"/>
    <s v="Entrada"/>
    <x v="1"/>
  </r>
  <r>
    <x v="41"/>
    <s v="Cartão de Crédito Dr Ivanildo"/>
    <s v="Prévius"/>
    <x v="12"/>
    <x v="1"/>
    <s v="BANCO ITAU"/>
    <s v="BANCO ITAU"/>
    <m/>
    <m/>
    <s v="Thaynara Borges"/>
    <n v="-80.91"/>
    <s v="Saída"/>
    <x v="0"/>
  </r>
  <r>
    <x v="41"/>
    <s v="Cartão de Crédito Dra Thaynara"/>
    <s v="ASA*TRINDADE AMADO PRO (Curso de atualização previdenciária)"/>
    <x v="12"/>
    <x v="1"/>
    <s v="C6"/>
    <s v="C6"/>
    <m/>
    <m/>
    <s v="Thaynara Borges"/>
    <n v="-59.9"/>
    <s v="Saída"/>
    <x v="0"/>
  </r>
  <r>
    <x v="42"/>
    <s v="Sarah Alves Lisboa"/>
    <s v="3 Benefícios em Parcela Única"/>
    <x v="2"/>
    <x v="2"/>
    <s v="AMARILDO DE MOURA"/>
    <s v="AMARILDO DE MOURA"/>
    <m/>
    <m/>
    <s v="Nathalia Louiz"/>
    <n v="5891.37"/>
    <s v="Entrada"/>
    <x v="1"/>
  </r>
  <r>
    <x v="42"/>
    <s v="Lisboa e Lisboa"/>
    <s v="Serviços TI e Marketing"/>
    <x v="3"/>
    <x v="1"/>
    <s v="Rhuan Carlos Batista"/>
    <s v="Rhuan Carlos Batista"/>
    <m/>
    <m/>
    <s v="Thaynara Borges"/>
    <n v="-460"/>
    <s v="Saída"/>
    <x v="0"/>
  </r>
  <r>
    <x v="42"/>
    <s v="Lisboa e Lisboa"/>
    <s v="Plano mensal - conta corrente"/>
    <x v="4"/>
    <x v="3"/>
    <s v="BANCO ITAU"/>
    <s v="BANCO ITAU"/>
    <m/>
    <m/>
    <s v="Thaynara Borges"/>
    <n v="-69.5"/>
    <s v="Saída"/>
    <x v="0"/>
  </r>
  <r>
    <x v="42"/>
    <s v="Sarah Alves Lisboa"/>
    <s v="ANUIDADE 12X"/>
    <x v="2"/>
    <x v="2"/>
    <s v="ANA PEREIRA DA SILVA JESUS"/>
    <s v="ANA PEREIRA DA SILVA JESUS"/>
    <m/>
    <s v="AMPARA AO IDOSO"/>
    <s v="Nathalia Louiz"/>
    <n v="303.60000000000002"/>
    <s v="Entrada"/>
    <x v="1"/>
  </r>
  <r>
    <x v="43"/>
    <s v="Lisboa e Lisboa"/>
    <s v="Condomínio"/>
    <x v="10"/>
    <x v="1"/>
    <s v="ATON BUSINESS STYLE"/>
    <s v="ATON BUSINESS STYLE"/>
    <m/>
    <m/>
    <s v="Thaynara Borges"/>
    <n v="-3015.68"/>
    <s v="Saída"/>
    <x v="0"/>
  </r>
  <r>
    <x v="43"/>
    <s v="Lisboa e Lisboa"/>
    <s v="Cartão de Crédito Dr Ivanilldo"/>
    <x v="6"/>
    <x v="1"/>
    <s v="BANCO ITAU"/>
    <s v="BANCO ITAU"/>
    <m/>
    <m/>
    <s v="Thaynara Borges"/>
    <n v="-2474.3000000000002"/>
    <s v="Saída"/>
    <x v="0"/>
  </r>
  <r>
    <x v="43"/>
    <s v="Thaynara Borges Pereira"/>
    <s v="Diferença ref.: 3 Benefícios parcelados"/>
    <x v="2"/>
    <x v="2"/>
    <s v="ANA ELIA DE SOUZA MANSE"/>
    <s v="ANA ELIA DE SOUZA MANSE"/>
    <m/>
    <s v="PENSÃO POR MORTE"/>
    <s v="Thaynara Borges"/>
    <n v="159"/>
    <s v="Entrada"/>
    <x v="1"/>
  </r>
  <r>
    <x v="43"/>
    <s v="Sarah Alves Lisboa"/>
    <s v="Comissão de meta batida - Janeiro"/>
    <x v="29"/>
    <x v="7"/>
    <s v="Thaynara Borges Pereira"/>
    <s v="Thaynara Borges Pereira"/>
    <m/>
    <m/>
    <s v="Nathalia Louiz"/>
    <n v="-100"/>
    <s v="Saída"/>
    <x v="0"/>
  </r>
  <r>
    <x v="43"/>
    <s v="Thaynara Borges Pereira"/>
    <s v="Diferença ref.: 3 Benefícios parcelados"/>
    <x v="2"/>
    <x v="2"/>
    <s v="ANA ELIA DE SOUZA MANSE"/>
    <s v="ANA ELIA DE SOUZA MANSE"/>
    <m/>
    <s v="PENSÃO POR MORTE"/>
    <s v="Thaynara Borges"/>
    <n v="59"/>
    <s v="Entrada"/>
    <x v="1"/>
  </r>
  <r>
    <x v="43"/>
    <s v="Sarah Alves Lisboa"/>
    <s v="Comissão de meta batida - Janeiro"/>
    <x v="29"/>
    <x v="7"/>
    <s v="ISABELLA ALVIM BIACHINI"/>
    <s v="ISABELLA ALVIM BIACHINI"/>
    <m/>
    <m/>
    <s v="Nathalia Louiz"/>
    <n v="-100"/>
    <s v="Saída"/>
    <x v="0"/>
  </r>
  <r>
    <x v="43"/>
    <s v="Lisboa e Lisboa"/>
    <s v="IPTU - SALA B73"/>
    <x v="30"/>
    <x v="1"/>
    <s v="PREFEITURA MUNICIPAL DE GOIÂNIA"/>
    <s v="PREFEITURA MUNICIPAL DE GOIÂNIA"/>
    <m/>
    <m/>
    <s v="Nathalia Louiz"/>
    <n v="-1242.7"/>
    <s v="Saída"/>
    <x v="0"/>
  </r>
  <r>
    <x v="43"/>
    <s v="Lisboa e Lisboa"/>
    <s v="2 Benefícios parcelados em 6x"/>
    <x v="2"/>
    <x v="2"/>
    <s v="ISABEL PEREIRA SOUSA"/>
    <s v="ISABEL PEREIRA SOUSA"/>
    <m/>
    <s v="APOSENTADORIA POR IDADE"/>
    <s v="Thaynara Borges"/>
    <n v="500"/>
    <s v="Entrada"/>
    <x v="1"/>
  </r>
  <r>
    <x v="43"/>
    <s v="Sarah Alves Lisboa"/>
    <s v="Comissão de meta batida - Janeiro"/>
    <x v="29"/>
    <x v="7"/>
    <s v="Laura Barbosa Marques"/>
    <s v="Laura Barbosa Marques"/>
    <m/>
    <m/>
    <s v="Nathalia Louiz"/>
    <n v="-100"/>
    <s v="Saída"/>
    <x v="0"/>
  </r>
  <r>
    <x v="43"/>
    <s v="Sarah Alves Lisboa"/>
    <s v="Comissão de meta batida - Janeiro"/>
    <x v="29"/>
    <x v="7"/>
    <s v="Sarah Alves Lisboa"/>
    <s v="Sarah Alves Lisboa"/>
    <m/>
    <m/>
    <s v="Nathalia Louiz"/>
    <n v="-100"/>
    <s v="Saída"/>
    <x v="0"/>
  </r>
  <r>
    <x v="43"/>
    <s v="Sarah Alves Lisboa"/>
    <s v="Comissão de meta batida - Janeiro"/>
    <x v="29"/>
    <x v="7"/>
    <s v="Raffaela Nunes"/>
    <s v="Raffaela Nunes"/>
    <m/>
    <m/>
    <s v="Nathalia Louiz"/>
    <n v="-100"/>
    <s v="Saída"/>
    <x v="0"/>
  </r>
  <r>
    <x v="43"/>
    <s v="Sarah Alves Lisboa"/>
    <s v="Comissão de meta batida - Janeiro"/>
    <x v="29"/>
    <x v="7"/>
    <s v="EVANILZA ARAUJO MORAES"/>
    <s v="EVANILZA ARAUJO MORAES"/>
    <m/>
    <m/>
    <s v="Nathalia Louiz"/>
    <n v="-100"/>
    <s v="Saída"/>
    <x v="0"/>
  </r>
  <r>
    <x v="43"/>
    <s v="Thaynara Borges Pereira"/>
    <s v="Diferença ref.: 3 Benefícios parcelados"/>
    <x v="2"/>
    <x v="2"/>
    <s v="ANA ELIA DE SOUZA MANSE"/>
    <s v="ANA ELIA DE SOUZA MANSE"/>
    <m/>
    <s v="PENSÃO POR MORTE"/>
    <s v="Thaynara Borges"/>
    <n v="149"/>
    <s v="Entrada"/>
    <x v="1"/>
  </r>
  <r>
    <x v="44"/>
    <s v="Lisboa e Lisboa"/>
    <s v="Celular"/>
    <x v="8"/>
    <x v="1"/>
    <s v="VIVO"/>
    <s v="VIVO"/>
    <m/>
    <m/>
    <s v="Thaynara Borges"/>
    <n v="-130.37"/>
    <s v="Saída"/>
    <x v="0"/>
  </r>
  <r>
    <x v="44"/>
    <s v="Sarah Alves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1"/>
  </r>
  <r>
    <x v="45"/>
    <s v="Sarah Alves Lisboa"/>
    <s v="30% sobre o 1º pagamento"/>
    <x v="2"/>
    <x v="2"/>
    <s v="MARINA MARIA DA CRUZ BARRETO"/>
    <s v="MARINA MARIA DA CRUZ BARRETO"/>
    <m/>
    <s v="BENEFÍCIO POR INCAPACIDADE"/>
    <s v="Thaynara Borges"/>
    <n v="488.05"/>
    <s v="Entrada"/>
    <x v="1"/>
  </r>
  <r>
    <x v="45"/>
    <s v="Sarah Alves Lisboa"/>
    <s v="Diárias - limpeza"/>
    <x v="9"/>
    <x v="1"/>
    <s v="ELIZANGELA FERREIRA DA SILVA"/>
    <s v="ELIZANGELA FERREIRA DA SILVA"/>
    <m/>
    <m/>
    <s v="Thaynara Borges"/>
    <n v="-340"/>
    <s v="Saída"/>
    <x v="0"/>
  </r>
  <r>
    <x v="45"/>
    <s v="Lisboa e Lisboa"/>
    <s v="Anuidade OAB de Sarah"/>
    <x v="31"/>
    <x v="9"/>
    <s v="OAB"/>
    <s v="OAB"/>
    <s v="Pago pela conta Lisboa"/>
    <m/>
    <s v="Nathalia Louiz"/>
    <n v="-1015.42"/>
    <s v="Saída"/>
    <x v="0"/>
  </r>
  <r>
    <x v="45"/>
    <s v="Lisboa e Lisboa"/>
    <s v="Anuidade OAB Thaynara"/>
    <x v="31"/>
    <x v="9"/>
    <s v="OAB"/>
    <s v="OAB"/>
    <s v="Pago pela conta Lisboa"/>
    <m/>
    <s v="Nathalia Louiz"/>
    <n v="-1015.42"/>
    <s v="Saída"/>
    <x v="0"/>
  </r>
  <r>
    <x v="46"/>
    <s v="Sarah Alves Lisboa"/>
    <s v="Tarifa Bancária"/>
    <x v="4"/>
    <x v="3"/>
    <s v="BANCO DO BRASIL S/A"/>
    <s v="BANCO DO BRASIL S/A"/>
    <m/>
    <m/>
    <s v="Thaynara Borges"/>
    <n v="-14.55"/>
    <s v="Saída"/>
    <x v="0"/>
  </r>
  <r>
    <x v="46"/>
    <s v="Lisboa e Lisboa"/>
    <s v="Publicações Renio"/>
    <x v="12"/>
    <x v="1"/>
    <s v="PRO JURIDICO"/>
    <s v="PRO JURIDICO"/>
    <m/>
    <m/>
    <s v="Thaynara Borges"/>
    <n v="-100"/>
    <s v="Saída"/>
    <x v="0"/>
  </r>
  <r>
    <x v="46"/>
    <s v="Lisboa e Lisboa"/>
    <s v="Telefone fixo e internet"/>
    <x v="8"/>
    <x v="1"/>
    <s v="VIVO"/>
    <s v="VIVO"/>
    <m/>
    <m/>
    <s v="Thaynara Borges"/>
    <n v="-371.57"/>
    <s v="Saída"/>
    <x v="0"/>
  </r>
  <r>
    <x v="46"/>
    <s v="Lisboa e Lisboa"/>
    <s v="IEL Estagiárias"/>
    <x v="13"/>
    <x v="6"/>
    <s v="IEL"/>
    <s v="IEL"/>
    <m/>
    <m/>
    <s v="Thaynara Borges"/>
    <n v="-100"/>
    <s v="Saída"/>
    <x v="0"/>
  </r>
  <r>
    <x v="47"/>
    <s v="Sarah Alves Lisboa"/>
    <s v="30% da implantação"/>
    <x v="2"/>
    <x v="2"/>
    <s v="JULIANA VILELA DA PAIXÃO"/>
    <s v="JULIANA VILELA DA PAIXÃO"/>
    <m/>
    <s v="BENEFÍCIO POR INCAPACIDADE"/>
    <s v="Nathalia Louiz"/>
    <n v="545.24"/>
    <s v="Entrada"/>
    <x v="1"/>
  </r>
  <r>
    <x v="48"/>
    <s v="Lisboa e Lisboa"/>
    <s v="EXTINTOR DE INCENDIO"/>
    <x v="14"/>
    <x v="1"/>
    <s v="ABSAIR MANOEL LAZARO"/>
    <s v="ABSAIR MANOEL LAZARO"/>
    <m/>
    <m/>
    <s v="Nathalia Louiz"/>
    <n v="-70"/>
    <s v="Saída"/>
    <x v="0"/>
  </r>
  <r>
    <x v="48"/>
    <s v="Lisboa e Lisboa"/>
    <s v="CUSTAS EXECUÇÃO 5917080-42.2024.8.09.0051"/>
    <x v="7"/>
    <x v="5"/>
    <s v="ESPÓLIO DE REGINALDO DE SOUZA LIRA"/>
    <s v="ESPÓLIO DE REGINALDO DE SOUZA LIRA"/>
    <m/>
    <s v="AÇÃO ACIDENTÁRIA (RESTABELECIMENTO DE AUXÍLIO-DOENÇA/CONCESSÃO DE AUXÍLIO-ACIDENTE/AP. POR INVALIDEZ"/>
    <s v="Thaynara Borges"/>
    <n v="-76.239999999999995"/>
    <s v="Saída"/>
    <x v="0"/>
  </r>
  <r>
    <x v="48"/>
    <s v="Sarah Alves Lisboa"/>
    <s v="Honorários de sucumbência"/>
    <x v="2"/>
    <x v="2"/>
    <s v="HELENA CRISTINA DE MELO"/>
    <s v="HELENA CRISTINA DE MELO"/>
    <m/>
    <s v="APOSENTADORIA POR INVALIDEZ OU RESTABELECIMENTO DE AUXILIO-DOENÇA"/>
    <s v="Thaynara Borges"/>
    <n v="7261.27"/>
    <s v="Entrada"/>
    <x v="1"/>
  </r>
  <r>
    <x v="49"/>
    <s v="Sarah Alves Lisboa"/>
    <s v="HONORÁRIOS PERITO"/>
    <x v="7"/>
    <x v="5"/>
    <s v="SUELLEN DE JESUS LIMA"/>
    <s v="SUELLEN DE JESUS LIMA"/>
    <m/>
    <s v="AUXILIO ACIDENTE"/>
    <s v="Thaynara Borges"/>
    <n v="-230"/>
    <s v="Saída"/>
    <x v="0"/>
  </r>
  <r>
    <x v="49"/>
    <s v="Lisboa e Lisboa"/>
    <s v="30% sobre os atrasados"/>
    <x v="2"/>
    <x v="2"/>
    <s v="HELENA CRISTINA DE MELO"/>
    <s v="HELENA CRISTINA DE MELO"/>
    <m/>
    <s v="APOSENTADORIA POR INVALIDEZ OU RESTABELECIMENTO DE AUXILIO-DOENÇA"/>
    <s v="Thaynara Borges"/>
    <n v="9178.3799999999992"/>
    <s v="Entrada"/>
    <x v="1"/>
  </r>
  <r>
    <x v="49"/>
    <s v="Lisboa e Lisboa"/>
    <s v="Parcelas - honorários 3 benefícios"/>
    <x v="2"/>
    <x v="2"/>
    <s v="JOÃO BAREICHA FERREIRA GALVÃO"/>
    <s v="JOÃO BAREICHA FERREIRA GALVÃO"/>
    <m/>
    <s v="APOSENTADORIA"/>
    <s v="Thaynara Borges"/>
    <n v="1589.72"/>
    <s v="Entrada"/>
    <x v="1"/>
  </r>
  <r>
    <x v="50"/>
    <s v="Sarah Alves Lisboa"/>
    <s v="Diárias - limpeza"/>
    <x v="9"/>
    <x v="1"/>
    <s v="ELIZANGELA FERREIRA DA SILVA"/>
    <s v="ELIZANGELA FERREIRA DA SILVA"/>
    <m/>
    <m/>
    <s v="Thaynara Borges"/>
    <n v="-340"/>
    <s v="Saída"/>
    <x v="0"/>
  </r>
  <r>
    <x v="50"/>
    <s v="Sarah Alves Lisboa"/>
    <s v="CHOCOLATES PARA LARISSA DE CROMINIA"/>
    <x v="16"/>
    <x v="4"/>
    <s v="KOPENHAGEN"/>
    <s v="KOPENHAGEN"/>
    <m/>
    <m/>
    <s v="Thaynara Borges"/>
    <n v="-152.9"/>
    <s v="Saída"/>
    <x v="0"/>
  </r>
  <r>
    <x v="50"/>
    <s v="Sarah Alves Lisboa"/>
    <s v="Almoço - Viagem Crominia"/>
    <x v="32"/>
    <x v="4"/>
    <s v="SARAH ALVES LISBOA"/>
    <s v="SARAH ALVES LISBOA"/>
    <m/>
    <m/>
    <s v="Nathalia Louiz"/>
    <n v="-73.2"/>
    <s v="Saída"/>
    <x v="0"/>
  </r>
  <r>
    <x v="51"/>
    <s v="Lisboa e Lisboa"/>
    <s v="Publicações aviso urgente"/>
    <x v="12"/>
    <x v="1"/>
    <s v="AVISO URGENTE T I LTDA"/>
    <s v="AVISO URGENTE T I LTDA"/>
    <m/>
    <m/>
    <s v="Thaynara Borges"/>
    <n v="-507.3"/>
    <s v="Saída"/>
    <x v="0"/>
  </r>
  <r>
    <x v="51"/>
    <s v="Sarah Alves Lisboa"/>
    <s v="Combustível viagem Cromínia"/>
    <x v="27"/>
    <x v="4"/>
    <s v="SARAH ALVES LISBOA"/>
    <s v="SARAH ALVES LISBOA"/>
    <m/>
    <m/>
    <s v="Nathalia Louiz"/>
    <n v="-108.5"/>
    <s v="Saída"/>
    <x v="0"/>
  </r>
  <r>
    <x v="51"/>
    <s v="Sarah Alves Lisboa"/>
    <s v="Cartão de Crédito Dra Thaynara"/>
    <x v="6"/>
    <x v="1"/>
    <s v="C6"/>
    <s v="C6"/>
    <m/>
    <m/>
    <s v="Thaynara Borges"/>
    <n v="-1112.05"/>
    <s v="Saída"/>
    <x v="0"/>
  </r>
  <r>
    <x v="51"/>
    <s v="Sarah Alves Lisboa"/>
    <s v="Comissão de participação em viagem"/>
    <x v="29"/>
    <x v="7"/>
    <s v="Laura Barbosa Marques"/>
    <s v="Laura Barbosa Marques"/>
    <m/>
    <m/>
    <s v="Nathalia Louiz"/>
    <n v="-100"/>
    <s v="Saída"/>
    <x v="0"/>
  </r>
  <r>
    <x v="52"/>
    <s v="Sarah Alves Lisboa"/>
    <s v="Comissão - Ida ao atendimento rural com Dra Sarah"/>
    <x v="29"/>
    <x v="7"/>
    <s v="ISABELLA ALVIM BIACHINI"/>
    <s v="ISABELLA ALVIM BIACHINI"/>
    <m/>
    <m/>
    <s v="Thaynara Borges"/>
    <n v="-100"/>
    <s v="Saída"/>
    <x v="0"/>
  </r>
  <r>
    <x v="52"/>
    <s v="Sarah Alves Lisboa"/>
    <s v="REUNIÃO"/>
    <x v="33"/>
    <x v="4"/>
    <s v="MARIA DE LOURDES NASCIMENTO"/>
    <s v="MARIA DE LOURDES NASCIMENTO"/>
    <m/>
    <m/>
    <s v="Nathalia Louiz"/>
    <n v="-200"/>
    <s v="Saída"/>
    <x v="0"/>
  </r>
  <r>
    <x v="52"/>
    <s v="Sarah Alves Lisboa"/>
    <s v="CAPTAÇÃO MARIA L F NASCIMENTO"/>
    <x v="29"/>
    <x v="7"/>
    <s v="HUMBERTO PEREIRA DA COSTA"/>
    <s v="HUMBERTO PEREIRA DA COSTA"/>
    <m/>
    <s v="APOSENTADORIA POR IDADE RURAL"/>
    <s v="Thaynara Borges"/>
    <n v="-300"/>
    <s v="Saída"/>
    <x v="0"/>
  </r>
  <r>
    <x v="52"/>
    <s v="Sarah Alves Lisboa"/>
    <s v="Despesas de Reunião (Lanches)"/>
    <x v="32"/>
    <x v="4"/>
    <s v="SARAH ALVES LISBOA"/>
    <s v="SARAH ALVES LISBOA"/>
    <m/>
    <m/>
    <s v="Nathalia Louiz"/>
    <n v="-114.64"/>
    <s v="Saída"/>
    <x v="0"/>
  </r>
  <r>
    <x v="52"/>
    <s v="Sarah Alves Lisboa"/>
    <s v="Despesas de Reunião (combustível)"/>
    <x v="27"/>
    <x v="4"/>
    <s v="SARAH ALVES LISBOA"/>
    <s v="SARAH ALVES LISBOA"/>
    <m/>
    <m/>
    <s v="Nathalia Louiz"/>
    <n v="-113.96"/>
    <s v="Saída"/>
    <x v="0"/>
  </r>
  <r>
    <x v="52"/>
    <s v="Sarah Alves Lisboa"/>
    <s v="CAPTAÇÃO MARIA L F NASCIMENTO"/>
    <x v="29"/>
    <x v="7"/>
    <s v="IRISMAR REGINA BORGES"/>
    <s v="IRISMAR REGINA BORGES"/>
    <m/>
    <s v="APOSENTADORIA RURAL"/>
    <s v="Thaynara Borges"/>
    <n v="-300"/>
    <s v="Saída"/>
    <x v="0"/>
  </r>
  <r>
    <x v="52"/>
    <s v="Sarah Alves Lisboa"/>
    <s v="CAPTAÇÃO MARIA L F NASCIMENTO"/>
    <x v="29"/>
    <x v="7"/>
    <s v="JOÃO BATISTA RIBAS"/>
    <s v="JOÃO BATISTA RIBAS"/>
    <m/>
    <s v="APOSENTADORIA RURAL"/>
    <s v="Thaynara Borges"/>
    <n v="-300"/>
    <s v="Saída"/>
    <x v="0"/>
  </r>
  <r>
    <x v="52"/>
    <s v="Sarah Alves Lisboa"/>
    <s v="Água e energético"/>
    <x v="32"/>
    <x v="4"/>
    <s v="Sarah Alves Lisboa"/>
    <s v="Sarah Alves Lisboa"/>
    <m/>
    <m/>
    <s v="Thaynara Borges"/>
    <n v="-28.5"/>
    <s v="Saída"/>
    <x v="0"/>
  </r>
  <r>
    <x v="52"/>
    <s v="Sarah Alves Lisboa"/>
    <s v="Chocolates brindes para Maria Lourdes"/>
    <x v="16"/>
    <x v="4"/>
    <s v="SARAH ALVES LISBOA"/>
    <s v="SARAH ALVES LISBOA"/>
    <m/>
    <m/>
    <s v="Nathalia Louiz"/>
    <n v="-84.9"/>
    <s v="Saída"/>
    <x v="0"/>
  </r>
  <r>
    <x v="52"/>
    <s v="Sarah Alves Lisboa"/>
    <s v="30%  sobre atrasados"/>
    <x v="2"/>
    <x v="2"/>
    <s v="MARIA AMELIA DE SOUSA MENDES"/>
    <s v="MARIA AMELIA DE SOUSA MENDES"/>
    <m/>
    <m/>
    <s v="Nathalia Louiz"/>
    <n v="1869"/>
    <s v="Entrada"/>
    <x v="1"/>
  </r>
  <r>
    <x v="52"/>
    <s v="Sarah Alves Lisboa"/>
    <s v="despesa comercial (combustível)"/>
    <x v="27"/>
    <x v="4"/>
    <s v="SARAH ALVES LISBOA"/>
    <s v="SARAH ALVES LISBOA"/>
    <m/>
    <m/>
    <s v="Nathalia Louiz"/>
    <n v="-100"/>
    <s v="Saída"/>
    <x v="0"/>
  </r>
  <r>
    <x v="53"/>
    <s v="Sarah Alves Lisboa"/>
    <s v="70% para Vanessa do proveito econômico da ação"/>
    <x v="29"/>
    <x v="7"/>
    <s v="PABLO CASSIO MENDES"/>
    <s v="PABLO CASSIO MENDES"/>
    <m/>
    <s v="INDENIZACAO POR DANOS MORAIS E MATERIAIS"/>
    <s v="Thaynara Borges"/>
    <n v="-4287.5"/>
    <s v="Saída"/>
    <x v="0"/>
  </r>
  <r>
    <x v="53"/>
    <s v="Sarah Alves Lisboa"/>
    <s v="Anuidade - parceria com Dr Fernando"/>
    <x v="2"/>
    <x v="2"/>
    <s v="ELVIO DE OLIVEIRA SOARES"/>
    <s v="ELVIO DE OLIVEIRA SOARES"/>
    <m/>
    <s v="APOSENTADORIA POR IDADE"/>
    <s v="Thaynara Borges"/>
    <n v="211.8"/>
    <s v="Entrada"/>
    <x v="1"/>
  </r>
  <r>
    <x v="53"/>
    <s v="Sarah Alves Lisboa"/>
    <s v="70% SOBRE O PROVEITO ECONOMICO OBTIDO NA AÇÃO"/>
    <x v="29"/>
    <x v="7"/>
    <s v="HELENA CRISTINA DE MELO"/>
    <s v="HELENA CRISTINA DE MELO"/>
    <m/>
    <s v="APOSENTADORIA POR INVALIDEZ OU RESTABELECIMENTO DE AUXILIO-DOENÇA"/>
    <s v="Thaynara Borges"/>
    <n v="-10681.5"/>
    <s v="Saída"/>
    <x v="0"/>
  </r>
  <r>
    <x v="53"/>
    <s v="Sarah Alves Lisboa"/>
    <s v="Parceria Dra Flavia"/>
    <x v="2"/>
    <x v="2"/>
    <s v="JULIANI DOMINGOS DOS REIS"/>
    <s v="JULIANI DOMINGOS DOS REIS"/>
    <m/>
    <s v="AÇÃO DE GUARDA"/>
    <s v="Thaynara Borges"/>
    <n v="150"/>
    <s v="Entrada"/>
    <x v="1"/>
  </r>
  <r>
    <x v="53"/>
    <s v="Sarah Alves Lisboa"/>
    <s v="40% SOBRE OS VALORES DA IMPLANTAÇÃO"/>
    <x v="2"/>
    <x v="2"/>
    <s v="IACY DA SILVA MAGALHÃES"/>
    <s v="IACY DA SILVA MAGALHÃES"/>
    <m/>
    <s v="APOSENTADORIA DO DEFICIENTE"/>
    <s v="Thaynara Borges"/>
    <n v="2370.1999999999998"/>
    <s v="Entrada"/>
    <x v="1"/>
  </r>
  <r>
    <x v="54"/>
    <s v="Lisboa e Lisboa"/>
    <s v="FGTS"/>
    <x v="18"/>
    <x v="6"/>
    <s v="Ministério do Trabalho e Emprego"/>
    <s v="Ministério do Trabalho e Emprego"/>
    <m/>
    <m/>
    <s v="Thaynara Borges"/>
    <n v="-285.23"/>
    <s v="Saída"/>
    <x v="0"/>
  </r>
  <r>
    <x v="54"/>
    <s v="Lisboa e Lisboa"/>
    <s v="INSS"/>
    <x v="19"/>
    <x v="6"/>
    <s v="Receita Federal"/>
    <s v="Receita Federal"/>
    <m/>
    <m/>
    <s v="Thaynara Borges"/>
    <n v="-2041.63"/>
    <s v="Saída"/>
    <x v="0"/>
  </r>
  <r>
    <x v="54"/>
    <s v="Lisboa e Lisboa"/>
    <s v="IPTU - BOX 82"/>
    <x v="30"/>
    <x v="1"/>
    <s v="PREFEITURA MUNICIPAL DE GOIÂNIA"/>
    <s v="PREFEITURA MUNICIPAL DE GOIÂNIA"/>
    <s v=""/>
    <m/>
    <s v="Nathalia Louiz"/>
    <n v="-42.74"/>
    <s v="Saída"/>
    <x v="0"/>
  </r>
  <r>
    <x v="54"/>
    <s v="Lisboa e Lisboa"/>
    <s v="IPTU - SALA B74"/>
    <x v="30"/>
    <x v="1"/>
    <s v="PREFEITURA MUNICIPAL DE GOIÂNIA"/>
    <s v="PREFEITURA MUNICIPAL DE GOIÂNIA"/>
    <m/>
    <m/>
    <s v="Nathalia Louiz"/>
    <n v="-125.57"/>
    <s v="Saída"/>
    <x v="0"/>
  </r>
  <r>
    <x v="54"/>
    <s v="Lisboa e Lisboa"/>
    <s v="Simples Nacional"/>
    <x v="20"/>
    <x v="7"/>
    <s v="Simples Nacional"/>
    <s v="Simples Nacional"/>
    <m/>
    <m/>
    <s v="Thaynara Borges"/>
    <n v="-6435.84"/>
    <s v="Saída"/>
    <x v="0"/>
  </r>
  <r>
    <x v="54"/>
    <s v="Lisboa e Lisboa"/>
    <s v="IPTU - BOX 88"/>
    <x v="30"/>
    <x v="1"/>
    <s v="PREFEITURA MUNICIPAL DE GOIÂNIA"/>
    <s v="PREFEITURA MUNICIPAL DE GOIÂNIA"/>
    <m/>
    <m/>
    <s v="Nathalia Louiz"/>
    <n v="-42.74"/>
    <s v="Saída"/>
    <x v="0"/>
  </r>
  <r>
    <x v="54"/>
    <s v="Lisboa e Lisboa"/>
    <s v="IPTU - BOX 78"/>
    <x v="30"/>
    <x v="1"/>
    <s v="PREFEITURA MUNICIPAL DE GOIÂNIA"/>
    <s v="PREFEITURA MUNICIPAL DE GOIÂNIA"/>
    <m/>
    <m/>
    <s v="Nathalia Louiz"/>
    <n v="-42.74"/>
    <s v="Saída"/>
    <x v="0"/>
  </r>
  <r>
    <x v="54"/>
    <s v="Lisboa e Lisboa"/>
    <s v="IPTU - BOX 81"/>
    <x v="30"/>
    <x v="1"/>
    <s v="PREFEITURA MUNICIPAL DE GOIÂNIA"/>
    <s v="PREFEITURA MUNICIPAL DE GOIÂNIA"/>
    <m/>
    <m/>
    <s v="Nathalia Louiz"/>
    <n v="-42.74"/>
    <s v="Saída"/>
    <x v="0"/>
  </r>
  <r>
    <x v="54"/>
    <s v="Lisboa e Lisboa"/>
    <s v="IPTU - BOX 83"/>
    <x v="30"/>
    <x v="1"/>
    <s v="PREFEITURA MUNICIPAL DE GOIÂNIA"/>
    <s v="PREFEITURA MUNICIPAL DE GOIÂNIA"/>
    <m/>
    <m/>
    <s v="Nathalia Louiz"/>
    <n v="-42.74"/>
    <s v="Saída"/>
    <x v="0"/>
  </r>
  <r>
    <x v="54"/>
    <s v="Lisboa e Lisboa"/>
    <s v="Água"/>
    <x v="17"/>
    <x v="1"/>
    <s v="SANEAGO GOIAS S/A"/>
    <s v="SANEAGO GOIAS S/A"/>
    <m/>
    <m/>
    <s v="Thaynara Borges"/>
    <n v="-128.88"/>
    <s v="Saída"/>
    <x v="0"/>
  </r>
  <r>
    <x v="54"/>
    <s v="Thaynara Borges Pereira"/>
    <s v="Parceria com Dr. Silvio"/>
    <x v="2"/>
    <x v="2"/>
    <s v="ANTONIO PEREIRA SOBRINHO"/>
    <s v="ANTONIO PEREIRA SOBRINHO"/>
    <m/>
    <m/>
    <s v="Thaynara Borges"/>
    <n v="354"/>
    <s v="Entrada"/>
    <x v="2"/>
  </r>
  <r>
    <x v="55"/>
    <s v="Sarah Alves Lisboa"/>
    <s v="Gasolina"/>
    <x v="27"/>
    <x v="4"/>
    <s v="Sarah Alves Lisboa"/>
    <s v="Sarah Alves Lisboa"/>
    <m/>
    <m/>
    <s v="Thaynara Borges"/>
    <n v="-231.5"/>
    <s v="Saída"/>
    <x v="0"/>
  </r>
  <r>
    <x v="55"/>
    <s v="Sarah Alves Lisboa"/>
    <s v="CAPTAÇÃO - SEBASTIÃO PEIXOTO DE EDILÂNDIA"/>
    <x v="29"/>
    <x v="7"/>
    <s v="MÔNICA MENDES DA COSTA"/>
    <s v="MÔNICA MENDES DA COSTA"/>
    <m/>
    <s v="PENSÃO POR MORTE - RURAL"/>
    <s v="Thaynara Borges"/>
    <n v="-300"/>
    <s v="Saída"/>
    <x v="0"/>
  </r>
  <r>
    <x v="55"/>
    <s v="Sarah Alves Lisboa"/>
    <s v="Diárias - Limpeza"/>
    <x v="9"/>
    <x v="1"/>
    <s v="ELIZANGELA FERREIRA DA SILVA"/>
    <s v="ELIZANGELA FERREIRA DA SILVA"/>
    <m/>
    <m/>
    <s v="Thaynara Borges"/>
    <n v="-340"/>
    <s v="Saída"/>
    <x v="0"/>
  </r>
  <r>
    <x v="55"/>
    <s v="Sarah Alves Lisboa"/>
    <s v="Reunião"/>
    <x v="33"/>
    <x v="4"/>
    <s v="SEBASTIAO PEIXOTO DE EDILANDIA (Pessoa de contato de: WILMAR ANASTACIO DOS SANTOS)"/>
    <s v="SEBASTIAO PEIXOTO DE EDILANDIA (Pessoa de contato de: WILMAR ANASTACIO DOS SANTOS)"/>
    <m/>
    <m/>
    <s v="Thaynara Borges"/>
    <n v="-200"/>
    <s v="Saída"/>
    <x v="0"/>
  </r>
  <r>
    <x v="55"/>
    <s v="Sarah Alves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2"/>
  </r>
  <r>
    <x v="55"/>
    <s v="Sarah Alves Lisboa"/>
    <s v="Comissão - Ida ao atendimento rural com Dra Sarah"/>
    <x v="29"/>
    <x v="7"/>
    <s v="ISABELLA ALVIM BIACHINI"/>
    <s v="ISABELLA ALVIM BIACHINI"/>
    <m/>
    <m/>
    <s v="Thaynara Borges"/>
    <n v="-100"/>
    <s v="Saída"/>
    <x v="0"/>
  </r>
  <r>
    <x v="55"/>
    <s v="Sarah Alves Lisboa"/>
    <s v="CAPTAÇÃO - SEBASTIÃO PEIXOTO DE EDILÂNDIA"/>
    <x v="29"/>
    <x v="7"/>
    <s v="ARISTEU GONÇALVES DA CRUZ"/>
    <s v="ARISTEU GONÇALVES DA CRUZ"/>
    <m/>
    <s v="AUXILIO DOENÇA"/>
    <s v="Thaynara Borges"/>
    <n v="-300"/>
    <s v="Saída"/>
    <x v="0"/>
  </r>
  <r>
    <x v="56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57"/>
    <s v="Sarah Alves Lisboa"/>
    <s v="Consulta (parcelado 300 + 200)"/>
    <x v="2"/>
    <x v="2"/>
    <s v="GEDILANE ROSA DE SA FERREIRA"/>
    <s v="GEDILANE ROSA DE SA FERREIRA"/>
    <m/>
    <m/>
    <s v="Nathalia Louiz"/>
    <n v="300"/>
    <s v="Entrada"/>
    <x v="1"/>
  </r>
  <r>
    <x v="57"/>
    <s v="Sarah Alves Lisboa"/>
    <s v="Honorários periciais - guia complementar"/>
    <x v="7"/>
    <x v="5"/>
    <s v="SUELLEN DE JESUS LIMA"/>
    <s v="SUELLEN DE JESUS LIMA"/>
    <m/>
    <s v="AUXILIO ACIDENTE"/>
    <s v="Thaynara Borges"/>
    <n v="-120"/>
    <s v="Saída"/>
    <x v="0"/>
  </r>
  <r>
    <x v="58"/>
    <s v="Sarah Alves Lisboa"/>
    <s v="Guia para emissão de certidão de militância"/>
    <x v="7"/>
    <x v="5"/>
    <s v="JOSELINA ROSA DE SANTANA"/>
    <s v="JOSELINA ROSA DE SANTANA"/>
    <m/>
    <s v="APOSENTADORIA RURAL"/>
    <s v="Thaynara Borges"/>
    <n v="-21.73"/>
    <s v="Saída"/>
    <x v="0"/>
  </r>
  <r>
    <x v="58"/>
    <s v="Sarah Alves Lisboa"/>
    <s v="Guia para emissão de certidão de militância - honorários de sucumbência Proc 1004340-77.2020.4.01.3500 VALNEI PORTO MACHADO"/>
    <x v="31"/>
    <x v="9"/>
    <s v="[$empty$]"/>
    <s v="[$empty$]"/>
    <m/>
    <m/>
    <s v="Thaynara Borges"/>
    <n v="-21.73"/>
    <s v="Saída"/>
    <x v="0"/>
  </r>
  <r>
    <x v="58"/>
    <s v="Sarah Alves Lisboa"/>
    <s v="Parcelas anuidade"/>
    <x v="2"/>
    <x v="2"/>
    <s v="JOSE NILTON FERREIRA DE SOUZA"/>
    <s v="JOSE NILTON FERREIRA DE SOUZA"/>
    <m/>
    <s v="APOSENTADORIA POR IDADE"/>
    <s v="Thaynara Borges"/>
    <n v="282.39999999999998"/>
    <s v="Entrada"/>
    <x v="1"/>
  </r>
  <r>
    <x v="59"/>
    <s v="Lisboa e Lisboa"/>
    <s v="Bolsa Estagio"/>
    <x v="13"/>
    <x v="6"/>
    <s v="ISABELLA ALVIM BIACHINI"/>
    <s v="ISABELLA ALVIM BIACHINI"/>
    <m/>
    <m/>
    <s v="Thaynara Borges"/>
    <n v="-1300"/>
    <s v="Saída"/>
    <x v="0"/>
  </r>
  <r>
    <x v="59"/>
    <s v="Lisboa e Lisboa"/>
    <s v="Pro labore"/>
    <x v="23"/>
    <x v="8"/>
    <s v="Thaynara Borges Pereira"/>
    <s v="Thaynara Borges Pereira"/>
    <m/>
    <m/>
    <s v="Thaynara Borges"/>
    <n v="-1351.02"/>
    <s v="Saída"/>
    <x v="0"/>
  </r>
  <r>
    <x v="59"/>
    <s v="Lisboa e Lisboa"/>
    <s v="Bolsa Estagio"/>
    <x v="13"/>
    <x v="6"/>
    <s v="Laura Barbosa Marques"/>
    <s v="Laura Barbosa Marques"/>
    <m/>
    <m/>
    <s v="Thaynara Borges"/>
    <n v="-1300"/>
    <s v="Saída"/>
    <x v="0"/>
  </r>
  <r>
    <x v="59"/>
    <s v="Sarah Alves Lisboa"/>
    <s v="COMISSÃO POR BATER A META"/>
    <x v="29"/>
    <x v="7"/>
    <s v="Thaynara Borges Pereira"/>
    <s v="Thaynara Borges Pereira"/>
    <m/>
    <m/>
    <s v="Thaynara Borges"/>
    <n v="-100"/>
    <s v="Saída"/>
    <x v="0"/>
  </r>
  <r>
    <x v="59"/>
    <s v="Sarah Alves Lisboa"/>
    <s v="COMISSÃO POR BATER A META"/>
    <x v="29"/>
    <x v="7"/>
    <s v="Raffaela Nunes"/>
    <s v="Raffaela Nunes"/>
    <m/>
    <m/>
    <s v="Thaynara Borges"/>
    <n v="-100"/>
    <s v="Saída"/>
    <x v="0"/>
  </r>
  <r>
    <x v="59"/>
    <s v="Lisboa e Lisboa"/>
    <s v="Energia"/>
    <x v="21"/>
    <x v="1"/>
    <s v="EQUATORIAL GOIAS 0067122663"/>
    <s v="EQUATORIAL GOIAS 0067122663"/>
    <m/>
    <m/>
    <s v="Thaynara Borges"/>
    <n v="-390.61"/>
    <s v="Saída"/>
    <x v="0"/>
  </r>
  <r>
    <x v="59"/>
    <s v="Lisboa e Lisboa"/>
    <s v="Retirada"/>
    <x v="22"/>
    <x v="8"/>
    <s v="Thaynara Borges Pereira"/>
    <s v="Thaynara Borges Pereira"/>
    <m/>
    <m/>
    <s v="Thaynara Borges"/>
    <n v="-3648.98"/>
    <s v="Saída"/>
    <x v="0"/>
  </r>
  <r>
    <x v="59"/>
    <s v="Sarah Alves Lisboa"/>
    <s v="COMISSÃO POR BATER A META"/>
    <x v="29"/>
    <x v="7"/>
    <s v="Sarah Alves Lisboa"/>
    <s v="Sarah Alves Lisboa"/>
    <m/>
    <m/>
    <s v="Thaynara Borges"/>
    <n v="-100"/>
    <s v="Saída"/>
    <x v="0"/>
  </r>
  <r>
    <x v="59"/>
    <s v="Sarah Alves Lisboa"/>
    <s v="HONORÁRIOS DE SUCUMBÊNCIA"/>
    <x v="2"/>
    <x v="2"/>
    <s v="SIRLENE PEREIRA DE RESENDE GRATAO"/>
    <s v="SIRLENE PEREIRA DE RESENDE GRATAO"/>
    <m/>
    <s v="RMI"/>
    <s v="Thaynara Borges"/>
    <n v="1678.79"/>
    <s v="Entrada"/>
    <x v="1"/>
  </r>
  <r>
    <x v="59"/>
    <s v="Sarah Alves Lisboa"/>
    <s v="INDICAÇÃO NINA"/>
    <x v="29"/>
    <x v="7"/>
    <s v="MARIA AMELIA DE SOUSA MENDES"/>
    <s v="MARIA AMELIA DE SOUSA MENDES"/>
    <m/>
    <s v="BENEFÍCIO POR INCAPACIDADE"/>
    <s v="Thaynara Borges"/>
    <n v="-186.9"/>
    <s v="Saída"/>
    <x v="0"/>
  </r>
  <r>
    <x v="59"/>
    <s v="Lisboa e Lisboa"/>
    <s v="Retirada"/>
    <x v="22"/>
    <x v="8"/>
    <s v="Sarah Alves Lisboa"/>
    <s v="Sarah Alves Lisboa"/>
    <m/>
    <m/>
    <s v="Thaynara Borges"/>
    <n v="-6148.98"/>
    <s v="Saída"/>
    <x v="0"/>
  </r>
  <r>
    <x v="59"/>
    <s v="Sarah Alves Lisboa"/>
    <s v="COMISSÃO POR BATER A META"/>
    <x v="29"/>
    <x v="7"/>
    <s v="Laura Barbosa Marques"/>
    <s v="Laura Barbosa Marques"/>
    <m/>
    <m/>
    <s v="Thaynara Borges"/>
    <n v="-100"/>
    <s v="Saída"/>
    <x v="0"/>
  </r>
  <r>
    <x v="59"/>
    <s v="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59"/>
    <s v="Sarah Alves Lisboa"/>
    <s v="Indicação paga para Daniele de Almeida Cardoso"/>
    <x v="29"/>
    <x v="7"/>
    <s v="MARUZALEN FERREIRA DA CRUZ"/>
    <s v="MARUZALEN FERREIRA DA CRUZ"/>
    <m/>
    <s v="APOSENTADORIA RURAL"/>
    <s v="Thaynara Borges"/>
    <n v="-600"/>
    <s v="Saída"/>
    <x v="0"/>
  </r>
  <r>
    <x v="59"/>
    <s v="Lisboa e Lisboa"/>
    <s v="Pro labore"/>
    <x v="23"/>
    <x v="8"/>
    <s v="Sarah Alves Lisboa"/>
    <s v="Sarah Alves Lisboa"/>
    <m/>
    <m/>
    <s v="Thaynara Borges"/>
    <n v="-1351.02"/>
    <s v="Saída"/>
    <x v="0"/>
  </r>
  <r>
    <x v="59"/>
    <s v="Sarah Alves Lisboa"/>
    <s v="Diárias - limpeza"/>
    <x v="9"/>
    <x v="1"/>
    <s v="ELIZANGELA FERREIRA DA SILVA"/>
    <s v="ELIZANGELA FERREIRA DA SILVA"/>
    <m/>
    <m/>
    <s v="Thaynara Borges"/>
    <n v="-340"/>
    <s v="Saída"/>
    <x v="0"/>
  </r>
  <r>
    <x v="59"/>
    <s v="Sarah Alves Lisboa"/>
    <s v="70% DO PROVEITO ECONÔMICO DA AÇÃO REPASSADO A DRA VANESSA"/>
    <x v="29"/>
    <x v="7"/>
    <s v="SIRLENE PEREIRA DE RESENDE GRATAO"/>
    <s v="SIRLENE PEREIRA DE RESENDE GRATAO"/>
    <m/>
    <s v="RMI"/>
    <s v="Thaynara Borges"/>
    <n v="-3216.41"/>
    <s v="Saída"/>
    <x v="0"/>
  </r>
  <r>
    <x v="59"/>
    <s v="Lisboa e Lisboa"/>
    <s v="HONORÁRIOS CONTRATUAIS 25% SOBRE O PROVEITO ECONOMICO"/>
    <x v="2"/>
    <x v="2"/>
    <s v="SIRLENE PEREIRA DE RESENDE GRATAO"/>
    <s v="SIRLENE PEREIRA DE RESENDE GRATAO"/>
    <m/>
    <s v="RMI"/>
    <s v="Thaynara Borges"/>
    <n v="3334.18"/>
    <s v="Entrada"/>
    <x v="1"/>
  </r>
  <r>
    <x v="59"/>
    <s v="Sarah Alves Lisboa"/>
    <s v="Salario"/>
    <x v="15"/>
    <x v="6"/>
    <s v="Raffaela Nunes"/>
    <s v="Raffaela Nunes"/>
    <m/>
    <m/>
    <s v="Thaynara Borges"/>
    <n v="-2200"/>
    <s v="Saída"/>
    <x v="0"/>
  </r>
  <r>
    <x v="59"/>
    <s v="Sarah Alves Lisboa"/>
    <s v="COMISSÃO POR BATER A META"/>
    <x v="29"/>
    <x v="7"/>
    <s v="ISABELLA ALVIM BIACHINI"/>
    <s v="ISABELLA ALVIM BIACHINI"/>
    <m/>
    <m/>
    <s v="Thaynara Borges"/>
    <n v="-100"/>
    <s v="Saída"/>
    <x v="0"/>
  </r>
  <r>
    <x v="59"/>
    <s v="Lisboa e Lisboa"/>
    <s v="Salario"/>
    <x v="15"/>
    <x v="6"/>
    <s v="Nina Araujo"/>
    <s v="Nina Araujo"/>
    <m/>
    <m/>
    <s v="Thaynara Borges"/>
    <n v="-3195.89"/>
    <s v="Saída"/>
    <x v="0"/>
  </r>
  <r>
    <x v="59"/>
    <s v="Lisboa e Lisboa"/>
    <s v="Energia"/>
    <x v="21"/>
    <x v="1"/>
    <s v="EQUATORIAL GOIAS 0067122721"/>
    <s v="EQUATORIAL GOIAS 0067122721"/>
    <m/>
    <m/>
    <s v="Thaynara Borges"/>
    <n v="-669.63"/>
    <s v="Saída"/>
    <x v="0"/>
  </r>
  <r>
    <x v="59"/>
    <s v="Sarah Alves Lisboa"/>
    <s v="COMISSÃO POR BATER A META"/>
    <x v="29"/>
    <x v="7"/>
    <s v="Nina Araujo"/>
    <s v="Nina Araujo"/>
    <m/>
    <m/>
    <s v="Thaynara Borges"/>
    <n v="-100"/>
    <s v="Saída"/>
    <x v="0"/>
  </r>
  <r>
    <x v="60"/>
    <s v="Cartão de Crédito Dr Ivanildo"/>
    <s v="Prévius"/>
    <x v="12"/>
    <x v="1"/>
    <s v="BANCO ITAU"/>
    <s v="BANCO ITAU"/>
    <m/>
    <m/>
    <s v="Thaynara Borges"/>
    <n v="-80.91"/>
    <s v="Saída"/>
    <x v="0"/>
  </r>
  <r>
    <x v="60"/>
    <s v="Cartão de Crédito Dr Ivanildo"/>
    <s v="BISTRO LIA"/>
    <x v="11"/>
    <x v="1"/>
    <s v="BANCO ITAU"/>
    <s v="BANCO ITAU"/>
    <m/>
    <m/>
    <s v="Nathalia Louiz"/>
    <n v="-384.3"/>
    <s v="Saída"/>
    <x v="0"/>
  </r>
  <r>
    <x v="60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60"/>
    <s v="Cartão de Crédito Dra Thaynara"/>
    <s v="HTM*ALINEDECKER (Curso Liderança)"/>
    <x v="34"/>
    <x v="6"/>
    <s v="C6"/>
    <s v="C6"/>
    <m/>
    <m/>
    <s v="Thaynara Borges"/>
    <n v="-249.21"/>
    <s v="Saída"/>
    <x v="0"/>
  </r>
  <r>
    <x v="60"/>
    <s v="Cartão de Crédito Dr Ivanildo"/>
    <s v="Jusbrasil"/>
    <x v="12"/>
    <x v="1"/>
    <s v="BANCO ITAU"/>
    <s v="BANCO ITAU"/>
    <m/>
    <m/>
    <s v="Thaynara Borges"/>
    <n v="-58.9"/>
    <s v="Saída"/>
    <x v="0"/>
  </r>
  <r>
    <x v="60"/>
    <s v="Cartão de Crédito Dr Ivanildo"/>
    <s v="HIPER MOREIRA"/>
    <x v="14"/>
    <x v="1"/>
    <s v="BANCO ITAU"/>
    <s v="BANCO ITAU"/>
    <m/>
    <m/>
    <s v="Nathalia Louiz"/>
    <n v="-26.8"/>
    <s v="Saída"/>
    <x v="0"/>
  </r>
  <r>
    <x v="60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60"/>
    <s v="Cartão de Crédito Dr Ivanildo"/>
    <s v="PANIFICADORA SANTO ANTONIO"/>
    <x v="11"/>
    <x v="1"/>
    <s v="BANCO ITAU"/>
    <s v="BANCO ITAU"/>
    <m/>
    <m/>
    <s v="Nathalia Louiz"/>
    <n v="-52.68"/>
    <s v="Saída"/>
    <x v="0"/>
  </r>
  <r>
    <x v="60"/>
    <s v="Cartão de Crédito Dra Thaynara"/>
    <s v="Pagamento Cartão de Crédito Dra Thaynara"/>
    <x v="6"/>
    <x v="1"/>
    <s v="C6"/>
    <s v="C6"/>
    <m/>
    <m/>
    <s v="Nathalia Louiz"/>
    <n v="1012.15"/>
    <s v="Entrada"/>
    <x v="1"/>
  </r>
  <r>
    <x v="60"/>
    <s v="Cartão de Crédito Dra Thaynara"/>
    <s v="Cálculo Jurídico"/>
    <x v="12"/>
    <x v="1"/>
    <s v="C6"/>
    <s v="C6"/>
    <m/>
    <m/>
    <s v="Thaynara Borges"/>
    <n v="-120.29"/>
    <s v="Saída"/>
    <x v="0"/>
  </r>
  <r>
    <x v="60"/>
    <s v="Cartão de Crédito Dr Ivanildo"/>
    <s v="canaã frios"/>
    <x v="11"/>
    <x v="1"/>
    <s v="BANCO ITAU"/>
    <s v="BANCO ITAU"/>
    <m/>
    <m/>
    <s v="Nathalia Louiz"/>
    <n v="-41.7"/>
    <s v="Saída"/>
    <x v="0"/>
  </r>
  <r>
    <x v="60"/>
    <s v="Cartão de Crédito Dra Thaynara"/>
    <s v="ASA*TRINDADE AMADO PRO (Curso de atualização previdenciária)"/>
    <x v="34"/>
    <x v="6"/>
    <s v="C6"/>
    <s v="C6"/>
    <m/>
    <m/>
    <s v="Thaynara Borges"/>
    <n v="-59.9"/>
    <s v="Saída"/>
    <x v="0"/>
  </r>
  <r>
    <x v="60"/>
    <s v="Cartão de Crédito Dra Thaynara"/>
    <s v="ASTREA"/>
    <x v="12"/>
    <x v="1"/>
    <s v="C6"/>
    <s v="C6"/>
    <m/>
    <m/>
    <s v="Thaynara Borges"/>
    <n v="-456.75"/>
    <s v="Saída"/>
    <x v="0"/>
  </r>
  <r>
    <x v="60"/>
    <s v="Cartão de Crédito Dr Ivanildo"/>
    <s v="Cestas de fim de ano para equipe"/>
    <x v="11"/>
    <x v="1"/>
    <s v="BANCO ITAU"/>
    <s v="BANCO ITAU"/>
    <m/>
    <m/>
    <s v="Thaynara Borges"/>
    <n v="-725"/>
    <s v="Saída"/>
    <x v="0"/>
  </r>
  <r>
    <x v="60"/>
    <s v="Cartão de Crédito Dr Ivanildo"/>
    <s v="Google One"/>
    <x v="12"/>
    <x v="1"/>
    <s v="BANCO ITAU"/>
    <s v="BANCO ITAU"/>
    <m/>
    <m/>
    <s v="Thaynara Borges"/>
    <n v="-38.99"/>
    <s v="Saída"/>
    <x v="0"/>
  </r>
  <r>
    <x v="60"/>
    <s v="Cartão de Crédito Dr Ivanildo"/>
    <s v="RAFAEL FRANCI (23/01)"/>
    <x v="33"/>
    <x v="4"/>
    <s v="BANCO ITAU"/>
    <s v="BANCO ITAU"/>
    <m/>
    <m/>
    <s v="Nathalia Louiz"/>
    <n v="-15"/>
    <s v="Saída"/>
    <x v="0"/>
  </r>
  <r>
    <x v="60"/>
    <s v="Cartão de Crédito Dr Ivanildo"/>
    <s v="CANAÃ FRIOS"/>
    <x v="11"/>
    <x v="1"/>
    <s v="BANCO ITAU"/>
    <s v="BANCO ITAU"/>
    <m/>
    <m/>
    <s v="Nathalia Louiz"/>
    <n v="-42.28"/>
    <s v="Saída"/>
    <x v="0"/>
  </r>
  <r>
    <x v="60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60"/>
    <s v="Cartão de Crédito Dr Ivanildo"/>
    <s v="Google One"/>
    <x v="12"/>
    <x v="1"/>
    <s v="BANCO ITAU"/>
    <s v="BANCO ITAU"/>
    <m/>
    <m/>
    <s v="Thaynara Borges"/>
    <n v="-11.99"/>
    <s v="Saída"/>
    <x v="0"/>
  </r>
  <r>
    <x v="60"/>
    <s v="Cartão de Crédito Dra Thaynara"/>
    <s v="GOOGLE GSUITE_PREVLEX."/>
    <x v="12"/>
    <x v="1"/>
    <s v="C6"/>
    <s v="C6"/>
    <m/>
    <m/>
    <s v="Thaynara Borges"/>
    <n v="-126"/>
    <s v="Saída"/>
    <x v="0"/>
  </r>
  <r>
    <x v="60"/>
    <s v="Cartão de Crédito Dr Ivanildo"/>
    <s v="Pagamento Cartão de Crédito Dr Ivanildo"/>
    <x v="6"/>
    <x v="1"/>
    <s v="BANCO ITAU"/>
    <s v="BANCO ITAU"/>
    <m/>
    <m/>
    <s v="Thaynara Borges"/>
    <n v="2100.63"/>
    <s v="Entrada"/>
    <x v="1"/>
  </r>
  <r>
    <x v="60"/>
    <s v="Cartão de Crédito Dr Ivanildo"/>
    <s v="PANIFICADORA SANTO ANTONIO"/>
    <x v="11"/>
    <x v="1"/>
    <s v="BANCO ITAU"/>
    <s v="BANCO ITAU"/>
    <m/>
    <m/>
    <s v="Nathalia Louiz"/>
    <n v="-54.47"/>
    <s v="Saída"/>
    <x v="0"/>
  </r>
  <r>
    <x v="60"/>
    <s v="Cartão de Crédito Dr Ivanildo"/>
    <s v="CANAÃ FRIOS"/>
    <x v="11"/>
    <x v="1"/>
    <s v="BANCO ITAU"/>
    <s v="BANCO ITAU"/>
    <m/>
    <m/>
    <s v="Nathalia Louiz"/>
    <n v="-35.67"/>
    <s v="Saída"/>
    <x v="0"/>
  </r>
  <r>
    <x v="60"/>
    <s v="Cartão de Crédito Dr Ivanildo"/>
    <s v="Jusbrasil"/>
    <x v="12"/>
    <x v="1"/>
    <s v="BANCO ITAU"/>
    <s v="BANCO ITAU"/>
    <m/>
    <m/>
    <s v="Thaynara Borges"/>
    <n v="-58.9"/>
    <s v="Saída"/>
    <x v="0"/>
  </r>
  <r>
    <x v="61"/>
    <s v="Sarah Alves Lisboa"/>
    <s v="PLANEJAMENTO"/>
    <x v="2"/>
    <x v="2"/>
    <s v="ISMAEL ALVES MADUREIRA"/>
    <s v="ISMAEL ALVES MADUREIRA"/>
    <m/>
    <m/>
    <s v="Nathalia Louiz"/>
    <n v="300"/>
    <s v="Entrada"/>
    <x v="1"/>
  </r>
  <r>
    <x v="61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61"/>
    <s v="Lisboa e Lisboa"/>
    <s v="Taxa de Condomínio Sala B-73"/>
    <x v="10"/>
    <x v="1"/>
    <s v="ATON BUSINESS STYLE"/>
    <s v="ATON BUSINESS STYLE"/>
    <m/>
    <m/>
    <s v="Thaynara Borges"/>
    <n v="-1247.17"/>
    <s v="Saída"/>
    <x v="0"/>
  </r>
  <r>
    <x v="61"/>
    <s v="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61"/>
    <s v="Thaynara Borges Pereira"/>
    <s v="Parcelamento em 7x"/>
    <x v="2"/>
    <x v="2"/>
    <s v="MARIA DA SILVA NOGUEIRA"/>
    <s v="MARIA DA SILVA NOGUEIRA"/>
    <m/>
    <s v="Maria da Silva Nogueira x Nathalia dos Santos Nogueira"/>
    <s v="Thaynara Borges"/>
    <n v="250"/>
    <s v="Entrada"/>
    <x v="1"/>
  </r>
  <r>
    <x v="61"/>
    <s v="Lisboa e Lisboa"/>
    <s v="Taxa de Condomínio Sala B-74"/>
    <x v="10"/>
    <x v="1"/>
    <s v="ATON BUSINESS STYLE"/>
    <s v="ATON BUSINESS STYLE"/>
    <m/>
    <m/>
    <s v="Thaynara Borges"/>
    <n v="-1247.78"/>
    <s v="Saída"/>
    <x v="0"/>
  </r>
  <r>
    <x v="61"/>
    <s v="Lisboa e Lisboa"/>
    <s v="Taxa de Condomínio Vaga Garagem A-78"/>
    <x v="10"/>
    <x v="1"/>
    <s v="ATON BUSINESS STYLE"/>
    <s v="ATON BUSINESS STYLE"/>
    <m/>
    <m/>
    <s v="Thaynara Borges"/>
    <n v="-49.46"/>
    <s v="Saída"/>
    <x v="0"/>
  </r>
  <r>
    <x v="61"/>
    <s v="Lisboa e Lisboa"/>
    <s v="Taxa de Condomínio Vaga Garagem A-81"/>
    <x v="10"/>
    <x v="1"/>
    <s v="ATON BUSINESS STYLE"/>
    <s v="ATON BUSINESS STYLE"/>
    <m/>
    <m/>
    <s v="Thaynara Borges"/>
    <n v="-49.46"/>
    <s v="Saída"/>
    <x v="0"/>
  </r>
  <r>
    <x v="61"/>
    <s v="Lisboa e Lisboa"/>
    <s v="Taxa de Condomínio Vaga Garagem A-88"/>
    <x v="10"/>
    <x v="1"/>
    <s v="ATON BUSINESS STYLE"/>
    <s v="ATON BUSINESS STYLE"/>
    <m/>
    <m/>
    <s v="Thaynara Borges"/>
    <n v="-49.46"/>
    <s v="Saída"/>
    <x v="0"/>
  </r>
  <r>
    <x v="61"/>
    <s v="Lisboa e Lisboa"/>
    <s v="Taxa de Condomínio Vaga Garagem A-82"/>
    <x v="10"/>
    <x v="1"/>
    <s v="ATON BUSINESS STYLE"/>
    <s v="ATON BUSINESS STYLE"/>
    <m/>
    <m/>
    <s v="Thaynara Borges"/>
    <n v="-49.46"/>
    <s v="Saída"/>
    <x v="0"/>
  </r>
  <r>
    <x v="61"/>
    <s v="Lisboa e Lisboa"/>
    <s v="Taxa de Condomínio Vaga Garagem A-83"/>
    <x v="10"/>
    <x v="1"/>
    <s v="ATON BUSINESS STYLE"/>
    <s v="ATON BUSINESS STYLE"/>
    <m/>
    <m/>
    <s v="Thaynara Borges"/>
    <n v="-49.46"/>
    <s v="Saída"/>
    <x v="0"/>
  </r>
  <r>
    <x v="61"/>
    <s v="Lisboa e Lisboa"/>
    <s v="Cartão de Crédito Dr Ivanilldo"/>
    <x v="6"/>
    <x v="1"/>
    <s v="BANCO ITAU"/>
    <s v="BANCO ITAU"/>
    <m/>
    <m/>
    <s v="Thaynara Borges"/>
    <n v="-2100.63"/>
    <s v="Saída"/>
    <x v="0"/>
  </r>
  <r>
    <x v="62"/>
    <s v="Lisboa e Lisboa"/>
    <s v="Plano mensal - conta corrente"/>
    <x v="4"/>
    <x v="3"/>
    <s v="BANCO ITAU"/>
    <s v="BANCO ITAU"/>
    <m/>
    <m/>
    <s v="Thaynara Borges"/>
    <n v="-79.5"/>
    <s v="Saída"/>
    <x v="0"/>
  </r>
  <r>
    <x v="62"/>
    <s v="Sarah Alves Lisboa"/>
    <s v="Celular"/>
    <x v="8"/>
    <x v="1"/>
    <s v="VIVO"/>
    <s v="VIVO"/>
    <m/>
    <m/>
    <s v="Thaynara Borges"/>
    <n v="-130.37"/>
    <s v="Saída"/>
    <x v="0"/>
  </r>
  <r>
    <x v="62"/>
    <s v="Lisboa e Lisboa"/>
    <s v="SERVIÇCOS DE TI"/>
    <x v="3"/>
    <x v="1"/>
    <s v="Rhuan Carlos Batista"/>
    <s v="Rhuan Carlos Batista"/>
    <m/>
    <m/>
    <s v="Nathalia Louiz"/>
    <n v="-160"/>
    <s v="Saída"/>
    <x v="0"/>
  </r>
  <r>
    <x v="63"/>
    <s v="Sarah Alves Lisboa"/>
    <s v="Consulta (valor residual 200,00)"/>
    <x v="2"/>
    <x v="2"/>
    <s v="GEDILANE ROSA DE SA FERREIRA"/>
    <s v="GEDILANE ROSA DE SA FERREIRA"/>
    <m/>
    <m/>
    <s v="Nathalia Louiz"/>
    <n v="200"/>
    <s v="Entrada"/>
    <x v="2"/>
  </r>
  <r>
    <x v="63"/>
    <s v="Sarah Alves Lisboa"/>
    <s v="ANUIDADE 12X"/>
    <x v="2"/>
    <x v="2"/>
    <s v="ANA PEREIRA DA SILVA JESUS"/>
    <s v="ANA PEREIRA DA SILVA JESUS"/>
    <m/>
    <s v="AMPARA AO IDOSO"/>
    <s v="Nathalia Louiz"/>
    <n v="303.60000000000002"/>
    <s v="Entrada"/>
    <x v="1"/>
  </r>
  <r>
    <x v="63"/>
    <s v="Sarah Alves Lisboa"/>
    <s v="Presente do dia das mulheres para equipe"/>
    <x v="16"/>
    <x v="4"/>
    <s v="KOPENHAGEN"/>
    <s v="KOPENHAGEN"/>
    <m/>
    <m/>
    <s v="Thaynara Borges"/>
    <n v="-329.4"/>
    <s v="Saída"/>
    <x v="0"/>
  </r>
  <r>
    <x v="63"/>
    <s v="Lisboa e Lisboa"/>
    <s v="2 Benefícios parcelados em 6x"/>
    <x v="2"/>
    <x v="2"/>
    <s v="ISABEL PEREIRA SOUSA"/>
    <s v="ISABEL PEREIRA SOUSA"/>
    <m/>
    <s v="APOSENTADORIA POR IDADE"/>
    <s v="Thaynara Borges"/>
    <n v="500"/>
    <s v="Entrada"/>
    <x v="1"/>
  </r>
  <r>
    <x v="63"/>
    <s v="Sarah Alves Lisboa"/>
    <s v="DIÁRIAS DE LIMPEZA/MANUTENÇÃO DO ESCRITÓRIO (2 DIÁRIAS)"/>
    <x v="9"/>
    <x v="1"/>
    <s v="ELIZANGELA FERREIRA DA SILVA"/>
    <s v="ELIZANGELA FERREIRA DA SILVA"/>
    <m/>
    <m/>
    <s v="Nathalia Louiz"/>
    <n v="-170"/>
    <s v="Saída"/>
    <x v="0"/>
  </r>
  <r>
    <x v="64"/>
    <s v="Sarah Alves Lisboa"/>
    <s v="Tarifa Bancária"/>
    <x v="4"/>
    <x v="3"/>
    <s v="BANCO DO BRASIL S/A"/>
    <s v="BANCO DO BRASIL S/A"/>
    <m/>
    <m/>
    <s v="Thaynara Borges"/>
    <n v="-15"/>
    <s v="Saída"/>
    <x v="0"/>
  </r>
  <r>
    <x v="64"/>
    <s v="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64"/>
    <s v="Sarah Alves Lisboa"/>
    <s v="PLANEJAMENTO - Aposentadoria"/>
    <x v="2"/>
    <x v="2"/>
    <s v="PAULO MENEZES DA SILVA"/>
    <s v="PAULO MENEZES DA SILVA"/>
    <m/>
    <m/>
    <s v="Nathalia Louiz"/>
    <n v="500"/>
    <s v="Entrada"/>
    <x v="1"/>
  </r>
  <r>
    <x v="64"/>
    <s v="Lisboa e Lisboa"/>
    <s v="CONTRATO 9621661899"/>
    <x v="8"/>
    <x v="1"/>
    <s v="VIVO FIXO"/>
    <s v="VIVO FIXO"/>
    <m/>
    <m/>
    <s v="Thaynara Borges"/>
    <n v="-251.58"/>
    <s v="Saída"/>
    <x v="0"/>
  </r>
  <r>
    <x v="64"/>
    <s v="Lisboa e Lisboa"/>
    <s v="IEL Estagiárias"/>
    <x v="13"/>
    <x v="6"/>
    <s v="IEL"/>
    <s v="IEL"/>
    <m/>
    <m/>
    <s v="Thaynara Borges"/>
    <n v="-106.73"/>
    <s v="Saída"/>
    <x v="0"/>
  </r>
  <r>
    <x v="64"/>
    <s v="Lisboa e Lisboa"/>
    <s v="CONTRATO 9309114969"/>
    <x v="8"/>
    <x v="1"/>
    <s v="VIVO FIXO"/>
    <s v="VIVO FIXO"/>
    <m/>
    <m/>
    <s v="Thaynara Borges"/>
    <n v="-119.99"/>
    <s v="Saída"/>
    <x v="0"/>
  </r>
  <r>
    <x v="65"/>
    <s v="Sarah Alves Lisboa"/>
    <s v="SCB - 70% Vanessão - 30% Lisboa"/>
    <x v="2"/>
    <x v="2"/>
    <s v="HELTON GONÇALVES BARSANULFO"/>
    <s v="HELTON GONÇALVES BARSANULFO"/>
    <m/>
    <s v="AUXILIO DOENÇA"/>
    <s v="Nathalia Louiz"/>
    <n v="33893.51"/>
    <s v="Entrada"/>
    <x v="1"/>
  </r>
  <r>
    <x v="65"/>
    <s v="Sarah Alves Lisboa"/>
    <s v="40% SOBRE A IMPLANTAÇÃO"/>
    <x v="2"/>
    <x v="2"/>
    <s v="CLAUDIA NUNES DOS SANTOS BARCELOS"/>
    <s v="CLAUDIA NUNES DOS SANTOS BARCELOS"/>
    <m/>
    <s v="AUXILIO DOENÇA"/>
    <s v="Thaynara Borges"/>
    <n v="2600"/>
    <s v="Entrada"/>
    <x v="1"/>
  </r>
  <r>
    <x v="66"/>
    <s v="Sarah Alves Lisboa"/>
    <s v="50% da Implantação"/>
    <x v="2"/>
    <x v="2"/>
    <s v="JOSÉ ROBERTO PEREIRA DA SILVA"/>
    <s v="JOSÉ ROBERTO PEREIRA DA SILVA"/>
    <m/>
    <s v="APOSENTADORIA POR IDADE"/>
    <s v="Nathalia Louiz"/>
    <n v="3750"/>
    <s v="Entrada"/>
    <x v="1"/>
  </r>
  <r>
    <x v="66"/>
    <s v="Sarah Alves Lisboa"/>
    <s v="Viagem de uber"/>
    <x v="27"/>
    <x v="4"/>
    <s v="SARAH ALVES LISBOA"/>
    <s v="SARAH ALVES LISBOA"/>
    <m/>
    <m/>
    <s v="Nathalia Louiz"/>
    <n v="-25"/>
    <s v="Saída"/>
    <x v="0"/>
  </r>
  <r>
    <x v="67"/>
    <s v="Sarah Alves Lisboa"/>
    <s v="comissão de 10% por indicação - LARISSA"/>
    <x v="29"/>
    <x v="7"/>
    <s v="JOSÉ ROBERTO PEREIRA DA SILVA"/>
    <s v="JOSÉ ROBERTO PEREIRA DA SILVA"/>
    <m/>
    <s v="APOSENTADORIA POR IDADE"/>
    <s v="Nathalia Louiz"/>
    <n v="-375"/>
    <s v="Saída"/>
    <x v="0"/>
  </r>
  <r>
    <x v="67"/>
    <s v="Sarah Alves Lisboa"/>
    <s v="70% de participação - Wanessa"/>
    <x v="29"/>
    <x v="7"/>
    <s v="HELTON GONÇALVES BARSANULFO"/>
    <s v="HELTON GONÇALVES BARSANULFO"/>
    <m/>
    <s v="AUXILIO DOENÇA"/>
    <s v="Nathalia Louiz"/>
    <n v="-23725.45"/>
    <s v="Saída"/>
    <x v="0"/>
  </r>
  <r>
    <x v="67"/>
    <s v="Sarah Alves Lisboa"/>
    <s v="Impressão"/>
    <x v="28"/>
    <x v="4"/>
    <s v="Laura Barbosa Marques"/>
    <s v="Laura Barbosa Marques"/>
    <m/>
    <m/>
    <s v="Thaynara Borges"/>
    <n v="-20"/>
    <s v="Saída"/>
    <x v="0"/>
  </r>
  <r>
    <x v="67"/>
    <s v="Sarah Alves Lisboa"/>
    <s v="PAGAMENTO COMISSÃO KARINE 20%"/>
    <x v="29"/>
    <x v="7"/>
    <s v="JOSÉ ROBERTO PEREIRA DA SILVA"/>
    <s v="JOSÉ ROBERTO PEREIRA DA SILVA"/>
    <m/>
    <s v="APOSENTADORIA POR IDADE"/>
    <s v="Nathalia Louiz"/>
    <n v="-750"/>
    <s v="Saída"/>
    <x v="0"/>
  </r>
  <r>
    <x v="67"/>
    <s v="Sarah Alves Lisboa"/>
    <s v="Reembolso de despesa"/>
    <x v="7"/>
    <x v="5"/>
    <s v="JOSELINA ROSA DE SANTANA"/>
    <s v="JOSELINA ROSA DE SANTANA"/>
    <m/>
    <m/>
    <s v="Nathalia Louiz"/>
    <n v="-21.73"/>
    <s v="Entrada"/>
    <x v="1"/>
  </r>
  <r>
    <x v="67"/>
    <s v="Sarah Alves Lisboa"/>
    <s v="RPV SUCUMBENCIA ( R$ 1.290,95 - 70% Vanessa = 371,86)"/>
    <x v="2"/>
    <x v="2"/>
    <s v="VALNEI PORTO MACHADO"/>
    <s v="VALNEI PORTO MACHADO"/>
    <m/>
    <s v="APOSENTADORIA POR TEMPO DE CONTRIBUIÇAO / ELETRICISTA"/>
    <s v="Nathalia Louiz"/>
    <n v="1290.95"/>
    <s v="Entrada"/>
    <x v="1"/>
  </r>
  <r>
    <x v="68"/>
    <s v="Sarah Alves Lisboa"/>
    <s v="DIÁRIAS DE LIMPEZA/MANUTENÇÃO DO ESCRITÓRIO (2 DIÁRIAS)"/>
    <x v="9"/>
    <x v="1"/>
    <s v="ELIZANGELA FERREIRA DA SILVA"/>
    <s v="ELIZANGELA FERREIRA DA SILVA"/>
    <m/>
    <m/>
    <s v="Nathalia Louiz"/>
    <n v="-340"/>
    <s v="Saída"/>
    <x v="0"/>
  </r>
  <r>
    <x v="69"/>
    <s v="Sarah Alves Lisboa"/>
    <s v="Honorários sobre o êxito (metade) Ação com Dra Flávia"/>
    <x v="2"/>
    <x v="2"/>
    <s v="ELLEN BORGES PEREIRA"/>
    <s v="ELLEN BORGES PEREIRA"/>
    <m/>
    <s v="ELLEN BORGES PEREIRA x SODEXO"/>
    <s v="Thaynara Borges"/>
    <n v="600"/>
    <s v="Entrada"/>
    <x v="1"/>
  </r>
  <r>
    <x v="69"/>
    <s v="Lisboa e Lisboa"/>
    <s v="PUBLICAÇÕES - ULTIMO BOLETO"/>
    <x v="12"/>
    <x v="1"/>
    <s v="AVISO URGENTE T I LTDA"/>
    <s v="AVISO URGENTE T I LTDA"/>
    <m/>
    <m/>
    <s v="Thaynara Borges"/>
    <n v="-507.3"/>
    <s v="Saída"/>
    <x v="0"/>
  </r>
  <r>
    <x v="69"/>
    <s v="Sarah Alves Lisboa"/>
    <s v="Cartão de Crédito Dra Thaynara"/>
    <x v="6"/>
    <x v="1"/>
    <s v="C6"/>
    <s v="C6"/>
    <m/>
    <m/>
    <s v="Thaynara Borges"/>
    <n v="-1012.15"/>
    <s v="Saída"/>
    <x v="0"/>
  </r>
  <r>
    <x v="70"/>
    <s v="Sarah Alves Lisboa"/>
    <s v="Recebido junto com pagamento do CAIO"/>
    <x v="2"/>
    <x v="2"/>
    <s v="LEILA DO CARMO GONÇALVES OLIVEIRA"/>
    <s v="LEILA DO CARMO GONÇALVES OLIVEIRA"/>
    <m/>
    <s v="APOSENTADORIA POR IDADE RURAL"/>
    <s v="Thaynara Borges"/>
    <n v="1362.3"/>
    <s v="Entrada"/>
    <x v="1"/>
  </r>
  <r>
    <x v="70"/>
    <s v="Sarah Alves Lisboa"/>
    <s v="Manutenção em 3 nobreaks"/>
    <x v="3"/>
    <x v="1"/>
    <s v="NOBREAK E CIA"/>
    <s v="NOBREAK E CIA"/>
    <m/>
    <m/>
    <s v="Thaynara Borges"/>
    <n v="-337"/>
    <s v="Saída"/>
    <x v="0"/>
  </r>
  <r>
    <x v="70"/>
    <s v="Sarah Alves Lisboa"/>
    <s v="30% sobre a implantação do beneficio"/>
    <x v="2"/>
    <x v="2"/>
    <s v="CARMEM LUCIA MENDES DE OLIVEIRA"/>
    <s v="CARMEM LUCIA MENDES DE OLIVEIRA"/>
    <m/>
    <s v="BENEFÍCIO POR INCAPACIDADE"/>
    <s v="Thaynara Borges"/>
    <n v="462.99"/>
    <s v="Entrada"/>
    <x v="1"/>
  </r>
  <r>
    <x v="70"/>
    <s v="Sarah Alves Lisboa"/>
    <s v="30% sob implantação abatendo 50% do Dr Ajnaldo"/>
    <x v="2"/>
    <x v="2"/>
    <s v="CAIO FERNANDES BORGES"/>
    <s v="CAIO FERNANDES BORGES"/>
    <m/>
    <s v="BENEFÍCIO POR INCAPACIDADE"/>
    <s v="Nathalia Louiz"/>
    <n v="1362.3"/>
    <s v="Entrada"/>
    <x v="1"/>
  </r>
  <r>
    <x v="71"/>
    <s v="Sarah Alves Lisboa"/>
    <s v="Domínio lisboaelisboa"/>
    <x v="3"/>
    <x v="1"/>
    <s v="[$empty$]"/>
    <s v="[$empty$]"/>
    <m/>
    <m/>
    <s v="Thaynara Borges"/>
    <n v="-40"/>
    <s v="Saída"/>
    <x v="0"/>
  </r>
  <r>
    <x v="71"/>
    <s v="Sarah Alves Lisboa"/>
    <s v="30% sobre a implantação do beneficio"/>
    <x v="2"/>
    <x v="2"/>
    <s v="COSME FREIRE BESSA"/>
    <s v="COSME FREIRE BESSA"/>
    <m/>
    <s v="BENEFÍCIO POR INCAPACIDADE"/>
    <s v="Thaynara Borges"/>
    <n v="934.08"/>
    <s v="Entrada"/>
    <x v="1"/>
  </r>
  <r>
    <x v="71"/>
    <s v="Sarah Alves Lisboa"/>
    <s v="Domínio prevlex"/>
    <x v="3"/>
    <x v="1"/>
    <s v="NIC BR"/>
    <s v="NIC BR"/>
    <m/>
    <m/>
    <s v="Thaynara Borges"/>
    <n v="-40"/>
    <s v="Saída"/>
    <x v="0"/>
  </r>
  <r>
    <x v="72"/>
    <s v="Thaynara Borges Pereira"/>
    <s v="Parceria com Dr. Silvio"/>
    <x v="2"/>
    <x v="2"/>
    <s v="ANTONIO PEREIRA SOBRINHO"/>
    <s v="ANTONIO PEREIRA SOBRINHO"/>
    <m/>
    <m/>
    <s v="Thaynara Borges"/>
    <n v="354"/>
    <s v="Entrada"/>
    <x v="2"/>
  </r>
  <r>
    <x v="72"/>
    <s v="Lisboa e Lisboa"/>
    <s v="IPTU - BOX 83"/>
    <x v="30"/>
    <x v="1"/>
    <s v="PREFEITURA MUNICIPAL DE GOIÂNIA"/>
    <s v="PREFEITURA MUNICIPAL DE GOIÂNIA"/>
    <m/>
    <m/>
    <s v="Nathalia Louiz"/>
    <n v="-42.74"/>
    <s v="Saída"/>
    <x v="0"/>
  </r>
  <r>
    <x v="72"/>
    <s v="Lisboa e Lisboa"/>
    <s v="FGTS"/>
    <x v="18"/>
    <x v="6"/>
    <s v="Ministério do Trabalho e Emprego"/>
    <s v="Ministério do Trabalho e Emprego"/>
    <m/>
    <m/>
    <s v="Thaynara Borges"/>
    <n v="-285.23"/>
    <s v="Saída"/>
    <x v="0"/>
  </r>
  <r>
    <x v="72"/>
    <s v="Lisboa e Lisboa"/>
    <s v="IPTU - BOX 81"/>
    <x v="30"/>
    <x v="1"/>
    <s v="PREFEITURA MUNICIPAL DE GOIÂNIA"/>
    <s v="PREFEITURA MUNICIPAL DE GOIÂNIA"/>
    <m/>
    <m/>
    <s v="Nathalia Louiz"/>
    <n v="-42.74"/>
    <s v="Saída"/>
    <x v="0"/>
  </r>
  <r>
    <x v="72"/>
    <s v="Lisboa e Lisboa"/>
    <s v="IPTU - BOX 82"/>
    <x v="30"/>
    <x v="1"/>
    <s v="PREFEITURA MUNICIPAL DE GOIÂNIA"/>
    <s v="PREFEITURA MUNICIPAL DE GOIÂNIA"/>
    <s v=""/>
    <m/>
    <s v="Nathalia Louiz"/>
    <n v="-42.74"/>
    <s v="Saída"/>
    <x v="0"/>
  </r>
  <r>
    <x v="72"/>
    <s v="Lisboa e Lisboa"/>
    <s v="Água"/>
    <x v="17"/>
    <x v="1"/>
    <s v="SANEAGO GOIAS S/A"/>
    <s v="SANEAGO GOIAS S/A"/>
    <m/>
    <m/>
    <s v="Thaynara Borges"/>
    <n v="-106.3"/>
    <s v="Saída"/>
    <x v="0"/>
  </r>
  <r>
    <x v="72"/>
    <s v="Lisboa e Lisboa"/>
    <s v="INSS"/>
    <x v="19"/>
    <x v="6"/>
    <s v="Receita Federal"/>
    <s v="Receita Federal"/>
    <m/>
    <m/>
    <s v="Thaynara Borges"/>
    <n v="-2041.63"/>
    <s v="Saída"/>
    <x v="0"/>
  </r>
  <r>
    <x v="72"/>
    <s v="Lisboa e Lisboa"/>
    <s v="Simples Nacional"/>
    <x v="20"/>
    <x v="7"/>
    <s v="Simples Nacional"/>
    <s v="Simples Nacional"/>
    <m/>
    <m/>
    <s v="Thaynara Borges"/>
    <n v="-1722.45"/>
    <s v="Saída"/>
    <x v="0"/>
  </r>
  <r>
    <x v="72"/>
    <s v="Lisboa e Lisboa"/>
    <s v="IPTU - SALA B74"/>
    <x v="30"/>
    <x v="1"/>
    <s v="PREFEITURA MUNICIPAL DE GOIÂNIA"/>
    <s v="PREFEITURA MUNICIPAL DE GOIÂNIA"/>
    <m/>
    <m/>
    <s v="Nathalia Louiz"/>
    <n v="-125.52"/>
    <s v="Saída"/>
    <x v="0"/>
  </r>
  <r>
    <x v="72"/>
    <s v="Lisboa e Lisboa"/>
    <s v="IPTU - BOX 78"/>
    <x v="30"/>
    <x v="1"/>
    <s v="PREFEITURA MUNICIPAL DE GOIÂNIA"/>
    <s v="PREFEITURA MUNICIPAL DE GOIÂNIA"/>
    <m/>
    <m/>
    <s v="Nathalia Louiz"/>
    <n v="-42.74"/>
    <s v="Saída"/>
    <x v="0"/>
  </r>
  <r>
    <x v="72"/>
    <s v="Lisboa e Lisboa"/>
    <s v="IPTU - BOX 88"/>
    <x v="30"/>
    <x v="1"/>
    <s v="PREFEITURA MUNICIPAL DE GOIÂNIA"/>
    <s v="PREFEITURA MUNICIPAL DE GOIÂNIA"/>
    <m/>
    <m/>
    <s v="Nathalia Louiz"/>
    <n v="-42.74"/>
    <s v="Saída"/>
    <x v="0"/>
  </r>
  <r>
    <x v="72"/>
    <s v="Lisboa e Lisboa"/>
    <s v="HONORARIOS RPV (50%)"/>
    <x v="2"/>
    <x v="2"/>
    <s v="JOSELINA ROSA DE SANTANA"/>
    <s v="JOSELINA ROSA DE SANTANA"/>
    <m/>
    <s v="APOSENTADORIA RURAL"/>
    <s v="Nathalia Louiz"/>
    <n v="4802.2700000000004"/>
    <s v="Entrada"/>
    <x v="1"/>
  </r>
  <r>
    <x v="73"/>
    <s v="Lisboa e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2"/>
  </r>
  <r>
    <x v="73"/>
    <s v="Sarah Alves Lisboa"/>
    <s v="DIÁRIAS DE LIMPEZA/MANUTENÇÃO DO ESCRITÓRIO (2 DIÁRIAS)"/>
    <x v="9"/>
    <x v="1"/>
    <s v="ELIZANGELA FERREIRA DA SILVA"/>
    <s v="ELIZANGELA FERREIRA DA SILVA"/>
    <m/>
    <m/>
    <s v="Nathalia Louiz"/>
    <n v="-340"/>
    <s v="Saída"/>
    <x v="0"/>
  </r>
  <r>
    <x v="74"/>
    <s v="Sarah Alves Lisboa"/>
    <s v="Honorários RPV (30% + ANUIDADE)"/>
    <x v="2"/>
    <x v="2"/>
    <s v="VALERIA ALVES VIEIRA"/>
    <s v="VALERIA ALVES VIEIRA"/>
    <m/>
    <s v="AMPARO AO DEFICIENTE"/>
    <s v="Nathalia Louiz"/>
    <n v="9171.34"/>
    <s v="Entrada"/>
    <x v="1"/>
  </r>
  <r>
    <x v="74"/>
    <s v="Lisboa e Lisboa"/>
    <s v="40% SOBRE OS ATRASADOS + 3 SALARIOS DE BENEFICIOS."/>
    <x v="2"/>
    <x v="2"/>
    <s v="CLAUDIA NUNES DOS SANTOS BARCELOS"/>
    <s v="CLAUDIA NUNES DOS SANTOS BARCELOS"/>
    <m/>
    <s v="AUXILIO DOENÇA"/>
    <s v="Nathalia Louiz"/>
    <n v="9860.56"/>
    <s v="Entrada"/>
    <x v="1"/>
  </r>
  <r>
    <x v="74"/>
    <s v="Lisboa e Lisboa"/>
    <s v="50% dos honorários (Parceria Dr Ajnaldo)"/>
    <x v="2"/>
    <x v="2"/>
    <s v="LEILA DO CARMO GONÇALVES OLIVEIRA"/>
    <s v="LEILA DO CARMO GONÇALVES OLIVEIRA"/>
    <m/>
    <s v="APOSENTADORIA POR IDADE RURAL"/>
    <s v="Thaynara Borges"/>
    <n v="1137.7"/>
    <s v="Entrada"/>
    <x v="2"/>
  </r>
  <r>
    <x v="74"/>
    <s v="Lisboa e Lisboa"/>
    <s v="HONORÁRIO RPV (30%)"/>
    <x v="2"/>
    <x v="2"/>
    <s v="Eliane Teixeira do Nascimento Souza"/>
    <s v="Eliane Teixeira do Nascimento Souza"/>
    <m/>
    <s v="RESTABELECIMENTO DE AUXILIO DOENÇA"/>
    <s v="Nathalia Louiz"/>
    <n v="1510.48"/>
    <s v="Entrada"/>
    <x v="1"/>
  </r>
  <r>
    <x v="74"/>
    <s v="Sarah Alves Lisboa"/>
    <s v="Elaboração de novo contrato social"/>
    <x v="31"/>
    <x v="9"/>
    <s v="IVAN GUSTAVO JUNIO SANTOS TRINDADE"/>
    <s v="IVAN GUSTAVO JUNIO SANTOS TRINDADE"/>
    <m/>
    <m/>
    <s v="Thaynara Borges"/>
    <n v="-15000"/>
    <s v="Saída"/>
    <x v="0"/>
  </r>
  <r>
    <x v="75"/>
    <s v="Sarah Alves Lisboa"/>
    <s v="40% sobre os atrasados (R$ 8.033,91)"/>
    <x v="2"/>
    <x v="2"/>
    <s v="VALDOMIRO ROSA DE OLIVEIRA"/>
    <s v="VALDOMIRO ROSA DE OLIVEIRA"/>
    <m/>
    <s v="AUXILIO DOENÇA"/>
    <s v="Thaynara Borges"/>
    <n v="3213.56"/>
    <s v="Entrada"/>
    <x v="1"/>
  </r>
  <r>
    <x v="75"/>
    <s v="Sarah Alves Lisboa"/>
    <s v="Anuidade - parceria com Dr Fernando"/>
    <x v="2"/>
    <x v="2"/>
    <s v="ELVIO DE OLIVEIRA SOARES"/>
    <s v="ELVIO DE OLIVEIRA SOARES"/>
    <m/>
    <s v="APOSENTADORIA POR IDADE"/>
    <s v="Thaynara Borges"/>
    <n v="423.6"/>
    <s v="Entrada"/>
    <x v="1"/>
  </r>
  <r>
    <x v="75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75"/>
    <s v="Sarah Alves Lisboa"/>
    <s v="Acerto parte da Vanessa sucumbência cumprimento de sentença"/>
    <x v="29"/>
    <x v="7"/>
    <s v="VALNEI PORTO MACHADO"/>
    <s v="VALNEI PORTO MACHADO"/>
    <m/>
    <s v="APOSENTADORIA POR TEMPO DE CONTRIBUIÇAO / ELETRICISTA"/>
    <s v="Thaynara Borges"/>
    <n v="-903.66"/>
    <s v="Saída"/>
    <x v="0"/>
  </r>
  <r>
    <x v="75"/>
    <s v="Sarah Alves Lisboa"/>
    <s v="COMISSÃO 50% DR FERNANDO"/>
    <x v="29"/>
    <x v="7"/>
    <s v="ELVIO DE OLIVEIRA SOARES"/>
    <s v="ELVIO DE OLIVEIRA SOARES"/>
    <m/>
    <s v="APOSENTADORIA POR IDADE"/>
    <s v="Nathalia Louiz"/>
    <n v="-211.8"/>
    <s v="Saída"/>
    <x v="0"/>
  </r>
  <r>
    <x v="75"/>
    <s v="Sarah Alves Lisboa"/>
    <s v="COMISSÃO 50% DR GUSTAVO"/>
    <x v="29"/>
    <x v="7"/>
    <s v="VALDOMIRO ROSA DE OLIVEIRA"/>
    <s v="VALDOMIRO ROSA DE OLIVEIRA"/>
    <m/>
    <s v="AUXILIO DOENÇA"/>
    <s v="Nathalia Louiz"/>
    <n v="-2812.18"/>
    <s v="Saída"/>
    <x v="0"/>
  </r>
  <r>
    <x v="75"/>
    <s v="Sarah Alves Lisboa"/>
    <s v="RPV SUCUMBENCIA"/>
    <x v="2"/>
    <x v="2"/>
    <s v="VALNEI PORTO MACHADO"/>
    <s v="VALNEI PORTO MACHADO"/>
    <m/>
    <s v="APOSENTADORIA POR TEMPO DE CONTRIBUIÇAO / ELETRICISTA"/>
    <s v="Nathalia Louiz"/>
    <n v="6604.83"/>
    <s v="Entrada"/>
    <x v="1"/>
  </r>
  <r>
    <x v="75"/>
    <s v="Sarah Alves Lisboa"/>
    <s v="30% SOB A IMPLANTAÇÃO"/>
    <x v="2"/>
    <x v="2"/>
    <s v="ANDERSON FRADIQUE VINHAL RIBEIRO PEREIRA"/>
    <s v="ANDERSON FRADIQUE VINHAL RIBEIRO PEREIRA"/>
    <m/>
    <s v="BENEFÍCIO POR INCAPACIDADE"/>
    <s v="Nathalia Louiz"/>
    <n v="713.7"/>
    <s v="Entrada"/>
    <x v="1"/>
  </r>
  <r>
    <x v="75"/>
    <s v="Sarah Alves Lisboa"/>
    <s v="40% implantação - será descontada nos atrasados (40% de R$6.027 - Implantação)"/>
    <x v="2"/>
    <x v="2"/>
    <s v="VALDOMIRO ROSA DE OLIVEIRA"/>
    <s v="VALDOMIRO ROSA DE OLIVEIRA"/>
    <m/>
    <s v="AUXILIO DOENÇA"/>
    <s v="Nathalia Louiz"/>
    <n v="2410.8000000000002"/>
    <s v="Entrada"/>
    <x v="1"/>
  </r>
  <r>
    <x v="76"/>
    <s v="Lisboa e Lisboa"/>
    <s v="Parcelas - honorários 3 benefícios"/>
    <x v="2"/>
    <x v="2"/>
    <s v="JOÃO BAREICHA FERREIRA GALVÃO"/>
    <s v="JOÃO BAREICHA FERREIRA GALVÃO"/>
    <m/>
    <s v="APOSENTADORIA"/>
    <s v="Thaynara Borges"/>
    <n v="1589.72"/>
    <s v="Entrada"/>
    <x v="1"/>
  </r>
  <r>
    <x v="77"/>
    <s v="Sarah Alves Lisboa"/>
    <s v="APARELHO TELEFONE - FIXO (Para o escritório)"/>
    <x v="26"/>
    <x v="1"/>
    <s v="KABUM"/>
    <s v="KABUM"/>
    <m/>
    <m/>
    <s v="Nathalia Louiz"/>
    <n v="-65.14"/>
    <s v="Saída"/>
    <x v="0"/>
  </r>
  <r>
    <x v="77"/>
    <s v="Lisboa e Lisboa"/>
    <s v="Energia contrato 0067122721"/>
    <x v="21"/>
    <x v="1"/>
    <s v="EQUATORIAL GOIAS 0067122721"/>
    <s v="EQUATORIAL GOIAS 0067122721"/>
    <m/>
    <m/>
    <s v="Thaynara Borges"/>
    <n v="-627.22"/>
    <s v="Saída"/>
    <x v="0"/>
  </r>
  <r>
    <x v="77"/>
    <s v="Sarah Alves Lisboa"/>
    <s v="Exame admissional"/>
    <x v="35"/>
    <x v="6"/>
    <s v="Katyucia G Santos"/>
    <s v="Katyucia G Santos"/>
    <m/>
    <m/>
    <s v="Nathalia Louiz"/>
    <n v="-30"/>
    <s v="Saída"/>
    <x v="0"/>
  </r>
  <r>
    <x v="77"/>
    <s v="Lisboa e Lisboa"/>
    <s v="Energia contrato 0067122663"/>
    <x v="21"/>
    <x v="1"/>
    <s v="EQUATORIAL GOIAS 0067122663"/>
    <s v="EQUATORIAL GOIAS 0067122663"/>
    <m/>
    <m/>
    <s v="Thaynara Borges"/>
    <n v="-380.75"/>
    <s v="Saída"/>
    <x v="0"/>
  </r>
  <r>
    <x v="77"/>
    <s v="Sarah Alves Lisboa"/>
    <s v="DIÁRIAS DE LIMPEZA/MANUTENÇÃO DO ESCRITÓRIO (2 DIÁRIAS)"/>
    <x v="9"/>
    <x v="1"/>
    <s v="ELIZANGELA FERREIRA DA SILVA"/>
    <s v="ELIZANGELA FERREIRA DA SILVA"/>
    <m/>
    <m/>
    <s v="Nathalia Louiz"/>
    <n v="-340"/>
    <s v="Saída"/>
    <x v="0"/>
  </r>
  <r>
    <x v="77"/>
    <s v="Sarah Alves Lisboa"/>
    <s v="Reunião - Comissão"/>
    <x v="29"/>
    <x v="7"/>
    <s v="Maura Cardoso Borges"/>
    <s v="Maura Cardoso Borges"/>
    <m/>
    <m/>
    <s v="Nathalia Louiz"/>
    <n v="-200"/>
    <s v="Saída"/>
    <x v="0"/>
  </r>
  <r>
    <x v="78"/>
    <s v="Sarah Alves Lisboa"/>
    <s v="Retirada"/>
    <x v="22"/>
    <x v="8"/>
    <s v="Thaynara Borges Pereira"/>
    <s v="Thaynara Borges Pereira"/>
    <m/>
    <m/>
    <s v="Thaynara Borges"/>
    <n v="-3648.98"/>
    <s v="Saída"/>
    <x v="0"/>
  </r>
  <r>
    <x v="78"/>
    <s v="Lisboa e Lisboa"/>
    <s v="Bolsa Estagio"/>
    <x v="13"/>
    <x v="6"/>
    <s v="Laura Barbosa Marques"/>
    <s v="Laura Barbosa Marques"/>
    <m/>
    <m/>
    <s v="Thaynara Borges"/>
    <n v="-1300"/>
    <s v="Saída"/>
    <x v="0"/>
  </r>
  <r>
    <x v="78"/>
    <s v="Lisboa e Lisboa"/>
    <s v="Salario"/>
    <x v="15"/>
    <x v="6"/>
    <s v="Nina Araujo"/>
    <s v="Nina Araujo"/>
    <m/>
    <m/>
    <s v="Thaynara Borges"/>
    <n v="-3195.89"/>
    <s v="Saída"/>
    <x v="0"/>
  </r>
  <r>
    <x v="78"/>
    <s v="Lisboa e Lisboa"/>
    <s v="PRÓ-LABORE"/>
    <x v="23"/>
    <x v="8"/>
    <s v="Thaynara Borges Pereira"/>
    <s v="Thaynara Borges Pereira"/>
    <m/>
    <m/>
    <s v="Thaynara Borges"/>
    <n v="-1351.02"/>
    <s v="Saída"/>
    <x v="0"/>
  </r>
  <r>
    <x v="78"/>
    <s v="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78"/>
    <s v="Sarah Alves Lisboa"/>
    <s v="PAPELARIA - BOAS VINDAS KATIUCIA"/>
    <x v="26"/>
    <x v="1"/>
    <s v="DIGITAL COPIAS - GRÁFICA"/>
    <s v="DIGITAL COPIAS - GRÁFICA"/>
    <m/>
    <m/>
    <s v="Nathalia Louiz"/>
    <n v="-4"/>
    <s v="Saída"/>
    <x v="0"/>
  </r>
  <r>
    <x v="78"/>
    <s v="Lisboa e Lisboa"/>
    <s v="Salário"/>
    <x v="15"/>
    <x v="6"/>
    <s v="Raffaela Nunes"/>
    <s v="Raffaela Nunes"/>
    <m/>
    <m/>
    <s v="Thaynara Borges"/>
    <n v="-1420.06"/>
    <s v="Saída"/>
    <x v="0"/>
  </r>
  <r>
    <x v="78"/>
    <s v="Lisboa e Lisboa"/>
    <s v="Bolsa Estagio"/>
    <x v="13"/>
    <x v="6"/>
    <s v="ISABELLA ALVIM BIACHINI"/>
    <s v="ISABELLA ALVIM BIACHINI"/>
    <m/>
    <m/>
    <s v="Thaynara Borges"/>
    <n v="-1300"/>
    <s v="Saída"/>
    <x v="0"/>
  </r>
  <r>
    <x v="78"/>
    <s v="Sarah Alves Lisboa"/>
    <s v="50% SOBRE A IMPLANTAÇÃO"/>
    <x v="2"/>
    <x v="2"/>
    <s v="IRANY CARDOSO TEIXEIRA"/>
    <s v="IRANY CARDOSO TEIXEIRA"/>
    <m/>
    <s v="APOSENTADORIA RURAL"/>
    <s v="Thaynara Borges"/>
    <n v="759"/>
    <s v="Entrada"/>
    <x v="1"/>
  </r>
  <r>
    <x v="78"/>
    <s v="Sarah Alves Lisboa"/>
    <s v="Retirada"/>
    <x v="22"/>
    <x v="8"/>
    <s v="Sarah Alves Lisboa"/>
    <s v="Sarah Alves Lisboa"/>
    <m/>
    <m/>
    <s v="Thaynara Borges"/>
    <n v="-6148.98"/>
    <s v="Saída"/>
    <x v="0"/>
  </r>
  <r>
    <x v="78"/>
    <s v="Sarah Alves Lisboa"/>
    <s v="Salario"/>
    <x v="15"/>
    <x v="6"/>
    <s v="Raffaela Nunes"/>
    <s v="Raffaela Nunes"/>
    <m/>
    <m/>
    <s v="Thaynara Borges"/>
    <n v="-1079.94"/>
    <s v="Saída"/>
    <x v="0"/>
  </r>
  <r>
    <x v="78"/>
    <s v="Lisboa e Lisboa"/>
    <s v="PRÓ-LABORE"/>
    <x v="23"/>
    <x v="8"/>
    <s v="Sarah Alves Lisboa"/>
    <s v="Sarah Alves Lisboa"/>
    <m/>
    <m/>
    <s v="Thaynara Borges"/>
    <n v="-1351.02"/>
    <s v="Saída"/>
    <x v="0"/>
  </r>
  <r>
    <x v="79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79"/>
    <s v="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79"/>
    <s v="Cartão de Crédito Dr Ivanildo"/>
    <s v="Google One"/>
    <x v="12"/>
    <x v="1"/>
    <s v="BANCO ITAU"/>
    <s v="BANCO ITAU"/>
    <m/>
    <m/>
    <s v="Thaynara Borges"/>
    <n v="-38.99"/>
    <s v="Saída"/>
    <x v="0"/>
  </r>
  <r>
    <x v="79"/>
    <s v="Cartão de Crédito Dr Ivanildo"/>
    <s v="ASA TRINDADE"/>
    <x v="33"/>
    <x v="4"/>
    <s v="BANCO ITAU"/>
    <s v="BANCO ITAU"/>
    <m/>
    <m/>
    <s v="Nathalia Louiz"/>
    <n v="-61.1"/>
    <s v="Saída"/>
    <x v="0"/>
  </r>
  <r>
    <x v="79"/>
    <s v="Cartão de Crédito Dr Ivanildo"/>
    <s v="CANAA FRIOS"/>
    <x v="11"/>
    <x v="1"/>
    <s v="BANCO ITAU"/>
    <s v="BANCO ITAU"/>
    <m/>
    <m/>
    <s v="Nathalia Louiz"/>
    <n v="-50.7"/>
    <s v="Saída"/>
    <x v="0"/>
  </r>
  <r>
    <x v="79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79"/>
    <s v="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79"/>
    <s v="Cartão de Crédito Dr Ivanildo"/>
    <s v="ASSAI ATACADISTA"/>
    <x v="26"/>
    <x v="1"/>
    <s v="BANCO ITAU"/>
    <s v="BANCO ITAU"/>
    <m/>
    <m/>
    <s v="Nathalia Louiz"/>
    <n v="-111.38"/>
    <s v="Saída"/>
    <x v="0"/>
  </r>
  <r>
    <x v="79"/>
    <s v="Cartão de Crédito Dr Ivanildo"/>
    <s v="MAU NENHUM"/>
    <x v="11"/>
    <x v="1"/>
    <s v="BANCO ITAU"/>
    <s v="BANCO ITAU"/>
    <m/>
    <m/>
    <s v="Nathalia Louiz"/>
    <n v="-415"/>
    <s v="Saída"/>
    <x v="0"/>
  </r>
  <r>
    <x v="79"/>
    <s v="Cartão de Crédito Dr Ivanildo"/>
    <s v="CANAÃ FRIOS"/>
    <x v="11"/>
    <x v="1"/>
    <s v="BANCO ITAU"/>
    <s v="BANCO ITAU"/>
    <m/>
    <m/>
    <s v="Nathalia Louiz"/>
    <n v="-45"/>
    <s v="Saída"/>
    <x v="0"/>
  </r>
  <r>
    <x v="79"/>
    <s v="Cartão de Crédito Dr Ivanildo"/>
    <s v="Clinica e PI"/>
    <x v="33"/>
    <x v="4"/>
    <s v="BANCO ITAU"/>
    <s v="BANCO ITAU"/>
    <m/>
    <m/>
    <s v="Nathalia Louiz"/>
    <n v="-48"/>
    <s v="Saída"/>
    <x v="0"/>
  </r>
  <r>
    <x v="79"/>
    <s v="Sarah Alves Lisboa"/>
    <s v="50% SOBRE A IMPLANTAÇÃO DO BENEFICIO"/>
    <x v="2"/>
    <x v="2"/>
    <s v="SIMONE BERNARDES DA SILVA SANTANA"/>
    <s v="SIMONE BERNARDES DA SILVA SANTANA"/>
    <m/>
    <s v="APOSENTADORIA RURAL"/>
    <s v="Thaynara Borges"/>
    <n v="2288.5"/>
    <s v="Entrada"/>
    <x v="1"/>
  </r>
  <r>
    <x v="79"/>
    <s v="Cartão de Crédito Dr Ivanildo"/>
    <s v="Prévius"/>
    <x v="12"/>
    <x v="1"/>
    <s v="BANCO ITAU"/>
    <s v="BANCO ITAU"/>
    <m/>
    <m/>
    <s v="Thaynara Borges"/>
    <n v="-80.91"/>
    <s v="Saída"/>
    <x v="0"/>
  </r>
  <r>
    <x v="79"/>
    <s v="Cartão de Crédito Dr Ivanildo"/>
    <s v="DELLA PANIFICADORA"/>
    <x v="11"/>
    <x v="1"/>
    <s v="BANCO ITAU"/>
    <s v="BANCO ITAU"/>
    <m/>
    <m/>
    <s v="Nathalia Louiz"/>
    <n v="-228.34"/>
    <s v="Saída"/>
    <x v="0"/>
  </r>
  <r>
    <x v="79"/>
    <s v="Cartão de Crédito Dr Ivanildo"/>
    <s v="BENEDITA GASTRONIMIA"/>
    <x v="11"/>
    <x v="1"/>
    <s v="BANCO ITAU"/>
    <s v="BANCO ITAU"/>
    <m/>
    <m/>
    <s v="Nathalia Louiz"/>
    <n v="-15"/>
    <s v="Saída"/>
    <x v="0"/>
  </r>
  <r>
    <x v="79"/>
    <s v="Cartão de Crédito Dr Ivanildo"/>
    <s v="Pagamento Cartão de Crédito Dr Ivanildo"/>
    <x v="6"/>
    <x v="1"/>
    <s v="BANCO ITAU"/>
    <s v="BANCO ITAU"/>
    <m/>
    <m/>
    <s v="Thaynara Borges"/>
    <n v="3059.88"/>
    <s v="Entrada"/>
    <x v="1"/>
  </r>
  <r>
    <x v="79"/>
    <s v="Cartão de Crédito Dr Ivanildo"/>
    <s v="Cestas de fim de ano para equipe"/>
    <x v="11"/>
    <x v="1"/>
    <s v="BANCO ITAU"/>
    <s v="BANCO ITAU"/>
    <m/>
    <m/>
    <s v="Thaynara Borges"/>
    <n v="-725"/>
    <s v="Saída"/>
    <x v="0"/>
  </r>
  <r>
    <x v="79"/>
    <s v="Cartão de Crédito Dr Ivanildo"/>
    <s v="BOLOS DO SITIO"/>
    <x v="11"/>
    <x v="1"/>
    <s v="BANCO ITAU"/>
    <s v="BANCO ITAU"/>
    <m/>
    <m/>
    <s v="Nathalia Louiz"/>
    <n v="-28"/>
    <s v="Saída"/>
    <x v="0"/>
  </r>
  <r>
    <x v="79"/>
    <s v="Lisboa e Lisboa"/>
    <s v="Honorários 20% sobre os atrasados"/>
    <x v="2"/>
    <x v="2"/>
    <s v="ELON NOLETO ROCHA"/>
    <s v="ELON NOLETO ROCHA"/>
    <m/>
    <s v="ELON NOLETO ROCHA x GOIASPREV"/>
    <s v="Thaynara Borges"/>
    <n v="41260.39"/>
    <s v="Entrada"/>
    <x v="1"/>
  </r>
  <r>
    <x v="79"/>
    <s v="Cartão de Crédito Dr Ivanildo"/>
    <s v="Google One"/>
    <x v="12"/>
    <x v="1"/>
    <s v="BANCO ITAU"/>
    <s v="BANCO ITAU"/>
    <m/>
    <m/>
    <s v="Thaynara Borges"/>
    <n v="-11.99"/>
    <s v="Saída"/>
    <x v="0"/>
  </r>
  <r>
    <x v="79"/>
    <s v="Cartão de Crédito Dr Ivanildo"/>
    <s v="Jusbrasil"/>
    <x v="12"/>
    <x v="1"/>
    <s v="BANCO ITAU"/>
    <s v="BANCO ITAU"/>
    <m/>
    <m/>
    <s v="Thaynara Borges"/>
    <n v="-58.9"/>
    <s v="Saída"/>
    <x v="0"/>
  </r>
  <r>
    <x v="79"/>
    <s v="Cartão de Crédito Dr Ivanildo"/>
    <s v="Jusbrasil"/>
    <x v="12"/>
    <x v="1"/>
    <s v="BANCO ITAU"/>
    <s v="BANCO ITAU"/>
    <m/>
    <m/>
    <s v="Thaynara Borges"/>
    <n v="-58.9"/>
    <s v="Saída"/>
    <x v="0"/>
  </r>
  <r>
    <x v="79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79"/>
    <s v="Cartão de Crédito Dr Ivanildo"/>
    <s v="CANAÃ FRIOS"/>
    <x v="11"/>
    <x v="1"/>
    <s v="BANCO ITAU"/>
    <s v="BANCO ITAU"/>
    <m/>
    <m/>
    <s v="Nathalia Louiz"/>
    <n v="-54.3"/>
    <s v="Saída"/>
    <x v="0"/>
  </r>
  <r>
    <x v="79"/>
    <s v="Cartão de Crédito Dr Ivanildo"/>
    <s v="PAO DE AÇUCAR"/>
    <x v="32"/>
    <x v="4"/>
    <s v="BANCO ITAU"/>
    <s v="BANCO ITAU"/>
    <m/>
    <m/>
    <s v="Nathalia Louiz"/>
    <n v="-555.33000000000004"/>
    <s v="Saída"/>
    <x v="0"/>
  </r>
  <r>
    <x v="80"/>
    <s v="Lisboa e Lisboa"/>
    <s v="Honorários Vanessa Lisboa: lançar como retirada Sarah"/>
    <x v="29"/>
    <x v="7"/>
    <s v="ELON NOLETO ROCHA"/>
    <s v="ELON NOLETO ROCHA"/>
    <m/>
    <s v="ELON NOLETO ROCHA x GOIASPREV"/>
    <s v="Thaynara Borges"/>
    <n v="-41260.39"/>
    <s v="Saída"/>
    <x v="0"/>
  </r>
  <r>
    <x v="80"/>
    <s v="Lisboa e Lisboa"/>
    <s v="Plano mensal - conta corrente"/>
    <x v="4"/>
    <x v="3"/>
    <s v="BANCO ITAU"/>
    <s v="BANCO ITAU"/>
    <m/>
    <m/>
    <s v="Thaynara Borges"/>
    <n v="-79.5"/>
    <s v="Saída"/>
    <x v="0"/>
  </r>
  <r>
    <x v="80"/>
    <s v="Lisboa e Lisboa"/>
    <s v="Serviços de TI"/>
    <x v="3"/>
    <x v="1"/>
    <s v="Rhuan Carlos Batista"/>
    <s v="Rhuan Carlos Batista"/>
    <m/>
    <m/>
    <s v="Nathalia Louiz"/>
    <n v="-290"/>
    <s v="Saída"/>
    <x v="0"/>
  </r>
  <r>
    <x v="80"/>
    <s v="Lisboa e Lisboa"/>
    <s v="DEDETIZAÇÃO"/>
    <x v="14"/>
    <x v="1"/>
    <s v="IDEAL DEDETIZADORA E DESENTUPIDORA"/>
    <s v="IDEAL DEDETIZADORA E DESENTUPIDORA"/>
    <m/>
    <m/>
    <s v="Nathalia Louiz"/>
    <n v="-280"/>
    <s v="Saída"/>
    <x v="0"/>
  </r>
  <r>
    <x v="81"/>
    <s v="Sarah Alves Lisboa"/>
    <s v="COMISSÃO"/>
    <x v="29"/>
    <x v="7"/>
    <s v="Thaynara Borges Pereira"/>
    <s v="Thaynara Borges Pereira"/>
    <m/>
    <m/>
    <s v="Nathalia Louiz"/>
    <n v="-100"/>
    <s v="Saída"/>
    <x v="0"/>
  </r>
  <r>
    <x v="81"/>
    <s v="Sarah Alves Lisboa"/>
    <s v="COMISSÃO"/>
    <x v="29"/>
    <x v="7"/>
    <s v="EVANILZA ARAUJO MORAES"/>
    <s v="EVANILZA ARAUJO MORAES"/>
    <m/>
    <m/>
    <s v="Nathalia Louiz"/>
    <n v="-100"/>
    <s v="Saída"/>
    <x v="0"/>
  </r>
  <r>
    <x v="81"/>
    <s v="Sarah Alves Lisboa"/>
    <s v="COMISSÃO"/>
    <x v="29"/>
    <x v="7"/>
    <s v="SARAH ALVES LISBOA"/>
    <s v="SARAH ALVES LISBOA"/>
    <m/>
    <m/>
    <s v="Nathalia Louiz"/>
    <n v="-100"/>
    <s v="Saída"/>
    <x v="0"/>
  </r>
  <r>
    <x v="81"/>
    <s v="Sarah Alves Lisboa"/>
    <s v="COMISSÃO"/>
    <x v="29"/>
    <x v="7"/>
    <s v="Laura Barbosa Marques"/>
    <s v="Laura Barbosa Marques"/>
    <m/>
    <m/>
    <s v="Nathalia Louiz"/>
    <n v="-100"/>
    <s v="Saída"/>
    <x v="0"/>
  </r>
  <r>
    <x v="81"/>
    <s v="Sarah Alves Lisboa"/>
    <s v="Confecção de contrato de trabalho"/>
    <x v="36"/>
    <x v="1"/>
    <s v="KARINE RODRIGUES DA SILVA / LAUDIMAR MARCIANO"/>
    <s v="KARINE RODRIGUES DA SILVA / LAUDIMAR MARCIANO"/>
    <m/>
    <m/>
    <s v="Nathalia Louiz"/>
    <n v="-2000"/>
    <s v="Saída"/>
    <x v="0"/>
  </r>
  <r>
    <x v="81"/>
    <s v="Sarah Alves Lisboa"/>
    <s v="COMISSÃO"/>
    <x v="29"/>
    <x v="7"/>
    <s v="ISABELLA ALVIM BIACHINI"/>
    <s v="ISABELLA ALVIM BIACHINI"/>
    <m/>
    <m/>
    <s v="Nathalia Louiz"/>
    <n v="-100"/>
    <s v="Saída"/>
    <x v="0"/>
  </r>
  <r>
    <x v="81"/>
    <s v="Sarah Alves Lisboa"/>
    <s v="Cesta de despedida Isabella"/>
    <x v="11"/>
    <x v="1"/>
    <s v="CARLA SILVA (CESTAS)"/>
    <s v="CARLA SILVA (CESTAS)"/>
    <m/>
    <m/>
    <s v="Nathalia Louiz"/>
    <n v="-248"/>
    <s v="Saída"/>
    <x v="0"/>
  </r>
  <r>
    <x v="81"/>
    <s v="Sarah Alves Lisboa"/>
    <s v="COMISSÃO"/>
    <x v="29"/>
    <x v="7"/>
    <s v="Raffaela Nunes"/>
    <s v="Raffaela Nunes"/>
    <m/>
    <m/>
    <s v="Nathalia Louiz"/>
    <n v="-100"/>
    <s v="Saída"/>
    <x v="0"/>
  </r>
  <r>
    <x v="82"/>
    <s v="Sarah Alves Lisboa"/>
    <s v="DIÁRIAS - MANUTENÇÃO DO ESCRITÓRIO"/>
    <x v="9"/>
    <x v="1"/>
    <s v="ELIZANGELA FERREIRA DA SILVA"/>
    <s v="ELIZANGELA FERREIRA DA SILVA"/>
    <m/>
    <m/>
    <s v="Nathalia Louiz"/>
    <n v="-340"/>
    <s v="Saída"/>
    <x v="0"/>
  </r>
  <r>
    <x v="82"/>
    <s v="Sarah Alves Lisboa"/>
    <s v="ANUIDADE 12X"/>
    <x v="2"/>
    <x v="2"/>
    <s v="ANA PEREIRA DA SILVA JESUS"/>
    <s v="ANA PEREIRA DA SILVA JESUS"/>
    <m/>
    <s v="AMPARA AO IDOSO"/>
    <s v="Nathalia Louiz"/>
    <n v="303.60000000000002"/>
    <s v="Entrada"/>
    <x v="1"/>
  </r>
  <r>
    <x v="82"/>
    <s v="Sarah Alves Lisboa"/>
    <s v="30% SOBRE A IMPLANTAÇÃO"/>
    <x v="2"/>
    <x v="2"/>
    <s v="DARLENE CAIXETA DOS SANTOS"/>
    <s v="DARLENE CAIXETA DOS SANTOS"/>
    <m/>
    <s v="BENEFÍCIO POR INCAPACIDADE"/>
    <s v="Thaynara Borges"/>
    <n v="1367.7"/>
    <s v="Entrada"/>
    <x v="1"/>
  </r>
  <r>
    <x v="82"/>
    <s v="Sarah Alves Lisboa"/>
    <s v="Abastecimento Combustível -  Sarah"/>
    <x v="27"/>
    <x v="4"/>
    <s v="POSTO 2824"/>
    <s v="POSTO 2824"/>
    <m/>
    <m/>
    <s v="Nathalia Louiz"/>
    <n v="-110"/>
    <s v="Saída"/>
    <x v="0"/>
  </r>
  <r>
    <x v="83"/>
    <s v="Sarah Alves Lisboa"/>
    <s v="PLANEJAMENTO"/>
    <x v="2"/>
    <x v="2"/>
    <s v="ISMAEL ALVES MADUREIRA"/>
    <s v="ISMAEL ALVES MADUREIRA"/>
    <m/>
    <m/>
    <s v="Nathalia Louiz"/>
    <n v="300"/>
    <s v="Entrada"/>
    <x v="2"/>
  </r>
  <r>
    <x v="84"/>
    <s v="Lisboa e Lisboa"/>
    <s v="Taxa de Condomínio Sala B-74"/>
    <x v="10"/>
    <x v="1"/>
    <s v="ATON BUSINESS STYLE"/>
    <s v="ATON BUSINESS STYLE"/>
    <m/>
    <m/>
    <s v="Thaynara Borges"/>
    <n v="-1271.82"/>
    <s v="Saída"/>
    <x v="0"/>
  </r>
  <r>
    <x v="84"/>
    <s v="Lisboa e Lisboa"/>
    <s v="Taxa de Condomínio Sala B-73"/>
    <x v="10"/>
    <x v="1"/>
    <s v="ATON BUSINESS STYLE"/>
    <s v="ATON BUSINESS STYLE"/>
    <m/>
    <m/>
    <s v="Thaynara Borges"/>
    <n v="-1271.26"/>
    <s v="Saída"/>
    <x v="0"/>
  </r>
  <r>
    <x v="84"/>
    <s v="Lisboa e Lisboa"/>
    <s v="Taxa de Condomínio Vaga Garagem A-82"/>
    <x v="10"/>
    <x v="1"/>
    <s v="ATON BUSINESS STYLE"/>
    <s v="ATON BUSINESS STYLE"/>
    <m/>
    <m/>
    <s v="Thaynara Borges"/>
    <n v="-52.41"/>
    <s v="Saída"/>
    <x v="0"/>
  </r>
  <r>
    <x v="84"/>
    <s v="Lisboa e Lisboa"/>
    <s v="Acerto estágio"/>
    <x v="15"/>
    <x v="6"/>
    <s v="ISABELLA ALVIM BIACHINI"/>
    <s v="ISABELLA ALVIM BIACHINI"/>
    <m/>
    <m/>
    <s v="Thaynara Borges"/>
    <n v="-519.96"/>
    <s v="Saída"/>
    <x v="0"/>
  </r>
  <r>
    <x v="84"/>
    <s v="Lisboa e Lisboa"/>
    <s v="Cartão de Crédito Dr Ivanilldo"/>
    <x v="6"/>
    <x v="1"/>
    <s v="BANCO ITAU"/>
    <s v="BANCO ITAU"/>
    <m/>
    <m/>
    <s v="Thaynara Borges"/>
    <n v="-3059.88"/>
    <s v="Saída"/>
    <x v="0"/>
  </r>
  <r>
    <x v="84"/>
    <s v="Lisboa e Lisboa"/>
    <s v="Taxa de Condomínio Vaga Garagem A-81"/>
    <x v="10"/>
    <x v="1"/>
    <s v="ATON BUSINESS STYLE"/>
    <s v="ATON BUSINESS STYLE"/>
    <m/>
    <m/>
    <s v="Thaynara Borges"/>
    <n v="-52.41"/>
    <s v="Saída"/>
    <x v="0"/>
  </r>
  <r>
    <x v="84"/>
    <s v="Sarah Alves Lisboa"/>
    <s v="Comissão Karine sobre implantação"/>
    <x v="29"/>
    <x v="7"/>
    <s v="DARLENE CAIXETA DOS SANTOS"/>
    <s v="DARLENE CAIXETA DOS SANTOS"/>
    <m/>
    <s v="BENEFÍCIO POR INCAPACIDADE"/>
    <s v="Thaynara Borges"/>
    <n v="-410.31"/>
    <s v="Saída"/>
    <x v="0"/>
  </r>
  <r>
    <x v="84"/>
    <s v="Lisboa e Lisboa"/>
    <s v="Celular"/>
    <x v="8"/>
    <x v="1"/>
    <s v="VIVO"/>
    <s v="VIVO"/>
    <m/>
    <m/>
    <s v="Thaynara Borges"/>
    <n v="-137.37"/>
    <s v="Saída"/>
    <x v="0"/>
  </r>
  <r>
    <x v="84"/>
    <s v="Lisboa e Lisboa"/>
    <s v="Taxa de Condomínio Vaga Garagem A-78"/>
    <x v="10"/>
    <x v="1"/>
    <s v="ATON BUSINESS STYLE"/>
    <s v="ATON BUSINESS STYLE"/>
    <m/>
    <m/>
    <s v="Thaynara Borges"/>
    <n v="-52.41"/>
    <s v="Saída"/>
    <x v="0"/>
  </r>
  <r>
    <x v="84"/>
    <s v="Lisboa e Lisboa"/>
    <s v="Taxa de Condomínio Vaga Garagem A-88"/>
    <x v="10"/>
    <x v="1"/>
    <s v="ATON BUSINESS STYLE"/>
    <s v="ATON BUSINESS STYLE"/>
    <m/>
    <m/>
    <s v="Thaynara Borges"/>
    <n v="-52.41"/>
    <s v="Saída"/>
    <x v="0"/>
  </r>
  <r>
    <x v="84"/>
    <s v="Lisboa e Lisboa"/>
    <s v="Taxa de Condomínio Vaga Garagem A-83"/>
    <x v="10"/>
    <x v="1"/>
    <s v="ATON BUSINESS STYLE"/>
    <s v="ATON BUSINESS STYLE"/>
    <m/>
    <m/>
    <s v="Thaynara Borges"/>
    <n v="-52.41"/>
    <s v="Saída"/>
    <x v="0"/>
  </r>
  <r>
    <x v="85"/>
    <s v="Sarah Alves Lisboa"/>
    <s v="Sucumbência"/>
    <x v="2"/>
    <x v="2"/>
    <s v="LEILA DIAS MARTINS"/>
    <s v="LEILA DIAS MARTINS"/>
    <m/>
    <s v="SUSPENÇAO DE ALTA MEDICA CONCEDIDA EM APOSENTADORIA POR INVALIDEZ"/>
    <s v="Thaynara Borges"/>
    <n v="1286.8699999999999"/>
    <s v="Entrada"/>
    <x v="1"/>
  </r>
  <r>
    <x v="85"/>
    <s v="Lisboa e Lisboa"/>
    <s v="CONTRATO 9621661899"/>
    <x v="8"/>
    <x v="1"/>
    <s v="VIVO FIXO"/>
    <s v="VIVO FIXO"/>
    <m/>
    <m/>
    <s v="Thaynara Borges"/>
    <n v="-251.58"/>
    <s v="Saída"/>
    <x v="0"/>
  </r>
  <r>
    <x v="85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85"/>
    <s v="Cartão de Crédito Dra Thaynara"/>
    <s v="GOOGLE GSUITE_PREVLEX."/>
    <x v="12"/>
    <x v="1"/>
    <s v="C6"/>
    <s v="C6"/>
    <m/>
    <m/>
    <s v="Thaynara Borges"/>
    <n v="-126"/>
    <s v="Saída"/>
    <x v="0"/>
  </r>
  <r>
    <x v="85"/>
    <s v="Cartão de Crédito Dra Thaynara"/>
    <s v="Cálculo Jurídico"/>
    <x v="12"/>
    <x v="1"/>
    <s v="C6"/>
    <s v="C6"/>
    <m/>
    <m/>
    <s v="Thaynara Borges"/>
    <n v="-120.29"/>
    <s v="Saída"/>
    <x v="0"/>
  </r>
  <r>
    <x v="85"/>
    <s v="Lisboa e Lisboa"/>
    <s v="2 Benefícios parcelados em 6x"/>
    <x v="2"/>
    <x v="2"/>
    <s v="ISABEL PEREIRA SOUSA"/>
    <s v="ISABEL PEREIRA SOUSA"/>
    <m/>
    <s v="APOSENTADORIA POR IDADE"/>
    <s v="Thaynara Borges"/>
    <n v="500"/>
    <s v="Entrada"/>
    <x v="1"/>
  </r>
  <r>
    <x v="85"/>
    <s v="Cartão de Crédito Dra Thaynara"/>
    <s v="ASTREA"/>
    <x v="12"/>
    <x v="1"/>
    <s v="C6"/>
    <s v="C6"/>
    <m/>
    <m/>
    <s v="Thaynara Borges"/>
    <n v="-456.75"/>
    <s v="Saída"/>
    <x v="0"/>
  </r>
  <r>
    <x v="85"/>
    <s v="Cartão de Crédito Dra Thaynara"/>
    <s v="Cartão de crédito Dra Thaynara"/>
    <x v="6"/>
    <x v="1"/>
    <s v="C6"/>
    <s v="C6"/>
    <m/>
    <m/>
    <s v="Thaynara Borges"/>
    <n v="952.25"/>
    <s v="Entrada"/>
    <x v="1"/>
  </r>
  <r>
    <x v="85"/>
    <s v="Lisboa e Lisboa"/>
    <s v="CONTRATO 9309114969"/>
    <x v="8"/>
    <x v="1"/>
    <s v="VIVO FIXO"/>
    <s v="VIVO FIXO"/>
    <m/>
    <m/>
    <s v="Thaynara Borges"/>
    <n v="-119.99"/>
    <s v="Saída"/>
    <x v="0"/>
  </r>
  <r>
    <x v="86"/>
    <s v="Sarah Alves Lisboa"/>
    <s v="40% SOB IMPLANTAÇÃO DE BELEFICIO"/>
    <x v="2"/>
    <x v="2"/>
    <s v="PATRICIA DE GODOI MACHADO"/>
    <s v="PATRICIA DE GODOI MACHADO"/>
    <m/>
    <s v="BENEFÍCIO POR INCAPACIDADE"/>
    <s v="Nathalia Louiz"/>
    <n v="1868"/>
    <s v="Entrada"/>
    <x v="1"/>
  </r>
  <r>
    <x v="86"/>
    <s v="Lisboa e Lisboa"/>
    <s v="30% sobre os atrasados"/>
    <x v="2"/>
    <x v="2"/>
    <s v="LEILA DIAS MARTINS"/>
    <s v="LEILA DIAS MARTINS"/>
    <m/>
    <s v="SUSPENÇAO DE ALTA MEDICA CONCEDIDA EM APOSENTADORIA POR INVALIDEZ"/>
    <s v="Thaynara Borges"/>
    <n v="3980.07"/>
    <s v="Entrada"/>
    <x v="1"/>
  </r>
  <r>
    <x v="87"/>
    <s v="Lisboa e Lisboa"/>
    <s v="IEL Estagiárias"/>
    <x v="13"/>
    <x v="6"/>
    <s v="IEL"/>
    <s v="IEL"/>
    <m/>
    <m/>
    <s v="Thaynara Borges"/>
    <n v="-106.73"/>
    <s v="Saída"/>
    <x v="0"/>
  </r>
  <r>
    <x v="87"/>
    <s v="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87"/>
    <s v="Sarah Alves Lisboa"/>
    <s v="Tarifa Bancária"/>
    <x v="4"/>
    <x v="3"/>
    <s v="BANCO DO BRASIL S/A"/>
    <s v="BANCO DO BRASIL S/A"/>
    <m/>
    <m/>
    <s v="Thaynara Borges"/>
    <n v="-15"/>
    <s v="Saída"/>
    <x v="0"/>
  </r>
  <r>
    <x v="87"/>
    <s v="Sarah Alves Lisboa"/>
    <s v="Retirada"/>
    <x v="22"/>
    <x v="8"/>
    <s v="Thaynara Borges Pereira"/>
    <s v="Thaynara Borges Pereira"/>
    <m/>
    <m/>
    <s v="Thaynara Borges"/>
    <n v="-8000"/>
    <s v="Saída"/>
    <x v="0"/>
  </r>
  <r>
    <x v="88"/>
    <s v="Sarah Alves Lisboa"/>
    <s v="DIÁRIAS - MANUTENÇÃO DO ESCRITÓRIO"/>
    <x v="9"/>
    <x v="1"/>
    <s v="ELIZANGELA FERREIRA DA SILVA"/>
    <s v="ELIZANGELA FERREIRA DA SILVA"/>
    <m/>
    <m/>
    <s v="Nathalia Louiz"/>
    <n v="-340"/>
    <s v="Saída"/>
    <x v="0"/>
  </r>
  <r>
    <x v="89"/>
    <s v="Sarah Alves Lisboa"/>
    <s v="Comissão 70% Vanessa: principal e sucumbência (valor nao saiu, Vanessa descontou ao transferir)"/>
    <x v="29"/>
    <x v="7"/>
    <s v="LEILA DIAS MARTINS"/>
    <s v="LEILA DIAS MARTINS"/>
    <m/>
    <s v="SUSPENÇAO DE ALTA MEDICA CONCEDIDA EM APOSENTADORIA POR INVALIDEZ"/>
    <s v="Thaynara Borges"/>
    <n v="-3328.56"/>
    <s v="Saída"/>
    <x v="0"/>
  </r>
  <r>
    <x v="89"/>
    <s v="Sarah Alves Lisboa"/>
    <s v="HONORÁRIOS DE SUCUMBÊNCIA"/>
    <x v="2"/>
    <x v="2"/>
    <s v="Clóvis Ribeiro de Morais Neto"/>
    <s v="Clóvis Ribeiro de Morais Neto"/>
    <m/>
    <s v="AUXILIO DOENÇA"/>
    <s v="Nathalia Louiz"/>
    <n v="24950.35"/>
    <s v="Entrada"/>
    <x v="1"/>
  </r>
  <r>
    <x v="89"/>
    <s v="Sarah Alves Lisboa"/>
    <s v="IMPOSTO SOBRE A NF GERADA (HONORARIOS SOMENTE DA VANESSA)"/>
    <x v="2"/>
    <x v="2"/>
    <s v="ELON NOLETO ROCHA"/>
    <s v="ELON NOLETO ROCHA"/>
    <m/>
    <s v="ELON NOLETO ROCHA x GOIASPREV"/>
    <s v="Thaynara Borges"/>
    <n v="5306.09"/>
    <s v="Entrada"/>
    <x v="1"/>
  </r>
  <r>
    <x v="89"/>
    <s v="Sarah Alves Lisboa"/>
    <s v="Comissão 70% Vanessa (valor nao entrou, Vanessa descontou ao nos passar)"/>
    <x v="29"/>
    <x v="7"/>
    <s v="HERMINIO ALVES DO NASCIMENTO"/>
    <s v="HERMINIO ALVES DO NASCIMENTO"/>
    <m/>
    <s v="APOSENTADORIA ESPECIAL"/>
    <s v="Thaynara Borges"/>
    <n v="-7084.58"/>
    <s v="Saída"/>
    <x v="0"/>
  </r>
  <r>
    <x v="90"/>
    <s v="Sarah Alves Lisboa"/>
    <s v="INDICAÇÃO PARA DR SILVIO CARNEIRO ROSA"/>
    <x v="29"/>
    <x v="7"/>
    <s v="LUENE DE OLIVEIRA GOMES"/>
    <s v="LUENE DE OLIVEIRA GOMES"/>
    <m/>
    <m/>
    <s v="Thaynara Borges"/>
    <n v="-280"/>
    <s v="Saída"/>
    <x v="0"/>
  </r>
  <r>
    <x v="90"/>
    <s v="Sarah Alves Lisboa"/>
    <s v="Cartão de Crédito Dra Thaynara"/>
    <x v="6"/>
    <x v="1"/>
    <s v="C6"/>
    <s v="C6"/>
    <m/>
    <m/>
    <s v="Thaynara Borges"/>
    <n v="-952.25"/>
    <s v="Saída"/>
    <x v="0"/>
  </r>
  <r>
    <x v="90"/>
    <s v="Sarah Alves Lisboa"/>
    <s v="Comissão 20% da RPV para Dra Laiser"/>
    <x v="29"/>
    <x v="7"/>
    <s v="MARIA DO ROSARIO ALVES 169.892.791-68"/>
    <s v="MARIA DO ROSARIO ALVES 169.892.791-68"/>
    <m/>
    <s v="PENSÃO POR MORTE"/>
    <s v="Thaynara Borges"/>
    <n v="-2520.44"/>
    <s v="Saída"/>
    <x v="0"/>
  </r>
  <r>
    <x v="90"/>
    <s v="Lisboa e Lisboa"/>
    <s v="25% sobre a RPV (parceria laiser)"/>
    <x v="2"/>
    <x v="2"/>
    <s v="MARIA DO ROSARIO ALVES 169.892.791-68"/>
    <s v="MARIA DO ROSARIO ALVES 169.892.791-68"/>
    <m/>
    <s v="PENSÃO POR MORTE"/>
    <s v="Thaynara Borges"/>
    <n v="14462.05"/>
    <s v="Entrada"/>
    <x v="1"/>
  </r>
  <r>
    <x v="90"/>
    <s v="Sarah Alves Lisboa"/>
    <s v="Consulta"/>
    <x v="2"/>
    <x v="2"/>
    <s v="LUENE DE OLIVEIRA GOMES"/>
    <s v="LUENE DE OLIVEIRA GOMES"/>
    <m/>
    <m/>
    <s v="Thaynara Borges"/>
    <n v="400"/>
    <s v="Entrada"/>
    <x v="1"/>
  </r>
  <r>
    <x v="90"/>
    <s v="Lisboa e Lisboa"/>
    <s v="50% SOB ATRASADOS - RPV"/>
    <x v="2"/>
    <x v="2"/>
    <s v="SIMONE BERNARDES DA SILVA SANTANA"/>
    <s v="SIMONE BERNARDES DA SILVA SANTANA"/>
    <m/>
    <s v="APOSENTADORIA RURAL"/>
    <s v="Nathalia Louiz"/>
    <n v="6886.99"/>
    <s v="Entrada"/>
    <x v="1"/>
  </r>
  <r>
    <x v="90"/>
    <s v="Lisboa e Lisboa"/>
    <s v="50% sobre a RPV (-70% Wanessa = 3.484,335)"/>
    <x v="2"/>
    <x v="2"/>
    <s v="HERMINIO ALVES DO NASCIMENTO"/>
    <s v="HERMINIO ALVES DO NASCIMENTO"/>
    <m/>
    <s v="APOSENTADORIA ESPECIAL"/>
    <s v="Nathalia Louiz"/>
    <n v="11614.45"/>
    <s v="Entrada"/>
    <x v="1"/>
  </r>
  <r>
    <x v="91"/>
    <s v="Sarah Alves Lisboa"/>
    <s v="Limpeza e manutenção "/>
    <x v="9"/>
    <x v="1"/>
    <s v="ELIZANGELA FERREIRA DA SILVA"/>
    <s v="ELIZANGELA FERREIRA DA SILVA"/>
    <m/>
    <m/>
    <s v="Nathalia Louiz"/>
    <n v="-170"/>
    <s v="Saída"/>
    <x v="0"/>
  </r>
  <r>
    <x v="92"/>
    <s v="Thaynara Borges Pereira"/>
    <s v="Parceria com Dr. Silvio"/>
    <x v="2"/>
    <x v="2"/>
    <s v="ANTONIO PEREIRA SOBRINHO"/>
    <s v="ANTONIO PEREIRA SOBRINHO"/>
    <m/>
    <m/>
    <s v="Thaynara Borges"/>
    <n v="354"/>
    <s v="Entrada"/>
    <x v="2"/>
  </r>
  <r>
    <x v="93"/>
    <s v="Lisboa e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2"/>
  </r>
  <r>
    <x v="94"/>
    <s v="Lisboa e Lisboa"/>
    <s v="IPTU - BOX 83"/>
    <x v="30"/>
    <x v="1"/>
    <s v="PREFEITURA MUNICIPAL DE GOIÂNIA"/>
    <s v="PREFEITURA MUNICIPAL DE GOIÂNIA"/>
    <m/>
    <m/>
    <s v="Nathalia Louiz"/>
    <n v="-42.74"/>
    <s v="Saída"/>
    <x v="0"/>
  </r>
  <r>
    <x v="94"/>
    <s v="Lisboa e Lisboa"/>
    <s v="INSS"/>
    <x v="19"/>
    <x v="6"/>
    <s v="RECEITA FEDERAL"/>
    <s v="RECEITA FEDERAL"/>
    <m/>
    <m/>
    <s v="Thaynara Borges"/>
    <n v="-2479.9499999999998"/>
    <s v="Saída"/>
    <x v="0"/>
  </r>
  <r>
    <x v="94"/>
    <s v="Lisboa e Lisboa"/>
    <s v="3 Benefícios em Parcela Única"/>
    <x v="2"/>
    <x v="2"/>
    <s v="CAIRO OSMUNDO DA SILVA"/>
    <s v="CAIRO OSMUNDO DA SILVA"/>
    <m/>
    <s v="APOSENTADORIA RURAL"/>
    <s v="Nathalia Louiz"/>
    <n v="6879"/>
    <s v="Entrada"/>
    <x v="1"/>
  </r>
  <r>
    <x v="94"/>
    <s v="Lisboa e Lisboa"/>
    <s v="IPTU - SALA B74"/>
    <x v="30"/>
    <x v="1"/>
    <s v="PREFEITURA MUNICIPAL DE GOIÂNIA"/>
    <s v="PREFEITURA MUNICIPAL DE GOIÂNIA"/>
    <m/>
    <m/>
    <s v="Nathalia Louiz"/>
    <n v="-125.52"/>
    <s v="Saída"/>
    <x v="0"/>
  </r>
  <r>
    <x v="94"/>
    <s v="Lisboa e Lisboa"/>
    <s v="IPTU - BOX 82"/>
    <x v="30"/>
    <x v="1"/>
    <s v="PREFEITURA MUNICIPAL DE GOIÂNIA"/>
    <s v="PREFEITURA MUNICIPAL DE GOIÂNIA"/>
    <s v=""/>
    <m/>
    <s v="Nathalia Louiz"/>
    <n v="-42.74"/>
    <s v="Saída"/>
    <x v="0"/>
  </r>
  <r>
    <x v="94"/>
    <s v="Lisboa e Lisboa"/>
    <s v="Água"/>
    <x v="17"/>
    <x v="1"/>
    <s v="SANEAGO GOIAS S/A"/>
    <s v="SANEAGO GOIAS S/A"/>
    <m/>
    <m/>
    <s v="Thaynara Borges"/>
    <n v="-134.25"/>
    <s v="Saída"/>
    <x v="0"/>
  </r>
  <r>
    <x v="94"/>
    <s v="Lisboa e Lisboa"/>
    <s v="IPTU - BOX 81"/>
    <x v="30"/>
    <x v="1"/>
    <s v="PREFEITURA MUNICIPAL DE GOIÂNIA"/>
    <s v="PREFEITURA MUNICIPAL DE GOIÂNIA"/>
    <m/>
    <m/>
    <s v="Nathalia Louiz"/>
    <n v="-42.74"/>
    <s v="Saída"/>
    <x v="0"/>
  </r>
  <r>
    <x v="94"/>
    <s v="Lisboa e Lisboa"/>
    <s v="FGTS"/>
    <x v="18"/>
    <x v="6"/>
    <s v="FGTS"/>
    <s v="FGTS"/>
    <m/>
    <m/>
    <s v="Thaynara Borges"/>
    <n v="-430.52"/>
    <s v="Saída"/>
    <x v="0"/>
  </r>
  <r>
    <x v="94"/>
    <s v="Lisboa e Lisboa"/>
    <s v="IPTU - BOX 78"/>
    <x v="30"/>
    <x v="1"/>
    <s v="PREFEITURA MUNICIPAL DE GOIÂNIA"/>
    <s v="PREFEITURA MUNICIPAL DE GOIÂNIA"/>
    <m/>
    <m/>
    <s v="Nathalia Louiz"/>
    <n v="-42.74"/>
    <s v="Saída"/>
    <x v="0"/>
  </r>
  <r>
    <x v="94"/>
    <s v="Lisboa e Lisboa"/>
    <s v="IPTU - BOX 88"/>
    <x v="30"/>
    <x v="1"/>
    <s v="PREFEITURA MUNICIPAL DE GOIÂNIA"/>
    <s v="PREFEITURA MUNICIPAL DE GOIÂNIA"/>
    <m/>
    <m/>
    <s v="Nathalia Louiz"/>
    <n v="-42.74"/>
    <s v="Saída"/>
    <x v="0"/>
  </r>
  <r>
    <x v="94"/>
    <s v="Lisboa e Lisboa"/>
    <s v="Simples Nacional"/>
    <x v="20"/>
    <x v="7"/>
    <s v="Simples Nacional"/>
    <s v="Simples Nacional"/>
    <m/>
    <m/>
    <s v="Thaynara Borges"/>
    <n v="-4804.53"/>
    <s v="Saída"/>
    <x v="0"/>
  </r>
  <r>
    <x v="95"/>
    <s v="Sarah Alves Lisboa"/>
    <s v="Suprimentos"/>
    <x v="11"/>
    <x v="1"/>
    <s v="SUPERMERCADO MOREIRA"/>
    <s v="SUPERMERCADO MOREIRA"/>
    <m/>
    <m/>
    <s v="Nathalia Louiz"/>
    <n v="-49.85"/>
    <s v="Saída"/>
    <x v="0"/>
  </r>
  <r>
    <x v="95"/>
    <s v="Sarah Alves Lisboa"/>
    <s v="Hospedagem"/>
    <x v="5"/>
    <x v="4"/>
    <s v="IMPERIO VIAGEM E TURISMO"/>
    <s v="IMPERIO VIAGEM E TURISMO"/>
    <m/>
    <m/>
    <s v="Nathalia Louiz"/>
    <n v="-664.35"/>
    <s v="Saída"/>
    <x v="0"/>
  </r>
  <r>
    <x v="96"/>
    <s v="Lisboa e Lisboa"/>
    <s v="Identidade Visual"/>
    <x v="33"/>
    <x v="4"/>
    <s v="SOMMA DESIGN STUDIO LTDA"/>
    <s v="SOMMA DESIGN STUDIO LTDA"/>
    <m/>
    <m/>
    <s v="Nathalia Louiz"/>
    <n v="-4371.84"/>
    <s v="Saída"/>
    <x v="0"/>
  </r>
  <r>
    <x v="96"/>
    <s v="Thaynara Borges Pereira"/>
    <s v="DIÁRIAS - MANUTENÇÃO DO ESCRITÓRIO"/>
    <x v="9"/>
    <x v="1"/>
    <s v="ELIZANGELA FERREIRA DA SILVA"/>
    <s v="ELIZANGELA FERREIRA DA SILVA"/>
    <m/>
    <m/>
    <s v="Nathalia Louiz"/>
    <n v="-340"/>
    <s v="Saída"/>
    <x v="0"/>
  </r>
  <r>
    <x v="97"/>
    <s v="Sarah Alves Lisboa"/>
    <s v="Certidão de Militância"/>
    <x v="7"/>
    <x v="5"/>
    <s v="SANDRA MARIA SOARES"/>
    <s v="SANDRA MARIA SOARES"/>
    <m/>
    <s v="RESTABELECIMENTO AUXILIO DOENÇA"/>
    <s v="Nathalia Louiz"/>
    <n v="-21.73"/>
    <s v="Saída"/>
    <x v="0"/>
  </r>
  <r>
    <x v="97"/>
    <s v="Sarah Alves Lisboa"/>
    <s v="Certidão de Militância"/>
    <x v="7"/>
    <x v="5"/>
    <s v="AMARILDO DE MOURA"/>
    <s v="AMARILDO DE MOURA"/>
    <m/>
    <s v="APOSENTADORIA"/>
    <s v="Nathalia Louiz"/>
    <n v="-21.73"/>
    <s v="Saída"/>
    <x v="0"/>
  </r>
  <r>
    <x v="97"/>
    <s v="Lisboa e Lisboa"/>
    <s v="Suprimentos"/>
    <x v="26"/>
    <x v="1"/>
    <s v="R3 SUPRIMENTOS CORPORATIVOS LTDA"/>
    <s v="R3 SUPRIMENTOS CORPORATIVOS LTDA"/>
    <m/>
    <m/>
    <s v="Nathalia Louiz"/>
    <n v="-501.99"/>
    <s v="Saída"/>
    <x v="0"/>
  </r>
  <r>
    <x v="97"/>
    <s v="Sarah Alves Lisboa"/>
    <s v="Certidão de Militância"/>
    <x v="7"/>
    <x v="5"/>
    <s v="MARIA DA SILVA NOGUEIRA"/>
    <s v="MARIA DA SILVA NOGUEIRA"/>
    <m/>
    <s v="ATRASADOS"/>
    <s v="Nathalia Louiz"/>
    <n v="-21.73"/>
    <s v="Saída"/>
    <x v="0"/>
  </r>
  <r>
    <x v="97"/>
    <s v="Sarah Alves Lisboa"/>
    <s v="ALIMENTAÇÃO VIAGEM"/>
    <x v="11"/>
    <x v="1"/>
    <s v="JERIVA"/>
    <s v="JERIVA"/>
    <m/>
    <m/>
    <s v="Nathalia Louiz"/>
    <n v="-39.6"/>
    <s v="Saída"/>
    <x v="0"/>
  </r>
  <r>
    <x v="97"/>
    <s v="Sarah Alves Lisboa"/>
    <s v="COMBUSTIVEL VIAGEM"/>
    <x v="27"/>
    <x v="4"/>
    <s v="POSTO SHUKRAN"/>
    <s v="POSTO SHUKRAN"/>
    <m/>
    <m/>
    <s v="Nathalia Louiz"/>
    <n v="-143.57"/>
    <s v="Saída"/>
    <x v="0"/>
  </r>
  <r>
    <x v="97"/>
    <s v="Sarah Alves Lisboa"/>
    <s v="ALIMENTAÇÃO - VIAGEM"/>
    <x v="11"/>
    <x v="1"/>
    <s v="SUPERMERCADO MOREIRA"/>
    <s v="SUPERMERCADO MOREIRA"/>
    <m/>
    <m/>
    <s v="Nathalia Louiz"/>
    <n v="-12.96"/>
    <s v="Saída"/>
    <x v="0"/>
  </r>
  <r>
    <x v="98"/>
    <s v="Sarah Alves Lisboa"/>
    <s v="COMBUSTIVEL VIAGEM"/>
    <x v="27"/>
    <x v="4"/>
    <s v="POSTO GM"/>
    <s v="POSTO GM"/>
    <m/>
    <m/>
    <s v="Nathalia Louiz"/>
    <n v="-122.3"/>
    <s v="Saída"/>
    <x v="0"/>
  </r>
  <r>
    <x v="98"/>
    <s v="Sarah Alves Lisboa"/>
    <s v="30% sobre a RPV"/>
    <x v="2"/>
    <x v="2"/>
    <s v="WANADY JARBAS GRACIO SOARES"/>
    <s v="WANADY JARBAS GRACIO SOARES"/>
    <m/>
    <s v="AUXILIO DOENÇA"/>
    <s v="Thaynara Borges"/>
    <n v="435.79"/>
    <s v="Entrada"/>
    <x v="1"/>
  </r>
  <r>
    <x v="98"/>
    <s v="Lisboa e Lisboa"/>
    <s v="Energia contrato 0067122721"/>
    <x v="21"/>
    <x v="1"/>
    <s v="EQUATORIAL GOIAS 0067122721"/>
    <s v="EQUATORIAL GOIAS 0067122721"/>
    <m/>
    <m/>
    <s v="Thaynara Borges"/>
    <n v="-643.27"/>
    <s v="Saída"/>
    <x v="0"/>
  </r>
  <r>
    <x v="98"/>
    <s v="Sarah Alves Lisboa"/>
    <s v="COMBUSTIVEL VIAGEM"/>
    <x v="27"/>
    <x v="4"/>
    <s v="POSTO GM"/>
    <s v="POSTO GM"/>
    <m/>
    <m/>
    <s v="Nathalia Louiz"/>
    <n v="-6"/>
    <s v="Saída"/>
    <x v="0"/>
  </r>
  <r>
    <x v="98"/>
    <s v="Lisboa e Lisboa"/>
    <s v="Energia contrato 0067122663"/>
    <x v="21"/>
    <x v="1"/>
    <s v="EQUATORIAL GOIAS 0067122663"/>
    <s v="EQUATORIAL GOIAS 0067122663"/>
    <m/>
    <m/>
    <s v="Thaynara Borges"/>
    <n v="-538.15"/>
    <s v="Saída"/>
    <x v="0"/>
  </r>
  <r>
    <x v="98"/>
    <s v="Sarah Alves Lisboa"/>
    <s v="20% sob implantação"/>
    <x v="2"/>
    <x v="2"/>
    <s v="PAULA EMILYE ROSA"/>
    <s v="PAULA EMILYE ROSA"/>
    <m/>
    <s v="SALÁRIO MATERNIDADE"/>
    <s v="Nathalia Louiz"/>
    <n v="1396.65"/>
    <s v="Entrada"/>
    <x v="1"/>
  </r>
  <r>
    <x v="99"/>
    <s v="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99"/>
    <s v="Lisboa e Lisboa"/>
    <s v="Rescisão Contratual"/>
    <x v="15"/>
    <x v="6"/>
    <s v="Katyucia Gomes"/>
    <s v="Katyucia Gomes"/>
    <m/>
    <m/>
    <s v="Thaynara Borges"/>
    <n v="-3748.74"/>
    <s v="Saída"/>
    <x v="0"/>
  </r>
  <r>
    <x v="99"/>
    <s v="Thaynara Borges Pereira"/>
    <s v="30% Dr Silvio"/>
    <x v="29"/>
    <x v="7"/>
    <s v="PAULA EMILYE ROSA"/>
    <s v="PAULA EMILYE ROSA"/>
    <m/>
    <s v="SALÁRIO MATERNIDADE"/>
    <s v="Nathalia Louiz"/>
    <n v="-418.99"/>
    <s v="Saída"/>
    <x v="0"/>
  </r>
  <r>
    <x v="99"/>
    <s v="Lisboa e Lisboa"/>
    <s v="FGTS DE RESCISÃO"/>
    <x v="18"/>
    <x v="6"/>
    <s v="INSS - INSTITUTO NACIONAL DO SEGURO SOCIAL"/>
    <s v="INSS - INSTITUTO NACIONAL DO SEGURO SOCIAL"/>
    <m/>
    <m/>
    <s v="Nathalia Louiz"/>
    <n v="-303.33"/>
    <s v="Saída"/>
    <x v="0"/>
  </r>
  <r>
    <x v="99"/>
    <s v="Sarah Alves Lisboa"/>
    <s v="Retirada"/>
    <x v="22"/>
    <x v="8"/>
    <s v="Thaynara Borges Pereira"/>
    <s v="Thaynara Borges Pereira"/>
    <m/>
    <m/>
    <s v="Thaynara Borges"/>
    <n v="-3648.98"/>
    <s v="Saída"/>
    <x v="0"/>
  </r>
  <r>
    <x v="99"/>
    <s v="Lisboa e Lisboa"/>
    <s v="Bolsa Estagio"/>
    <x v="13"/>
    <x v="6"/>
    <s v="Laura Barbosa Marques"/>
    <s v="Laura Barbosa Marques"/>
    <m/>
    <m/>
    <s v="Thaynara Borges"/>
    <n v="-1300"/>
    <s v="Saída"/>
    <x v="0"/>
  </r>
  <r>
    <x v="99"/>
    <s v="Thaynara Borges Pereir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99"/>
    <s v="Lisboa e Lisboa"/>
    <s v="DÍVIDA DO SIMPLES NACIONAL"/>
    <x v="20"/>
    <x v="7"/>
    <s v="Simples Nacional"/>
    <s v="Simples Nacional"/>
    <m/>
    <m/>
    <s v="Nathalia Louiz"/>
    <n v="-3074.22"/>
    <s v="Saída"/>
    <x v="0"/>
  </r>
  <r>
    <x v="99"/>
    <s v="Lisboa e Lisboa"/>
    <s v="Salário"/>
    <x v="15"/>
    <x v="6"/>
    <s v="Nina Araujo"/>
    <s v="Nina Araujo"/>
    <m/>
    <m/>
    <s v="Thaynara Borges"/>
    <n v="-3195.89"/>
    <s v="Saída"/>
    <x v="0"/>
  </r>
  <r>
    <x v="99"/>
    <s v="Sarah Alves Lisboa"/>
    <s v="Comissão evento de Brasilia"/>
    <x v="29"/>
    <x v="7"/>
    <s v="Laura Barbosa Marques"/>
    <s v="Laura Barbosa Marques"/>
    <m/>
    <m/>
    <s v="Thaynara Borges"/>
    <n v="-200"/>
    <s v="Saída"/>
    <x v="0"/>
  </r>
  <r>
    <x v="99"/>
    <s v="Sarah Alves Lisboa"/>
    <s v="TAXA DE TED (4 operações de R$12,70)"/>
    <x v="31"/>
    <x v="9"/>
    <s v="BANCO ITAU"/>
    <s v="BANCO ITAU"/>
    <m/>
    <m/>
    <s v="Nathalia Louiz"/>
    <n v="-50.8"/>
    <s v="Saída"/>
    <x v="0"/>
  </r>
  <r>
    <x v="99"/>
    <s v="Lisboa e Lisboa"/>
    <s v="Salário"/>
    <x v="15"/>
    <x v="6"/>
    <s v="Raffaela Nunes"/>
    <s v="Raffaela Nunes"/>
    <m/>
    <m/>
    <s v="Thaynara Borges"/>
    <n v="-2570.6"/>
    <s v="Saída"/>
    <x v="0"/>
  </r>
  <r>
    <x v="99"/>
    <s v="Sarah Alves Lisboa"/>
    <s v="Retirada"/>
    <x v="22"/>
    <x v="8"/>
    <s v="Sarah Alves Lisboa"/>
    <s v="Sarah Alves Lisboa"/>
    <m/>
    <m/>
    <s v="Thaynara Borges"/>
    <n v="-6148.98"/>
    <s v="Saída"/>
    <x v="0"/>
  </r>
  <r>
    <x v="99"/>
    <s v="Lisboa e Lisboa"/>
    <s v="PRÓ-LABORE"/>
    <x v="23"/>
    <x v="8"/>
    <s v="Sarah Alves Lisboa"/>
    <s v="Sarah Alves Lisboa"/>
    <m/>
    <m/>
    <s v="Thaynara Borges"/>
    <n v="-1351.02"/>
    <s v="Saída"/>
    <x v="0"/>
  </r>
  <r>
    <x v="99"/>
    <s v="Lisboa e Lisboa"/>
    <s v="PRÓ-LABORE"/>
    <x v="23"/>
    <x v="8"/>
    <s v="Thaynara Borges Pereira"/>
    <s v="Thaynara Borges Pereira"/>
    <m/>
    <m/>
    <s v="Thaynara Borges"/>
    <n v="-1351.02"/>
    <s v="Saída"/>
    <x v="0"/>
  </r>
  <r>
    <x v="100"/>
    <s v="Cartão de Crédito Dr Ivanildo"/>
    <s v="CANAÃ FRIOS"/>
    <x v="11"/>
    <x v="1"/>
    <s v="BANCO ITAU"/>
    <s v="BANCO ITAU"/>
    <m/>
    <m/>
    <s v="Nathalia Louiz"/>
    <n v="-56.54"/>
    <s v="Saída"/>
    <x v="0"/>
  </r>
  <r>
    <x v="100"/>
    <s v="Cartão de Crédito Dr Ivanildo"/>
    <s v="Pagamento Cartão de Crédito Dr Ivanildo"/>
    <x v="6"/>
    <x v="1"/>
    <s v="BANCO ITAU"/>
    <s v="BANCO ITAU"/>
    <m/>
    <m/>
    <s v="Thaynara Borges"/>
    <n v="1859.47"/>
    <s v="Entrada"/>
    <x v="1"/>
  </r>
  <r>
    <x v="100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100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100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100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00"/>
    <s v="Cartão de Crédito Dr Ivanildo"/>
    <s v="Google One"/>
    <x v="12"/>
    <x v="1"/>
    <s v="BANCO ITAU"/>
    <s v="BANCO ITAU"/>
    <m/>
    <m/>
    <s v="Thaynara Borges"/>
    <n v="-49.99"/>
    <s v="Saída"/>
    <x v="0"/>
  </r>
  <r>
    <x v="100"/>
    <s v="Itaú - Lisboa e Lisboa"/>
    <s v="SERVIÇOS DE TI"/>
    <x v="3"/>
    <x v="1"/>
    <s v="Rhuan Carlos Batista"/>
    <s v="Rhuan Carlos Batista"/>
    <m/>
    <m/>
    <s v="Nathalia Louiz"/>
    <n v="-200"/>
    <s v="Saída"/>
    <x v="0"/>
  </r>
  <r>
    <x v="100"/>
    <s v="Cartão de Crédito Dr Ivanildo"/>
    <s v="Jusbrasil"/>
    <x v="12"/>
    <x v="1"/>
    <s v="BANCO ITAU"/>
    <s v="BANCO ITAU"/>
    <m/>
    <m/>
    <s v="Thaynara Borges"/>
    <n v="-58.9"/>
    <s v="Saída"/>
    <x v="0"/>
  </r>
  <r>
    <x v="100"/>
    <s v="Cartão de Crédito Dr Ivanildo"/>
    <s v="CANAÃ FRIOS"/>
    <x v="11"/>
    <x v="1"/>
    <s v="BANCO ITAU"/>
    <s v="BANCO ITAU"/>
    <m/>
    <m/>
    <s v="Nathalia Louiz"/>
    <n v="-44.76"/>
    <s v="Saída"/>
    <x v="0"/>
  </r>
  <r>
    <x v="100"/>
    <s v="Cartão de Crédito Dr Ivanildo"/>
    <s v="Prévius"/>
    <x v="12"/>
    <x v="1"/>
    <s v="BANCO ITAU"/>
    <s v="BANCO ITAU"/>
    <m/>
    <m/>
    <s v="Thaynara Borges"/>
    <n v="-80.91"/>
    <s v="Saída"/>
    <x v="0"/>
  </r>
  <r>
    <x v="100"/>
    <s v="Cartão de Crédito Dr Ivanildo"/>
    <s v="Jusbrasil"/>
    <x v="12"/>
    <x v="1"/>
    <s v="BANCO ITAU"/>
    <s v="BANCO ITAU"/>
    <m/>
    <m/>
    <s v="Thaynara Borges"/>
    <n v="-58.9"/>
    <s v="Saída"/>
    <x v="0"/>
  </r>
  <r>
    <x v="100"/>
    <s v="Cartão de Crédito Dr Ivanildo"/>
    <s v="DROGASIL"/>
    <x v="37"/>
    <x v="6"/>
    <s v="BANCO ITAU"/>
    <s v="BANCO ITAU"/>
    <m/>
    <m/>
    <s v="Nathalia Louiz"/>
    <n v="-120.87"/>
    <s v="Saída"/>
    <x v="0"/>
  </r>
  <r>
    <x v="100"/>
    <s v="Cartão de Crédito Dr Ivanildo"/>
    <s v="NORD 23"/>
    <x v="11"/>
    <x v="1"/>
    <s v="BANCO ITAU"/>
    <s v="BANCO ITAU"/>
    <m/>
    <m/>
    <s v="Nathalia Louiz"/>
    <n v="-577.54"/>
    <s v="Saída"/>
    <x v="0"/>
  </r>
  <r>
    <x v="100"/>
    <s v="Cartão de Crédito Dr Ivanildo"/>
    <s v="Google One"/>
    <x v="12"/>
    <x v="1"/>
    <s v="BANCO ITAU"/>
    <s v="BANCO ITAU"/>
    <m/>
    <m/>
    <s v="Thaynara Borges"/>
    <n v="-14.99"/>
    <s v="Saída"/>
    <x v="0"/>
  </r>
  <r>
    <x v="100"/>
    <s v="Cartão de Crédito Dr Ivanildo"/>
    <s v="CANAÃ FRIOS"/>
    <x v="11"/>
    <x v="1"/>
    <s v="BANCO ITAU"/>
    <s v="BANCO ITAU"/>
    <m/>
    <m/>
    <s v="Nathalia Louiz"/>
    <n v="-56.63"/>
    <s v="Saída"/>
    <x v="0"/>
  </r>
  <r>
    <x v="100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100"/>
    <s v="Cartão de Crédito Dr Ivanildo"/>
    <s v="ASA CURSOS"/>
    <x v="34"/>
    <x v="6"/>
    <s v="BANCO ITAU"/>
    <s v="BANCO ITAU"/>
    <m/>
    <m/>
    <s v="Nathalia Louiz"/>
    <n v="-59.9"/>
    <s v="Saída"/>
    <x v="0"/>
  </r>
  <r>
    <x v="100"/>
    <s v="Banco do Brasil - Sarah Alves Lisboa"/>
    <s v="Confraternização de 21/05"/>
    <x v="11"/>
    <x v="1"/>
    <s v="Nina Araujo"/>
    <s v="Nina Araujo"/>
    <m/>
    <m/>
    <s v="Thaynara Borges"/>
    <n v="-164.6"/>
    <s v="Saída"/>
    <x v="0"/>
  </r>
  <r>
    <x v="100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100"/>
    <s v="Cartão de Crédito Dr Ivanildo"/>
    <s v="ASSAI ATACADISTA"/>
    <x v="26"/>
    <x v="1"/>
    <s v="BANCO ITAU"/>
    <s v="BANCO ITAU"/>
    <m/>
    <m/>
    <s v="Nathalia Louiz"/>
    <n v="-206.5"/>
    <s v="Saída"/>
    <x v="0"/>
  </r>
  <r>
    <x v="101"/>
    <s v="Itaú - Lisboa e Lisboa"/>
    <s v="Taxa de Condomínio Vaga Garagem A-88"/>
    <x v="10"/>
    <x v="1"/>
    <s v="ATON BUSINESS STYLE"/>
    <s v="ATON BUSINESS STYLE"/>
    <m/>
    <m/>
    <s v="Thaynara Borges"/>
    <n v="-67.58"/>
    <s v="Saída"/>
    <x v="0"/>
  </r>
  <r>
    <x v="101"/>
    <s v="Cartão de Crédito Dra Thaynara"/>
    <s v="Cálculo Jurídico"/>
    <x v="12"/>
    <x v="1"/>
    <s v="C6"/>
    <s v="C6"/>
    <m/>
    <m/>
    <s v="Thaynara Borges"/>
    <n v="-120.29"/>
    <s v="Saída"/>
    <x v="0"/>
  </r>
  <r>
    <x v="101"/>
    <s v="Itaú - Lisboa e Lisboa"/>
    <s v="Cartão de Crédito Dr Ivanilldo"/>
    <x v="6"/>
    <x v="1"/>
    <s v="BANCO ITAU"/>
    <s v="BANCO ITAU"/>
    <m/>
    <m/>
    <s v="Thaynara Borges"/>
    <n v="-1859.47"/>
    <s v="Saída"/>
    <x v="0"/>
  </r>
  <r>
    <x v="101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101"/>
    <s v="Cartão de Crédito Dra Thaynara"/>
    <s v="Pagamento Cartão de Crédito Dra Thaynara"/>
    <x v="6"/>
    <x v="1"/>
    <s v="C6"/>
    <s v="C6"/>
    <m/>
    <m/>
    <s v="Nathalia Louiz"/>
    <n v="952.25"/>
    <s v="Entrada"/>
    <x v="1"/>
  </r>
  <r>
    <x v="101"/>
    <s v="Banco do Brasil - Sarah Alves Lisboa"/>
    <s v="ANUIDADE 12X"/>
    <x v="2"/>
    <x v="2"/>
    <s v="ANA PEREIRA DA SILVA JESUS"/>
    <s v="ANA PEREIRA DA SILVA JESUS"/>
    <m/>
    <s v="AMPARA AO IDOSO"/>
    <s v="Nathalia Louiz"/>
    <n v="303.60000000000002"/>
    <s v="Entrada"/>
    <x v="1"/>
  </r>
  <r>
    <x v="101"/>
    <s v="Cartão de Crédito Dra Thaynara"/>
    <s v="ASTREA"/>
    <x v="12"/>
    <x v="1"/>
    <s v="C6"/>
    <s v="C6"/>
    <m/>
    <m/>
    <s v="Thaynara Borges"/>
    <n v="-456.75"/>
    <s v="Saída"/>
    <x v="0"/>
  </r>
  <r>
    <x v="101"/>
    <s v="Itaú - Lisboa e Lisboa"/>
    <s v="Taxa de Condomínio Vaga Garagem A-82"/>
    <x v="10"/>
    <x v="1"/>
    <s v="ATON BUSINESS STYLE"/>
    <s v="ATON BUSINESS STYLE"/>
    <m/>
    <m/>
    <s v="Thaynara Borges"/>
    <n v="-67.58"/>
    <s v="Saída"/>
    <x v="0"/>
  </r>
  <r>
    <x v="101"/>
    <s v="Itaú - Lisboa e Lisboa"/>
    <s v="Taxa de Condomínio Vaga Garagem A-81"/>
    <x v="10"/>
    <x v="1"/>
    <s v="ATON BUSINESS STYLE"/>
    <s v="ATON BUSINESS STYLE"/>
    <m/>
    <m/>
    <s v="Thaynara Borges"/>
    <n v="-67.58"/>
    <s v="Saída"/>
    <x v="0"/>
  </r>
  <r>
    <x v="101"/>
    <s v="Itaú - Lisboa e Lisboa"/>
    <s v="Taxa de Condomínio Sala B-73"/>
    <x v="10"/>
    <x v="1"/>
    <s v="ATON BUSINESS STYLE"/>
    <s v="ATON BUSINESS STYLE"/>
    <m/>
    <m/>
    <s v="Thaynara Borges"/>
    <n v="-1378.53"/>
    <s v="Saída"/>
    <x v="0"/>
  </r>
  <r>
    <x v="101"/>
    <s v="Itaú - Lisboa e Lisboa"/>
    <s v="Taxa de Condomínio Vaga Garagem A-78"/>
    <x v="10"/>
    <x v="1"/>
    <s v="ATON BUSINESS STYLE"/>
    <s v="ATON BUSINESS STYLE"/>
    <m/>
    <m/>
    <s v="Thaynara Borges"/>
    <n v="-67.58"/>
    <s v="Saída"/>
    <x v="0"/>
  </r>
  <r>
    <x v="101"/>
    <s v="Cartão de Crédito Dra Thaynara"/>
    <s v="GOOGLE GSUITE_PREVLEX."/>
    <x v="12"/>
    <x v="1"/>
    <s v="C6"/>
    <s v="C6"/>
    <m/>
    <m/>
    <s v="Thaynara Borges"/>
    <n v="-126"/>
    <s v="Saída"/>
    <x v="0"/>
  </r>
  <r>
    <x v="101"/>
    <s v="Itaú - Lisboa e Lisboa"/>
    <s v="Plano mensal - conta corrente"/>
    <x v="4"/>
    <x v="3"/>
    <s v="BANCO ITAU"/>
    <s v="BANCO ITAU"/>
    <m/>
    <m/>
    <s v="Thaynara Borges"/>
    <n v="-79.5"/>
    <s v="Saída"/>
    <x v="0"/>
  </r>
  <r>
    <x v="101"/>
    <s v="Itaú - Lisboa e Lisboa"/>
    <s v="Taxa de Condomínio Vaga Garagem A-83"/>
    <x v="10"/>
    <x v="1"/>
    <s v="ATON BUSINESS STYLE"/>
    <s v="ATON BUSINESS STYLE"/>
    <m/>
    <m/>
    <s v="Thaynara Borges"/>
    <n v="-67.58"/>
    <s v="Saída"/>
    <x v="0"/>
  </r>
  <r>
    <x v="101"/>
    <s v="Itaú - Lisboa e Lisboa"/>
    <s v="Taxa de Condomínio Sala B-74"/>
    <x v="10"/>
    <x v="1"/>
    <s v="ATON BUSINESS STYLE"/>
    <s v="ATON BUSINESS STYLE"/>
    <m/>
    <m/>
    <s v="Thaynara Borges"/>
    <n v="-1379.08"/>
    <s v="Saída"/>
    <x v="0"/>
  </r>
  <r>
    <x v="102"/>
    <s v="Banco do Brasil - Sarah Alves Lisboa"/>
    <s v="PLANEJAMENTO"/>
    <x v="2"/>
    <x v="2"/>
    <s v="ISMAEL ALVES MADUREIRA"/>
    <s v="ISMAEL ALVES MADUREIRA"/>
    <m/>
    <m/>
    <s v="Nathalia Louiz"/>
    <n v="300"/>
    <s v="Entrada"/>
    <x v="1"/>
  </r>
  <r>
    <x v="102"/>
    <s v="Banco do Brasil - Sarah Alves Lisboa"/>
    <s v="Implantação 30%"/>
    <x v="2"/>
    <x v="2"/>
    <s v="VALDECI ALVES MOREIRA"/>
    <s v="VALDECI ALVES MOREIRA"/>
    <m/>
    <s v="AUXILIO DOENÇA"/>
    <s v="Thaynara Borges"/>
    <n v="1961.23"/>
    <s v="Entrada"/>
    <x v="1"/>
  </r>
  <r>
    <x v="102"/>
    <s v="Itaú - Lisboa e Lisboa"/>
    <s v="Celular"/>
    <x v="8"/>
    <x v="1"/>
    <s v="VIVO"/>
    <s v="VIVO"/>
    <m/>
    <m/>
    <s v="Thaynara Borges"/>
    <n v="-137.37"/>
    <s v="Saída"/>
    <x v="0"/>
  </r>
  <r>
    <x v="102"/>
    <s v="Banco do Brasil - Sarah Alves Lisboa"/>
    <s v="30% SOB IMPLANTAÇÃO"/>
    <x v="2"/>
    <x v="2"/>
    <s v="MARIA EVA PEREIRA DE QUEIROZ"/>
    <s v="MARIA EVA PEREIRA DE QUEIROZ"/>
    <m/>
    <s v="BENEFÍCIO POR INCAPACIDADE"/>
    <s v="Nathalia Louiz"/>
    <n v="1005.55"/>
    <s v="Entrada"/>
    <x v="1"/>
  </r>
  <r>
    <x v="103"/>
    <s v="Banco do Brasil - Sarah Alves Lisboa"/>
    <s v="Implantação 30%"/>
    <x v="2"/>
    <x v="2"/>
    <s v="VERA LUCIA PEREIRA DE OLIVEIRA"/>
    <s v="VERA LUCIA PEREIRA DE OLIVEIRA"/>
    <m/>
    <s v="BENEFÍCIO POR INCAPACIDADE"/>
    <s v="Thaynara Borges"/>
    <n v="910.8"/>
    <s v="Entrada"/>
    <x v="1"/>
  </r>
  <r>
    <x v="104"/>
    <s v="Banco do Brasil - Sarah Alves Lisboa"/>
    <s v="Cha de Bebe Surpresa"/>
    <x v="11"/>
    <x v="1"/>
    <s v="Sarah Alves Lisboa"/>
    <s v="Sarah Alves Lisboa"/>
    <m/>
    <m/>
    <s v="Thaynara Borges"/>
    <n v="-189.68"/>
    <s v="Saída"/>
    <x v="0"/>
  </r>
  <r>
    <x v="104"/>
    <s v="Itaú - Lisboa e Lisboa"/>
    <s v="Renovação de Certificado Digital PJ"/>
    <x v="12"/>
    <x v="1"/>
    <s v="ZOOP tecnologia"/>
    <s v="ZOOP tecnologia"/>
    <m/>
    <m/>
    <s v="Nathalia Louiz"/>
    <n v="-250"/>
    <s v="Saída"/>
    <x v="0"/>
  </r>
  <r>
    <x v="104"/>
    <s v="Itaú - Lisboa e Lisboa"/>
    <s v="CONTRATO 9621661899"/>
    <x v="8"/>
    <x v="1"/>
    <s v="VIVO FIXO"/>
    <s v="VIVO FIXO"/>
    <m/>
    <m/>
    <s v="Thaynara Borges"/>
    <n v="-259.27"/>
    <s v="Saída"/>
    <x v="0"/>
  </r>
  <r>
    <x v="104"/>
    <s v="Itaú - Lisboa e Lisboa"/>
    <s v="CONTRATO 9309114969"/>
    <x v="8"/>
    <x v="1"/>
    <s v="VIVO FIXO"/>
    <s v="VIVO FIXO"/>
    <m/>
    <m/>
    <s v="Thaynara Borges"/>
    <n v="-127.08"/>
    <s v="Saída"/>
    <x v="0"/>
  </r>
  <r>
    <x v="105"/>
    <s v="Banco do Brasil - 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105"/>
    <s v="Itaú - Lisboa e Lisboa"/>
    <s v="2 Benefícios parcelados em 6x"/>
    <x v="2"/>
    <x v="2"/>
    <s v="ISABEL PEREIRA SOUSA"/>
    <s v="ISABEL PEREIRA SOUSA"/>
    <m/>
    <s v="APOSENTADORIA POR IDADE"/>
    <s v="Thaynara Borges"/>
    <n v="370"/>
    <s v="Entrada"/>
    <x v="1"/>
  </r>
  <r>
    <x v="105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05"/>
    <s v="Itaú - Lisboa e Lisboa"/>
    <s v="30% do periodo 07/02/2022 - 31/07/2023"/>
    <x v="2"/>
    <x v="2"/>
    <s v="LUCIA ALMEIDA VIEIRA"/>
    <s v="LUCIA ALMEIDA VIEIRA"/>
    <m/>
    <s v="AUXILIO DOENÇA/APOSENTADORIA POR INVALIDEZ"/>
    <s v="Thaynara Borges"/>
    <n v="8343.1"/>
    <s v="Entrada"/>
    <x v="2"/>
  </r>
  <r>
    <x v="106"/>
    <s v="Itaú - Lisboa e Lisboa"/>
    <s v="30% Sob RPV"/>
    <x v="2"/>
    <x v="2"/>
    <s v="FRANCISCA DA COSTA GOMES OLIVEIRA"/>
    <s v="FRANCISCA DA COSTA GOMES OLIVEIRA"/>
    <m/>
    <s v="AUXILIO DOENÇA"/>
    <s v="Nathalia Louiz"/>
    <n v="8250.41"/>
    <s v="Entrada"/>
    <x v="1"/>
  </r>
  <r>
    <x v="106"/>
    <s v="Itaú - Lisboa e Lisboa"/>
    <s v="30% Sob RPV"/>
    <x v="2"/>
    <x v="2"/>
    <s v="ANA PEREIRA DA SILVA JESUS"/>
    <s v="ANA PEREIRA DA SILVA JESUS"/>
    <m/>
    <s v="AMPARA AO IDOSO"/>
    <s v="Nathalia Louiz"/>
    <n v="8133.11"/>
    <s v="Entrada"/>
    <x v="1"/>
  </r>
  <r>
    <x v="106"/>
    <s v="Banco do Brasil - Sarah Alves Lisboa"/>
    <s v="Tarifa Bancária"/>
    <x v="4"/>
    <x v="3"/>
    <s v="BANCO DO BRASIL S/A"/>
    <s v="BANCO DO BRASIL S/A"/>
    <m/>
    <m/>
    <s v="Thaynara Borges"/>
    <n v="-15"/>
    <s v="Saída"/>
    <x v="0"/>
  </r>
  <r>
    <x v="106"/>
    <s v="Banco do Brasil - Sarah Alves Lisboa"/>
    <s v="Honorários contratuais 50%"/>
    <x v="2"/>
    <x v="2"/>
    <s v="BENEDITO ADELAR DA SILVA"/>
    <s v="BENEDITO ADELAR DA SILVA"/>
    <m/>
    <s v="RESTABELECIEMNTO DE AUXILIO DOENÇA, CONCESSAO DE AUXILIO ACIDENTE/ APOSENTADORIA POR INVALIDEZ"/>
    <s v="Thaynara Borges"/>
    <n v="28467.7"/>
    <s v="Entrada"/>
    <x v="1"/>
  </r>
  <r>
    <x v="106"/>
    <s v="Banco do Brasil - Sarah Alves Lisboa"/>
    <s v="Indicação Dra Karine. 30%"/>
    <x v="29"/>
    <x v="7"/>
    <s v="DARLENE CAIXETA DOS SANTOS"/>
    <s v="DARLENE CAIXETA DOS SANTOS"/>
    <m/>
    <s v="BENEFÍCIO POR INCAPACIDADE"/>
    <s v="Nathalia Louiz"/>
    <n v="-136.62"/>
    <s v="Saída"/>
    <x v="0"/>
  </r>
  <r>
    <x v="106"/>
    <s v="Itaú - Lisboa e Lisboa"/>
    <s v="30% sob implantação + 3 Beneficios"/>
    <x v="2"/>
    <x v="2"/>
    <s v="IURY RENNER PEREIRA DE SOUZA"/>
    <s v="IURY RENNER PEREIRA DE SOUZA"/>
    <m/>
    <s v="BENEFÍCIO POR INCAPACIDADE"/>
    <s v="Nathalia Louiz"/>
    <n v="4210.33"/>
    <s v="Entrada"/>
    <x v="1"/>
  </r>
  <r>
    <x v="106"/>
    <s v="Itaú - Lisboa e Lisboa"/>
    <s v="IEL Estagiárias"/>
    <x v="13"/>
    <x v="6"/>
    <s v="IEL"/>
    <s v="IEL"/>
    <m/>
    <m/>
    <s v="Thaynara Borges"/>
    <n v="-106.73"/>
    <s v="Saída"/>
    <x v="0"/>
  </r>
  <r>
    <x v="106"/>
    <s v="Itaú - Lisboa e Lisboa"/>
    <s v="30% Sob a implantação"/>
    <x v="2"/>
    <x v="2"/>
    <s v="FRYDA MYRNA GONÇALVES PRATES DE OLIVEIRA REIS"/>
    <s v="FRYDA MYRNA GONÇALVES PRATES DE OLIVEIRA REIS"/>
    <m/>
    <s v="FRYDA MYRNA GONÇALVES PRATES DE OLIVEIRA REIS x INSS"/>
    <s v="Nathalia Louiz"/>
    <n v="429.92"/>
    <s v="Entrada"/>
    <x v="1"/>
  </r>
  <r>
    <x v="106"/>
    <s v="Banco do Brasil - Sarah Alves Lisboa"/>
    <s v="ANUIDADE (3 BENEFICIOS)"/>
    <x v="2"/>
    <x v="2"/>
    <s v="DARLENE CAIXETA DOS SANTOS"/>
    <s v="DARLENE CAIXETA DOS SANTOS"/>
    <m/>
    <s v="BENEFÍCIO POR INCAPACIDADE"/>
    <s v="Nathalia Louiz"/>
    <n v="455.4"/>
    <s v="Entrada"/>
    <x v="1"/>
  </r>
  <r>
    <x v="106"/>
    <s v="Itaú - Lisboa e Lisboa"/>
    <s v="30% Sob RPV"/>
    <x v="2"/>
    <x v="2"/>
    <s v="HERBERTH ALVES PEREIRA"/>
    <s v="HERBERTH ALVES PEREIRA"/>
    <m/>
    <s v="AUXILIO ACIDENTE"/>
    <s v="Nathalia Louiz"/>
    <n v="16159.9"/>
    <s v="Entrada"/>
    <x v="1"/>
  </r>
  <r>
    <x v="106"/>
    <s v="Itaú - Lisboa e Lisboa"/>
    <s v="Restante da anuidade - Descontado na RPV"/>
    <x v="2"/>
    <x v="2"/>
    <s v="ANA PEREIRA DA SILVA JESUS"/>
    <s v="ANA PEREIRA DA SILVA JESUS"/>
    <m/>
    <s v="AMPARA AO IDOSO"/>
    <s v="Nathalia Louiz"/>
    <n v="2428.8000000000002"/>
    <s v="Entrada"/>
    <x v="1"/>
  </r>
  <r>
    <x v="106"/>
    <s v="Caixa Físico"/>
    <s v="Desconto R$12,00 (cliente não pagou)"/>
    <x v="2"/>
    <x v="2"/>
    <s v="ISABEL PEREIRA SOUSA"/>
    <s v="ISABEL PEREIRA SOUSA"/>
    <m/>
    <s v="APOSENTADORIA POR IDADE"/>
    <s v="Nathalia Louiz"/>
    <n v="12"/>
    <s v="Entrada"/>
    <x v="1"/>
  </r>
  <r>
    <x v="107"/>
    <s v="Banco do Brasil - Sarah Alves Lisboa"/>
    <s v="Implantação 30%"/>
    <x v="2"/>
    <x v="2"/>
    <s v="ANTONIO FERNANDES DA SILVA"/>
    <s v="ANTONIO FERNANDES DA SILVA"/>
    <m/>
    <s v="AUXILIO DOENÇA/ APOSENTADORIA POR INVALIDEZ"/>
    <s v="Thaynara Borges"/>
    <n v="684.3"/>
    <s v="Entrada"/>
    <x v="1"/>
  </r>
  <r>
    <x v="107"/>
    <s v="Itaú - Lisboa e Lisboa"/>
    <s v="30% + 3 BENEFICIOS"/>
    <x v="2"/>
    <x v="2"/>
    <s v="GILBERTO ORTIZ DA CRUZ"/>
    <s v="GILBERTO ORTIZ DA CRUZ"/>
    <m/>
    <s v="APOSENTADORIA POR TEMPO DE CONTRIBUIÇÃO"/>
    <s v="Nathalia Louiz"/>
    <n v="6518"/>
    <s v="Entrada"/>
    <x v="2"/>
  </r>
  <r>
    <x v="108"/>
    <s v="Banco do Brasil - Sarah Alves Lisboa"/>
    <s v="Implantação 30%"/>
    <x v="2"/>
    <x v="2"/>
    <s v="MARTA FREITAS DA COSTA"/>
    <s v="MARTA FREITAS DA COSTA"/>
    <m/>
    <s v="BENEFICIO POR INCAPACIDADE"/>
    <s v="Thaynara Borges"/>
    <n v="1125"/>
    <s v="Entrada"/>
    <x v="1"/>
  </r>
  <r>
    <x v="108"/>
    <s v="Banco do Brasil - Sarah Alves Lisboa"/>
    <s v="40% implantação"/>
    <x v="2"/>
    <x v="2"/>
    <s v="SERGIO HENRIQUE  MOREIRA LOPES"/>
    <s v="SERGIO HENRIQUE  MOREIRA LOPES"/>
    <m/>
    <s v="BENEFÍCIO POR INCAPACIDADE"/>
    <s v="Nathalia Louiz"/>
    <n v="1343.46"/>
    <s v="Entrada"/>
    <x v="1"/>
  </r>
  <r>
    <x v="108"/>
    <s v="Banco do Brasil - Sarah Alves Lisboa"/>
    <s v="30% SOB IMPLANTAÇÃO"/>
    <x v="2"/>
    <x v="2"/>
    <s v="ADOLFA MARIA DE JESUS ALMEIDA"/>
    <s v="ADOLFA MARIA DE JESUS ALMEIDA"/>
    <m/>
    <s v="BENEFÍCIO POR INCAPACIDADE"/>
    <s v="Nathalia Louiz"/>
    <n v="683.1"/>
    <s v="Entrada"/>
    <x v="1"/>
  </r>
  <r>
    <x v="109"/>
    <s v="Banco do Brasil - Sarah Alves Lisboa"/>
    <s v="Cartão de Crédito Dra Thaynara"/>
    <x v="6"/>
    <x v="1"/>
    <s v="C6"/>
    <s v="C6"/>
    <m/>
    <m/>
    <s v="Thaynara Borges"/>
    <n v="-952.25"/>
    <s v="Saída"/>
    <x v="0"/>
  </r>
  <r>
    <x v="110"/>
    <s v="Banco do Brasil - Sarah Alves Lisboa"/>
    <s v="COMBUSTIVEL"/>
    <x v="27"/>
    <x v="4"/>
    <s v="POSTO ANTONELLI"/>
    <s v="POSTO ANTONELLI"/>
    <m/>
    <m/>
    <s v="Nathalia Louiz"/>
    <n v="-147.49"/>
    <s v="Saída"/>
    <x v="0"/>
  </r>
  <r>
    <x v="110"/>
    <s v="Itaú - Lisboa e Lisboa"/>
    <s v="PARCERIA VANESSA"/>
    <x v="29"/>
    <x v="7"/>
    <s v="BENEDITO ADELAR DA SILVA"/>
    <s v="BENEDITO ADELAR DA SILVA"/>
    <m/>
    <s v="RESTABELECIEMNTO DE AUXILIO DOENÇA, CONCESSAO DE AUXILIO ACIDENTE/ APOSENTADORIA POR INVALIDEZ"/>
    <s v="Nathalia Louiz"/>
    <n v="-13370.84"/>
    <s v="Saída"/>
    <x v="0"/>
  </r>
  <r>
    <x v="110"/>
    <s v="Itaú - Lisboa e Lisboa"/>
    <s v="HONORÁRIOS - PARCERIA DR GIULIANO"/>
    <x v="29"/>
    <x v="7"/>
    <s v="BENEDITO ADELAR DA SILVA"/>
    <s v="BENEDITO ADELAR DA SILVA"/>
    <m/>
    <s v="RESTABELECIEMNTO DE AUXILIO DOENÇA, CONCESSAO DE AUXILIO ACIDENTE/ APOSENTADORIA POR INVALIDEZ"/>
    <s v="Nathalia Louiz"/>
    <n v="-5705.55"/>
    <s v="Saída"/>
    <x v="0"/>
  </r>
  <r>
    <x v="110"/>
    <s v="Banco do Brasil - Sarah Alves Lisboa"/>
    <s v="REUNIÃO"/>
    <x v="33"/>
    <x v="4"/>
    <s v="Laura Barbosa Marques"/>
    <s v="Laura Barbosa Marques"/>
    <m/>
    <m/>
    <s v="Nathalia Louiz"/>
    <n v="-100"/>
    <s v="Saída"/>
    <x v="0"/>
  </r>
  <r>
    <x v="110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10"/>
    <s v="Banco do Brasil - Sarah Alves Lisboa"/>
    <s v="LANCHES DA REUNIÃO"/>
    <x v="32"/>
    <x v="4"/>
    <s v="SUPERMERCADO MOREIRA"/>
    <s v="SUPERMERCADO MOREIRA"/>
    <m/>
    <m/>
    <s v="Nathalia Louiz"/>
    <n v="-97.08"/>
    <s v="Saída"/>
    <x v="0"/>
  </r>
  <r>
    <x v="110"/>
    <s v="Banco do Brasil - Sarah Alves Lisboa"/>
    <s v="REUNIÃO"/>
    <x v="33"/>
    <x v="4"/>
    <s v="Maria Lourdes Feitosa do Nascimento"/>
    <s v="Maria Lourdes Feitosa do Nascimento"/>
    <m/>
    <m/>
    <s v="Nathalia Louiz"/>
    <n v="-200"/>
    <s v="Saída"/>
    <x v="0"/>
  </r>
  <r>
    <x v="110"/>
    <s v="Banco do Brasil - Sarah Alves Lisboa"/>
    <s v="Exame admissional"/>
    <x v="35"/>
    <x v="6"/>
    <s v="MARIA EDUARDA SOUZA"/>
    <s v="MARIA EDUARDA SOUZA"/>
    <m/>
    <m/>
    <s v="Nathalia Louiz"/>
    <n v="-48"/>
    <s v="Saída"/>
    <x v="0"/>
  </r>
  <r>
    <x v="111"/>
    <s v="Itaú - Lisboa e Lisboa"/>
    <s v="30% Honorários"/>
    <x v="2"/>
    <x v="2"/>
    <s v="APARECIDA DOS SANTOS/ ADRIANA PAULA DOS SANTOS VIVEIROS/ DANIELA PAULA"/>
    <s v="APARECIDA DOS SANTOS/ ADRIANA PAULA DOS SANTOS VIVEIROS/ DANIELA PAULA"/>
    <m/>
    <s v="APARECIDA DOS SANTOS/ ADRIANA PAULA DOS SANTOS VIVEIROS/ DANIELA PAULA DOS SANTOS VIVEIROS CAMPOS x"/>
    <s v="Nathalia Louiz"/>
    <n v="18995.61"/>
    <s v="Entrada"/>
    <x v="1"/>
  </r>
  <r>
    <x v="111"/>
    <s v="Banco do Brasil - Sarah Alves Lisboa"/>
    <s v="COMBUSTIVÉL"/>
    <x v="27"/>
    <x v="4"/>
    <s v="POSTO 2824"/>
    <s v="POSTO 2824"/>
    <m/>
    <m/>
    <s v="Nathalia Louiz"/>
    <n v="-77.89"/>
    <s v="Saída"/>
    <x v="0"/>
  </r>
  <r>
    <x v="112"/>
    <s v="Banco do Brasil - Sarah Alves Lisboa"/>
    <s v="HONORÁRIOS"/>
    <x v="2"/>
    <x v="2"/>
    <s v="LUENE DE OLIVEIRA GOMES"/>
    <s v="LUENE DE OLIVEIRA GOMES"/>
    <m/>
    <s v="PROCESSO CRIMINAL"/>
    <s v="Nathalia Louiz"/>
    <n v="390"/>
    <s v="Entrada"/>
    <x v="1"/>
  </r>
  <r>
    <x v="112"/>
    <s v="Banco do Brasil - Sarah Alves Lisboa"/>
    <s v="Reembolso guia certidão de militância"/>
    <x v="38"/>
    <x v="10"/>
    <s v="AMARILDO DE MOURA"/>
    <s v="AMARILDO DE MOURA"/>
    <m/>
    <m/>
    <s v="Thaynara Borges"/>
    <n v="21.73"/>
    <s v="Entrada"/>
    <x v="1"/>
  </r>
  <r>
    <x v="112"/>
    <s v="Itaú - Lisboa e Lisboa"/>
    <s v="IPTU - BOX 88"/>
    <x v="30"/>
    <x v="1"/>
    <s v="PREFEITURA MUNICIPAL DE GOIÂNIA"/>
    <s v="PREFEITURA MUNICIPAL DE GOIÂNIA"/>
    <m/>
    <m/>
    <s v="Nathalia Louiz"/>
    <n v="-42.74"/>
    <s v="Saída"/>
    <x v="0"/>
  </r>
  <r>
    <x v="112"/>
    <s v="Banco do Brasil - Sarah Alves Lisboa"/>
    <s v="30% Sob atrasados"/>
    <x v="2"/>
    <x v="2"/>
    <s v="AMARILDO DE MOURA"/>
    <s v="AMARILDO DE MOURA"/>
    <m/>
    <s v="APOSENTADORIA"/>
    <s v="Nathalia Louiz"/>
    <n v="8555.36"/>
    <s v="Entrada"/>
    <x v="1"/>
  </r>
  <r>
    <x v="112"/>
    <s v="Itaú - Lisboa e Lisboa"/>
    <s v="IPTU - BOX 81"/>
    <x v="30"/>
    <x v="1"/>
    <s v="PREFEITURA MUNICIPAL DE GOIÂNIA"/>
    <s v="PREFEITURA MUNICIPAL DE GOIÂNIA"/>
    <m/>
    <m/>
    <s v="Nathalia Louiz"/>
    <n v="-42.74"/>
    <s v="Saída"/>
    <x v="0"/>
  </r>
  <r>
    <x v="112"/>
    <s v="Banco do Brasil - Sarah Alves Lisboa"/>
    <s v="40% sobre os atrasados"/>
    <x v="2"/>
    <x v="2"/>
    <s v="MARIA DA SILVA NOGUEIRA"/>
    <s v="MARIA DA SILVA NOGUEIRA"/>
    <m/>
    <s v="ATRASADOS"/>
    <s v="Thaynara Borges"/>
    <n v="19089.810000000001"/>
    <s v="Entrada"/>
    <x v="1"/>
  </r>
  <r>
    <x v="112"/>
    <s v="Itaú - Lisboa e Lisboa"/>
    <s v="IPTU - BOX 82"/>
    <x v="30"/>
    <x v="1"/>
    <s v="PREFEITURA MUNICIPAL DE GOIÂNIA"/>
    <s v="PREFEITURA MUNICIPAL DE GOIÂNIA"/>
    <s v=""/>
    <m/>
    <s v="Nathalia Louiz"/>
    <n v="-42.74"/>
    <s v="Saída"/>
    <x v="0"/>
  </r>
  <r>
    <x v="112"/>
    <s v="Itaú - Lisboa e Lisboa"/>
    <s v="Água"/>
    <x v="17"/>
    <x v="1"/>
    <s v="SANEAGO GOIAS S/A"/>
    <s v="SANEAGO GOIAS S/A"/>
    <m/>
    <m/>
    <s v="Thaynara Borges"/>
    <n v="-110.73"/>
    <s v="Saída"/>
    <x v="0"/>
  </r>
  <r>
    <x v="112"/>
    <s v="Itaú - Lisboa e Lisboa"/>
    <s v="IPTU - BOX 83"/>
    <x v="30"/>
    <x v="1"/>
    <s v="PREFEITURA MUNICIPAL DE GOIÂNIA"/>
    <s v="PREFEITURA MUNICIPAL DE GOIÂNIA"/>
    <m/>
    <m/>
    <s v="Nathalia Louiz"/>
    <n v="-42.74"/>
    <s v="Saída"/>
    <x v="0"/>
  </r>
  <r>
    <x v="112"/>
    <s v="Itaú - Lisboa e Lisboa"/>
    <s v="FGTS"/>
    <x v="18"/>
    <x v="6"/>
    <s v="FGTS"/>
    <s v="FGTS"/>
    <m/>
    <m/>
    <s v="Thaynara Borges"/>
    <n v="-509.23"/>
    <s v="Saída"/>
    <x v="0"/>
  </r>
  <r>
    <x v="112"/>
    <s v="Banco do Brasil - Sarah Alves Lisboa"/>
    <s v="Reembolso guia certidão de militância"/>
    <x v="38"/>
    <x v="10"/>
    <s v="MARIA DA SILVA NOGUEIRA"/>
    <s v="MARIA DA SILVA NOGUEIRA"/>
    <m/>
    <m/>
    <s v="Thaynara Borges"/>
    <n v="21.73"/>
    <s v="Entrada"/>
    <x v="1"/>
  </r>
  <r>
    <x v="112"/>
    <s v="Itaú - Lisboa e Lisboa"/>
    <s v="Alteração de CNPJ"/>
    <x v="31"/>
    <x v="9"/>
    <s v="OAB"/>
    <s v="OAB"/>
    <m/>
    <m/>
    <s v="Nathalia Louiz"/>
    <n v="-350"/>
    <s v="Saída"/>
    <x v="0"/>
  </r>
  <r>
    <x v="112"/>
    <s v="Itaú - Lisboa e Lisboa"/>
    <s v="IPTU - BOX 78"/>
    <x v="30"/>
    <x v="1"/>
    <s v="PREFEITURA MUNICIPAL DE GOIÂNIA"/>
    <s v="PREFEITURA MUNICIPAL DE GOIÂNIA"/>
    <m/>
    <m/>
    <s v="Nathalia Louiz"/>
    <n v="-42.74"/>
    <s v="Saída"/>
    <x v="0"/>
  </r>
  <r>
    <x v="112"/>
    <s v="Itaú - Lisboa e Lisboa"/>
    <s v="IPTU - SALA B74"/>
    <x v="30"/>
    <x v="1"/>
    <s v="PREFEITURA MUNICIPAL DE GOIÂNIA"/>
    <s v="PREFEITURA MUNICIPAL DE GOIÂNIA"/>
    <m/>
    <m/>
    <s v="Nathalia Louiz"/>
    <n v="-125.57"/>
    <s v="Saída"/>
    <x v="0"/>
  </r>
  <r>
    <x v="112"/>
    <s v="Itaú - Lisboa e Lisboa"/>
    <s v="Simples Nacional"/>
    <x v="20"/>
    <x v="7"/>
    <s v="Simples Nacional"/>
    <s v="Simples Nacional"/>
    <m/>
    <m/>
    <s v="Thaynara Borges"/>
    <n v="-8811.99"/>
    <s v="Saída"/>
    <x v="0"/>
  </r>
  <r>
    <x v="112"/>
    <s v="Itaú - Lisboa e Lisboa"/>
    <s v="INSS"/>
    <x v="19"/>
    <x v="6"/>
    <s v="RECEITA FEDERAL"/>
    <s v="RECEITA FEDERAL"/>
    <m/>
    <m/>
    <s v="Thaynara Borges"/>
    <n v="-3957.59"/>
    <s v="Saída"/>
    <x v="0"/>
  </r>
  <r>
    <x v="113"/>
    <s v="Banco do Brasil - Sarah Alves Lisboa"/>
    <s v="30% sob Implantação"/>
    <x v="2"/>
    <x v="2"/>
    <s v="VALDELICE DA SILVA MENDES"/>
    <s v="VALDELICE DA SILVA MENDES"/>
    <m/>
    <s v="BENEFÍCIO POR INCAPACIDADE"/>
    <s v="Nathalia Louiz"/>
    <n v="759"/>
    <s v="Entrada"/>
    <x v="1"/>
  </r>
  <r>
    <x v="113"/>
    <s v="Itaú - Lisboa e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2"/>
  </r>
  <r>
    <x v="113"/>
    <s v="Banco do Brasil - Sarah Alves Lisboa"/>
    <s v="30+20 SOB ATRASADOS"/>
    <x v="2"/>
    <x v="2"/>
    <s v="SANDRA MARIA SOARES"/>
    <s v="SANDRA MARIA SOARES"/>
    <m/>
    <s v="RESTABELECIMENTO AUXILIO DOENÇA"/>
    <s v="Nathalia Louiz"/>
    <n v="13034.11"/>
    <s v="Entrada"/>
    <x v="1"/>
  </r>
  <r>
    <x v="113"/>
    <s v="Banco do Brasil - Sarah Alves Lisboa"/>
    <s v="Reembolso guia certidão de militância"/>
    <x v="38"/>
    <x v="10"/>
    <s v="SANDRA MARIA SOARES"/>
    <s v="SANDRA MARIA SOARES"/>
    <m/>
    <m/>
    <s v="Nathalia Louiz"/>
    <n v="21.73"/>
    <s v="Entrada"/>
    <x v="1"/>
  </r>
  <r>
    <x v="114"/>
    <s v="Banco do Brasil - Sarah Alves Lisboa"/>
    <s v="Comissão sobre indicação 10% a João Batista pai da Thaynara"/>
    <x v="29"/>
    <x v="7"/>
    <s v="MARIA DA SILVA NOGUEIRA"/>
    <s v="MARIA DA SILVA NOGUEIRA"/>
    <m/>
    <s v="ATRASADOS"/>
    <s v="Thaynara Borges"/>
    <n v="-1663.48"/>
    <s v="Saída"/>
    <x v="0"/>
  </r>
  <r>
    <x v="115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5"/>
    <s v="Banco do Brasil - Sarah Alves Lisboa"/>
    <s v="30% sobre a implantação"/>
    <x v="2"/>
    <x v="2"/>
    <s v="AVENIR RODRIGUES GOMES SOBRINHO"/>
    <s v="AVENIR RODRIGUES GOMES SOBRINHO"/>
    <m/>
    <s v="BENEFÍCIO POR INCAPACIDADE"/>
    <s v="Thaynara Borges"/>
    <n v="1170.25"/>
    <s v="Entrada"/>
    <x v="1"/>
  </r>
  <r>
    <x v="115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5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15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6"/>
    <s v="Itaú - Lisboa e Lisboa"/>
    <s v="Energia contrato 0067122663"/>
    <x v="21"/>
    <x v="1"/>
    <s v="EQUATORIAL GOIAS 0067122663"/>
    <s v="EQUATORIAL GOIAS 0067122663"/>
    <m/>
    <m/>
    <s v="Thaynara Borges"/>
    <n v="-489.86"/>
    <s v="Saída"/>
    <x v="0"/>
  </r>
  <r>
    <x v="116"/>
    <s v="Itaú - Lisboa e Lisboa"/>
    <s v="Energia contrato 0067122721"/>
    <x v="21"/>
    <x v="1"/>
    <s v="EQUATORIAL GOIAS 0067122721"/>
    <s v="EQUATORIAL GOIAS 0067122721"/>
    <m/>
    <m/>
    <s v="Thaynara Borges"/>
    <n v="-432.99"/>
    <s v="Saída"/>
    <x v="0"/>
  </r>
  <r>
    <x v="117"/>
    <s v="Banco do Brasil - Sarah Alves Lisboa"/>
    <s v="20% do Precatório total recebido"/>
    <x v="2"/>
    <x v="2"/>
    <s v="ROSALIA SOARES LEITE"/>
    <s v="ROSALIA SOARES LEITE"/>
    <m/>
    <s v="PRECATÓRIO - PROAD"/>
    <s v="Thaynara Borges"/>
    <n v="18190.25"/>
    <s v="Entrada"/>
    <x v="1"/>
  </r>
  <r>
    <x v="117"/>
    <s v="Banco do Brasil - Sarah Alves Lisboa"/>
    <s v="ASSESSORIA DE CONTABILIDADE"/>
    <x v="1"/>
    <x v="1"/>
    <s v="ELLEN BORGES PEREIRA"/>
    <s v="ELLEN BORGES PEREIRA"/>
    <m/>
    <m/>
    <s v="Nathalia Louiz"/>
    <n v="-150"/>
    <s v="Saída"/>
    <x v="0"/>
  </r>
  <r>
    <x v="118"/>
    <s v="Banco do Brasil - Sarah Alves Lisboa"/>
    <s v="30% sob implantação"/>
    <x v="2"/>
    <x v="2"/>
    <s v="EDSON RAEL DE OLIVEIRA"/>
    <s v="EDSON RAEL DE OLIVEIRA"/>
    <m/>
    <s v="BENEFÍCIO POR INCAPACIDADE"/>
    <s v="Nathalia Louiz"/>
    <n v="266.5"/>
    <s v="Entrada"/>
    <x v="1"/>
  </r>
  <r>
    <x v="118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8"/>
    <s v="Banco do Brasil - Sarah Alves Lisboa"/>
    <s v="RESTITUIÇÃO DE IMPOSTO DE RENDA"/>
    <x v="31"/>
    <x v="9"/>
    <s v="SARAH ALVES LISBOA"/>
    <s v="SARAH ALVES LISBOA"/>
    <m/>
    <m/>
    <s v="Nathalia Louiz"/>
    <n v="-5159.51"/>
    <s v="Saída"/>
    <x v="0"/>
  </r>
  <r>
    <x v="119"/>
    <s v="Banco do Brasil - Sarah Alves Lisbo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119"/>
    <s v="Itaú - Lisboa e Lisboa"/>
    <s v="PRÓ-LABORE"/>
    <x v="23"/>
    <x v="8"/>
    <s v="Thaynara Borges Pereira"/>
    <s v="Thaynara Borges Pereira"/>
    <m/>
    <m/>
    <s v="Thaynara Borges"/>
    <n v="-1351.02"/>
    <s v="Saída"/>
    <x v="0"/>
  </r>
  <r>
    <x v="119"/>
    <s v="Itaú - Lisboa e Lisboa"/>
    <s v="Bolsa Estagio"/>
    <x v="13"/>
    <x v="6"/>
    <s v="Laura Barbosa Marques"/>
    <s v="Laura Barbosa Marques"/>
    <m/>
    <m/>
    <s v="Thaynara Borges"/>
    <n v="-1300"/>
    <s v="Saída"/>
    <x v="0"/>
  </r>
  <r>
    <x v="119"/>
    <s v="Itaú - Lisboa e Lisboa"/>
    <s v="Salário"/>
    <x v="15"/>
    <x v="6"/>
    <s v="Raffaela Nunes"/>
    <s v="Raffaela Nunes"/>
    <m/>
    <m/>
    <s v="Thaynara Borges"/>
    <n v="-2559.96"/>
    <s v="Saída"/>
    <x v="0"/>
  </r>
  <r>
    <x v="119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119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9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119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9"/>
    <s v="Itaú - Lisboa e Lisboa"/>
    <s v="Salário"/>
    <x v="15"/>
    <x v="6"/>
    <s v="Nina Araujo"/>
    <s v="Nina Araujo"/>
    <m/>
    <m/>
    <s v="Thaynara Borges"/>
    <n v="-3208.61"/>
    <s v="Saída"/>
    <x v="0"/>
  </r>
  <r>
    <x v="119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19"/>
    <s v="Banco do Brasil - Sarah Alves Lisboa"/>
    <s v="3 Beneficios"/>
    <x v="2"/>
    <x v="2"/>
    <s v="IRISOLANDA AMARAL DA SILVA"/>
    <s v="IRISOLANDA AMARAL DA SILVA"/>
    <m/>
    <s v="APOSENTADORIA POR IDADE"/>
    <s v="Thaynara Borges"/>
    <n v="2900"/>
    <s v="Entrada"/>
    <x v="1"/>
  </r>
  <r>
    <x v="119"/>
    <s v="Itaú - Lisboa e Lisboa"/>
    <s v="Retirada"/>
    <x v="22"/>
    <x v="8"/>
    <s v="Thaynara Borges Pereira"/>
    <s v="Thaynara Borges Pereira"/>
    <m/>
    <m/>
    <s v="Thaynara Borges"/>
    <n v="-3648.98"/>
    <s v="Saída"/>
    <x v="0"/>
  </r>
  <r>
    <x v="119"/>
    <s v="Itaú - Lisboa e Lisboa"/>
    <s v="Reembolso de despesas comerciais"/>
    <x v="31"/>
    <x v="9"/>
    <s v="CARLOS ALBERTO GRACIANO RODRIGUES"/>
    <s v="CARLOS ALBERTO GRACIANO RODRIGUES"/>
    <m/>
    <m/>
    <s v="Nathalia Louiz"/>
    <n v="-1246.81"/>
    <s v="Saída"/>
    <x v="0"/>
  </r>
  <r>
    <x v="119"/>
    <s v="Banco do Brasil - Sarah Alves Lisboa"/>
    <s v="Cobrança da TED"/>
    <x v="4"/>
    <x v="3"/>
    <s v="BANCO DO BRASIL S/A"/>
    <s v="BANCO DO BRASIL S/A"/>
    <m/>
    <m/>
    <s v="Thaynara Borges"/>
    <n v="-12.7"/>
    <s v="Saída"/>
    <x v="0"/>
  </r>
  <r>
    <x v="119"/>
    <s v="Itaú - Lisboa e Lisboa"/>
    <s v="Salário"/>
    <x v="15"/>
    <x v="6"/>
    <s v="MARIA EDUARDA DE SOUZA"/>
    <s v="MARIA EDUARDA DE SOUZA"/>
    <m/>
    <m/>
    <s v="Nathalia Louiz"/>
    <n v="-925"/>
    <s v="Saída"/>
    <x v="0"/>
  </r>
  <r>
    <x v="119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120"/>
    <s v="Itaú - Lisboa e Lisboa"/>
    <s v="Rendimentos para acerto de saldo"/>
    <x v="4"/>
    <x v="3"/>
    <s v="BANCO ITAU"/>
    <s v="BANCO ITAU"/>
    <m/>
    <m/>
    <s v="Thaynara Borges"/>
    <n v="1.31"/>
    <s v="Entrada"/>
    <x v="1"/>
  </r>
  <r>
    <x v="121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121"/>
    <s v="Cartão de Crédito Dr Ivanildo"/>
    <s v="SHOPPING FILT"/>
    <x v="26"/>
    <x v="1"/>
    <s v="BANCO ITAU"/>
    <s v="BANCO ITAU"/>
    <m/>
    <m/>
    <s v="Nathalia Louiz"/>
    <n v="-129"/>
    <s v="Saída"/>
    <x v="0"/>
  </r>
  <r>
    <x v="121"/>
    <s v="Cartão de Crédito Dr Ivanildo"/>
    <s v="CANNAÃ FRIOS"/>
    <x v="11"/>
    <x v="1"/>
    <s v="BANCO ITAU"/>
    <s v="BANCO ITAU"/>
    <m/>
    <m/>
    <s v="Nathalia Louiz"/>
    <n v="-38.9"/>
    <s v="Saída"/>
    <x v="0"/>
  </r>
  <r>
    <x v="121"/>
    <s v="Cartão de Crédito Dr Ivanildo"/>
    <s v="CANAÃ FRIOS"/>
    <x v="11"/>
    <x v="1"/>
    <s v="BANCO ITAU"/>
    <s v="BANCO ITAU"/>
    <m/>
    <m/>
    <s v="Nathalia Louiz"/>
    <n v="-48.94"/>
    <s v="Saída"/>
    <x v="0"/>
  </r>
  <r>
    <x v="121"/>
    <s v="Cartão de Crédito Dr Ivanildo"/>
    <s v="MAU NENHUM RESTAURANTE"/>
    <x v="11"/>
    <x v="1"/>
    <s v="BANCO ITAU"/>
    <s v="BANCO ITAU"/>
    <m/>
    <m/>
    <s v="Nathalia Louiz"/>
    <n v="-391.09"/>
    <s v="Saída"/>
    <x v="0"/>
  </r>
  <r>
    <x v="121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121"/>
    <s v="Banco do Brasil - Sarah Alves Lisboa"/>
    <s v="Diferença ref.: 3 Beneficios"/>
    <x v="2"/>
    <x v="2"/>
    <s v="IRISOLANDA AMARAL DA SILVA"/>
    <s v="IRISOLANDA AMARAL DA SILVA"/>
    <m/>
    <s v="APOSENTADORIA POR IDADE"/>
    <s v="Thaynara Borges"/>
    <n v="1654"/>
    <s v="Entrada"/>
    <x v="1"/>
  </r>
  <r>
    <x v="121"/>
    <s v="Banco do Brasil - Sarah Alves Lisboa"/>
    <s v="COMISSÃO POR INDICAÇÃO - NINA"/>
    <x v="29"/>
    <x v="7"/>
    <s v="HERBERTH ALVES PEREIRA"/>
    <s v="HERBERTH ALVES PEREIRA"/>
    <m/>
    <s v="AUXILIO ACIDENTE"/>
    <s v="Nathalia Louiz"/>
    <n v="-1408.17"/>
    <s v="Saída"/>
    <x v="0"/>
  </r>
  <r>
    <x v="121"/>
    <s v="Cartão de Crédito Dr Ivanildo"/>
    <s v="NOBREAK E CIA"/>
    <x v="14"/>
    <x v="1"/>
    <s v="BANCO ITAU"/>
    <s v="BANCO ITAU"/>
    <m/>
    <m/>
    <s v="Nathalia Louiz"/>
    <n v="-292"/>
    <s v="Saída"/>
    <x v="0"/>
  </r>
  <r>
    <x v="121"/>
    <s v="Cartão de Crédito Dr Ivanildo"/>
    <s v="Pagamento Cartão de Crédito Dr Ivanildo"/>
    <x v="6"/>
    <x v="1"/>
    <s v="BANCO ITAU"/>
    <s v="BANCO ITAU"/>
    <m/>
    <m/>
    <s v="Thaynara Borges"/>
    <n v="2202.8200000000002"/>
    <s v="Entrada"/>
    <x v="1"/>
  </r>
  <r>
    <x v="121"/>
    <s v="Itaú - Lisboa e Lisboa"/>
    <s v="HONORÁRIOS INTEGRALMENTE REPASSADOS A VANESSA (LANÇAR COMO RETIRADA SARAH)"/>
    <x v="29"/>
    <x v="7"/>
    <s v="ROSALIA SOARES LEITE"/>
    <s v="ROSALIA SOARES LEITE"/>
    <m/>
    <s v="PRECATÓRIO - PROAD"/>
    <s v="Nathalia Louiz"/>
    <n v="-15850.98"/>
    <s v="Saída"/>
    <x v="0"/>
  </r>
  <r>
    <x v="121"/>
    <s v="Cartão de Crédito Dr Ivanildo"/>
    <s v="CANAÃ FRIOS - ALIMENTAÇÃO"/>
    <x v="11"/>
    <x v="1"/>
    <s v="BANCO ITAU"/>
    <s v="BANCO ITAU"/>
    <m/>
    <m/>
    <s v="Nathalia Louiz"/>
    <n v="-54"/>
    <s v="Saída"/>
    <x v="0"/>
  </r>
  <r>
    <x v="121"/>
    <s v="Cartão de Crédito Dr Ivanildo"/>
    <s v="ASA CURSOS"/>
    <x v="36"/>
    <x v="1"/>
    <s v="BANCO ITAU"/>
    <s v="BANCO ITAU"/>
    <m/>
    <m/>
    <s v="Nathalia Louiz"/>
    <n v="-59.9"/>
    <s v="Saída"/>
    <x v="0"/>
  </r>
  <r>
    <x v="121"/>
    <s v="Cartão de Crédito Dr Ivanildo"/>
    <s v="Prévius"/>
    <x v="12"/>
    <x v="1"/>
    <s v="BANCO ITAU"/>
    <s v="BANCO ITAU"/>
    <m/>
    <m/>
    <s v="Thaynara Borges"/>
    <n v="-80.91"/>
    <s v="Saída"/>
    <x v="0"/>
  </r>
  <r>
    <x v="121"/>
    <s v="Cartão de Crédito Dr Ivanildo"/>
    <s v="CANAÃ FRIOS"/>
    <x v="11"/>
    <x v="1"/>
    <s v="BANCO ITAU"/>
    <s v="BANCO ITAU"/>
    <m/>
    <m/>
    <s v="Nathalia Louiz"/>
    <n v="-55.4"/>
    <s v="Saída"/>
    <x v="0"/>
  </r>
  <r>
    <x v="121"/>
    <s v="Cartão de Crédito Dr Ivanildo"/>
    <s v="SOLUTE CERTIFICADOS"/>
    <x v="31"/>
    <x v="9"/>
    <s v="BANCO ITAU"/>
    <s v="BANCO ITAU"/>
    <m/>
    <m/>
    <s v="Nathalia Louiz"/>
    <n v="-132"/>
    <s v="Saída"/>
    <x v="0"/>
  </r>
  <r>
    <x v="121"/>
    <s v="Cartão de Crédito Dr Ivanildo"/>
    <s v="SUPERMERCADO UNIÃO"/>
    <x v="26"/>
    <x v="1"/>
    <s v="BANCO ITAU"/>
    <s v="BANCO ITAU"/>
    <m/>
    <m/>
    <s v="Nathalia Louiz"/>
    <n v="-193.65"/>
    <s v="Saída"/>
    <x v="0"/>
  </r>
  <r>
    <x v="121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121"/>
    <s v="Itaú - Lisboa e Lisboa"/>
    <s v="RENDIMENTOS"/>
    <x v="39"/>
    <x v="0"/>
    <s v="BANCO ITAU"/>
    <s v="BANCO ITAU"/>
    <m/>
    <m/>
    <s v="Nathalia Louiz"/>
    <n v="3.92"/>
    <s v="Entrada"/>
    <x v="1"/>
  </r>
  <r>
    <x v="121"/>
    <s v="Cartão de Crédito Dr Ivanildo"/>
    <s v="JL PARK ESTACIONAMENTO"/>
    <x v="40"/>
    <x v="1"/>
    <s v="BANCO ITAU"/>
    <s v="BANCO ITAU"/>
    <m/>
    <m/>
    <s v="Nathalia Louiz"/>
    <n v="-26"/>
    <s v="Saída"/>
    <x v="0"/>
  </r>
  <r>
    <x v="121"/>
    <s v="Cartão de Crédito Dr Ivanildo"/>
    <s v="Google One"/>
    <x v="12"/>
    <x v="1"/>
    <s v="BANCO ITAU"/>
    <s v="BANCO ITAU"/>
    <m/>
    <m/>
    <s v="Thaynara Borges"/>
    <n v="-49.99"/>
    <s v="Saída"/>
    <x v="0"/>
  </r>
  <r>
    <x v="121"/>
    <s v="Cartão de Crédito Dr Ivanildo"/>
    <s v="Google One"/>
    <x v="12"/>
    <x v="1"/>
    <s v="BANCO ITAU"/>
    <s v="BANCO ITAU"/>
    <m/>
    <m/>
    <s v="Thaynara Borges"/>
    <n v="-14.99"/>
    <s v="Saída"/>
    <x v="0"/>
  </r>
  <r>
    <x v="121"/>
    <s v="Cartão de Crédito Dr Ivanildo"/>
    <s v="AMAZON"/>
    <x v="26"/>
    <x v="1"/>
    <s v="BANCO ITAU"/>
    <s v="BANCO ITAU"/>
    <m/>
    <m/>
    <s v="Nathalia Louiz"/>
    <n v="-18.23"/>
    <s v="Saída"/>
    <x v="0"/>
  </r>
  <r>
    <x v="121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121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121"/>
    <s v="Cartão de Crédito Dr Ivanildo"/>
    <s v="AMAZON"/>
    <x v="26"/>
    <x v="1"/>
    <s v="BANCO ITAU"/>
    <s v="BANCO ITAU"/>
    <m/>
    <m/>
    <s v="Nathalia Louiz"/>
    <n v="-26.98"/>
    <s v="Saída"/>
    <x v="0"/>
  </r>
  <r>
    <x v="121"/>
    <s v="Cartão de Crédito Dr Ivanildo"/>
    <s v="Jusbrasil"/>
    <x v="12"/>
    <x v="1"/>
    <s v="BANCO ITAU"/>
    <s v="BANCO ITAU"/>
    <m/>
    <m/>
    <s v="Thaynara Borges"/>
    <n v="-58.9"/>
    <s v="Saída"/>
    <x v="0"/>
  </r>
  <r>
    <x v="121"/>
    <s v="Cartão de Crédito Dr Ivanildo"/>
    <s v="Jusbrasil"/>
    <x v="12"/>
    <x v="1"/>
    <s v="BANCO ITAU"/>
    <s v="BANCO ITAU"/>
    <m/>
    <m/>
    <s v="Thaynara Borges"/>
    <n v="-58.9"/>
    <s v="Saída"/>
    <x v="0"/>
  </r>
  <r>
    <x v="122"/>
    <s v="Banco do Brasil - Sarah Alves Lisboa"/>
    <s v="COMISSÃO POR CUMPRIMENTO DE META"/>
    <x v="29"/>
    <x v="7"/>
    <s v="Laura Barbosa Marques"/>
    <s v="Laura Barbosa Marques"/>
    <m/>
    <m/>
    <s v="Nathalia Louiz"/>
    <n v="-100"/>
    <s v="Saída"/>
    <x v="0"/>
  </r>
  <r>
    <x v="122"/>
    <s v="Banco do Brasil - Sarah Alves Lisboa"/>
    <s v="Comissão a Ednaldo 10%"/>
    <x v="29"/>
    <x v="7"/>
    <s v="IRISOLANDA AMARAL DA SILVA"/>
    <s v="IRISOLANDA AMARAL DA SILVA"/>
    <m/>
    <s v="APOSENTADORIA POR IDADE"/>
    <s v="Thaynara Borges"/>
    <n v="-396.83"/>
    <s v="Saída"/>
    <x v="0"/>
  </r>
  <r>
    <x v="122"/>
    <s v="Banco do Brasil - Sarah Alves Lisboa"/>
    <s v="COMISSÃO POR CUMPRIMENTO DE META"/>
    <x v="29"/>
    <x v="7"/>
    <s v="MARIA EDUARDA DE SOUZA"/>
    <s v="MARIA EDUARDA DE SOUZA"/>
    <m/>
    <m/>
    <s v="Nathalia Louiz"/>
    <n v="-100"/>
    <s v="Saída"/>
    <x v="0"/>
  </r>
  <r>
    <x v="122"/>
    <s v="Banco do Brasil - Sarah Alves Lisboa"/>
    <s v="COMISSÃO POR CUMPRIMENTO DE META"/>
    <x v="29"/>
    <x v="7"/>
    <s v="Thaynara Borges Pereira"/>
    <s v="Thaynara Borges Pereira"/>
    <m/>
    <m/>
    <s v="Nathalia Louiz"/>
    <n v="-100"/>
    <s v="Saída"/>
    <x v="0"/>
  </r>
  <r>
    <x v="122"/>
    <s v="Itaú - Lisboa e Lisboa"/>
    <s v="serviços de TI"/>
    <x v="3"/>
    <x v="1"/>
    <s v="Rhuan Carlos Batista"/>
    <s v="Rhuan Carlos Batista"/>
    <m/>
    <m/>
    <s v="Nathalia Louiz"/>
    <n v="-310"/>
    <s v="Saída"/>
    <x v="0"/>
  </r>
  <r>
    <x v="122"/>
    <s v="Banco do Brasil - Sarah Alves Lisboa"/>
    <s v="COMISSÃO POR CUMPRIMENTO DE META"/>
    <x v="29"/>
    <x v="7"/>
    <s v="EVANILZA ARAUJO MORAES"/>
    <s v="EVANILZA ARAUJO MORAES"/>
    <m/>
    <m/>
    <s v="Nathalia Louiz"/>
    <n v="-100"/>
    <s v="Saída"/>
    <x v="0"/>
  </r>
  <r>
    <x v="122"/>
    <s v="Banco do Brasil - Sarah Alves Lisboa"/>
    <s v="COMISSÃO POR CUMPRIMENTO DE META"/>
    <x v="29"/>
    <x v="7"/>
    <s v="SARAH ALVES LISBOA"/>
    <s v="SARAH ALVES LISBOA"/>
    <m/>
    <m/>
    <s v="Nathalia Louiz"/>
    <n v="-100"/>
    <s v="Saída"/>
    <x v="0"/>
  </r>
  <r>
    <x v="122"/>
    <s v="Banco do Brasil - Sarah Alves Lisboa"/>
    <s v="COMISSÃO POR CUMPRIMENTO DE META"/>
    <x v="29"/>
    <x v="7"/>
    <s v="Raffaela Nunes"/>
    <s v="Raffaela Nunes"/>
    <m/>
    <m/>
    <s v="Nathalia Louiz"/>
    <n v="-100"/>
    <s v="Saída"/>
    <x v="0"/>
  </r>
  <r>
    <x v="123"/>
    <s v="Itaú - Lisboa e Lisboa"/>
    <s v="Cartão de Crédito Dr Ivanilldo"/>
    <x v="6"/>
    <x v="1"/>
    <s v="BANCO ITAU"/>
    <s v="BANCO ITAU"/>
    <m/>
    <m/>
    <s v="Thaynara Borges"/>
    <n v="-2202.8200000000002"/>
    <s v="Saída"/>
    <x v="0"/>
  </r>
  <r>
    <x v="123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123"/>
    <s v="Cartão de Crédito Dra Thaynara"/>
    <s v="PACOTE OFFICE"/>
    <x v="25"/>
    <x v="0"/>
    <s v="C6"/>
    <s v="C6"/>
    <m/>
    <m/>
    <s v="Nathalia Louiz"/>
    <n v="-51"/>
    <s v="Saída"/>
    <x v="0"/>
  </r>
  <r>
    <x v="123"/>
    <s v="Cartão de Crédito Dra Thaynara"/>
    <s v="Cálculo Jurídico"/>
    <x v="12"/>
    <x v="1"/>
    <s v="C6"/>
    <s v="C6"/>
    <m/>
    <m/>
    <s v="Thaynara Borges"/>
    <n v="-40.340000000000003"/>
    <s v="Saída"/>
    <x v="0"/>
  </r>
  <r>
    <x v="123"/>
    <s v="Itaú - Lisboa e Lisboa"/>
    <s v="Taxa de Condomínio Vaga Garagem A-81"/>
    <x v="10"/>
    <x v="1"/>
    <s v="ATON BUSINESS STYLE"/>
    <s v="ATON BUSINESS STYLE"/>
    <m/>
    <m/>
    <s v="Thaynara Borges"/>
    <n v="-64.56"/>
    <s v="Saída"/>
    <x v="0"/>
  </r>
  <r>
    <x v="123"/>
    <s v="Itaú - Lisboa e Lisboa"/>
    <s v="Taxa de Condomínio Vaga Garagem A-78"/>
    <x v="10"/>
    <x v="1"/>
    <s v="ATON BUSINESS STYLE"/>
    <s v="ATON BUSINESS STYLE"/>
    <m/>
    <m/>
    <s v="Thaynara Borges"/>
    <n v="-64.56"/>
    <s v="Saída"/>
    <x v="0"/>
  </r>
  <r>
    <x v="123"/>
    <s v="Cartão de Crédito Dra Thaynara"/>
    <s v="Pagamento Cartão de Crédito Dra Thaynara"/>
    <x v="6"/>
    <x v="1"/>
    <s v="C6"/>
    <s v="C6"/>
    <m/>
    <m/>
    <s v="Nathalia Louiz"/>
    <n v="877.25"/>
    <s v="Entrada"/>
    <x v="1"/>
  </r>
  <r>
    <x v="123"/>
    <s v="Itaú - Lisboa e Lisboa"/>
    <s v="Taxa de Condomínio Vaga Garagem A-82"/>
    <x v="10"/>
    <x v="1"/>
    <s v="ATON BUSINESS STYLE"/>
    <s v="ATON BUSINESS STYLE"/>
    <m/>
    <m/>
    <s v="Thaynara Borges"/>
    <n v="-64.56"/>
    <s v="Saída"/>
    <x v="0"/>
  </r>
  <r>
    <x v="123"/>
    <s v="Banco do Brasil - Sarah Alves Lisboa"/>
    <s v="MATERIAL DE LIMPEZA"/>
    <x v="9"/>
    <x v="1"/>
    <s v="EVANILZA ARAUJO MORAES"/>
    <s v="EVANILZA ARAUJO MORAES"/>
    <m/>
    <m/>
    <s v="Nathalia Louiz"/>
    <n v="-54.44"/>
    <s v="Saída"/>
    <x v="0"/>
  </r>
  <r>
    <x v="123"/>
    <s v="Itaú - Lisboa e Lisboa"/>
    <s v="Taxa de Condomínio Vaga Garagem A-88"/>
    <x v="10"/>
    <x v="1"/>
    <s v="ATON BUSINESS STYLE"/>
    <s v="ATON BUSINESS STYLE"/>
    <m/>
    <m/>
    <s v="Thaynara Borges"/>
    <n v="-64.56"/>
    <s v="Saída"/>
    <x v="0"/>
  </r>
  <r>
    <x v="123"/>
    <s v="Banco do Brasil - Sarah Alves Lisboa"/>
    <s v="3 BENEFICIOS"/>
    <x v="2"/>
    <x v="2"/>
    <s v="SERGIO HENRIQUE  MOREIRA LOPES"/>
    <s v="SERGIO HENRIQUE  MOREIRA LOPES"/>
    <m/>
    <s v="BENEFÍCIO POR INCAPACIDADE"/>
    <s v="Nathalia Louiz"/>
    <n v="1007.59"/>
    <s v="Entrada"/>
    <x v="1"/>
  </r>
  <r>
    <x v="123"/>
    <s v="Itaú - Lisboa e Lisboa"/>
    <s v="Taxa de Condomínio Sala B-73"/>
    <x v="10"/>
    <x v="1"/>
    <s v="ATON BUSINESS STYLE"/>
    <s v="ATON BUSINESS STYLE"/>
    <m/>
    <m/>
    <s v="Thaynara Borges"/>
    <n v="-1296.1099999999999"/>
    <s v="Saída"/>
    <x v="0"/>
  </r>
  <r>
    <x v="123"/>
    <s v="Cartão de Crédito Dra Thaynara"/>
    <s v="Cálculo Jurídico"/>
    <x v="12"/>
    <x v="1"/>
    <s v="C6"/>
    <s v="C6"/>
    <m/>
    <m/>
    <s v="Nathalia Louiz"/>
    <n v="-79.95"/>
    <s v="Saída"/>
    <x v="0"/>
  </r>
  <r>
    <x v="123"/>
    <s v="Itaú - Lisboa e Lisboa"/>
    <s v="Taxa de Condomínio Sala B-74"/>
    <x v="10"/>
    <x v="1"/>
    <s v="ATON BUSINESS STYLE"/>
    <s v="ATON BUSINESS STYLE"/>
    <m/>
    <m/>
    <s v="Thaynara Borges"/>
    <n v="-1295.55"/>
    <s v="Saída"/>
    <x v="0"/>
  </r>
  <r>
    <x v="123"/>
    <s v="Cartão de Crédito Dra Thaynara"/>
    <s v="ASTREA"/>
    <x v="12"/>
    <x v="1"/>
    <s v="C6"/>
    <s v="C6"/>
    <m/>
    <m/>
    <s v="Thaynara Borges"/>
    <n v="-456.75"/>
    <s v="Saída"/>
    <x v="0"/>
  </r>
  <r>
    <x v="123"/>
    <s v="Itaú - Lisboa e Lisboa"/>
    <s v="Taxa de Condomínio Vaga Garagem A-83"/>
    <x v="10"/>
    <x v="1"/>
    <s v="ATON BUSINESS STYLE"/>
    <s v="ATON BUSINESS STYLE"/>
    <m/>
    <m/>
    <s v="Thaynara Borges"/>
    <n v="-64.56"/>
    <s v="Saída"/>
    <x v="0"/>
  </r>
  <r>
    <x v="124"/>
    <s v="Itaú - Lisboa e Lisboa"/>
    <s v="50% Sob RPV"/>
    <x v="2"/>
    <x v="2"/>
    <s v="IRANY CARDOSO TEIXEIRA"/>
    <s v="IRANY CARDOSO TEIXEIRA"/>
    <m/>
    <s v="APOSENTADORIA RURAL"/>
    <s v="Nathalia Louiz"/>
    <n v="5852.82"/>
    <s v="Entrada"/>
    <x v="1"/>
  </r>
  <r>
    <x v="124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24"/>
    <s v="Itaú - Lisboa e Lisboa"/>
    <s v="Celular"/>
    <x v="8"/>
    <x v="1"/>
    <s v="VIVO"/>
    <s v="VIVO"/>
    <m/>
    <m/>
    <s v="Thaynara Borges"/>
    <n v="-137.37"/>
    <s v="Saída"/>
    <x v="0"/>
  </r>
  <r>
    <x v="124"/>
    <s v="Itaú - Lisboa e Lisboa"/>
    <s v="30% Sob RPV"/>
    <x v="2"/>
    <x v="2"/>
    <s v="VERA LUCIA PEREIRA DE OLIVEIRA"/>
    <s v="VERA LUCIA PEREIRA DE OLIVEIRA"/>
    <m/>
    <s v="AUXÍLIO DOENÇA"/>
    <s v="Nathalia Louiz"/>
    <n v="3117.13"/>
    <s v="Entrada"/>
    <x v="1"/>
  </r>
  <r>
    <x v="125"/>
    <s v="Cartão de Crédito Dra Sarah"/>
    <s v="ESTORNO DE COMPRA JANEIRO/2025"/>
    <x v="38"/>
    <x v="10"/>
    <s v="BANCO ITAU"/>
    <s v="BANCO ITAU"/>
    <m/>
    <m/>
    <s v="Nathalia Louiz"/>
    <n v="308.25"/>
    <s v="Entrada"/>
    <x v="1"/>
  </r>
  <r>
    <x v="125"/>
    <s v="Cartão de Crédito Dra Sarah"/>
    <s v="Cartão de crédito Dra Sarah"/>
    <x v="6"/>
    <x v="1"/>
    <s v="BANCO ITAU"/>
    <s v="BANCO ITAU"/>
    <m/>
    <m/>
    <s v="Nathalia Louiz"/>
    <n v="336.42"/>
    <s v="Entrada"/>
    <x v="1"/>
  </r>
  <r>
    <x v="125"/>
    <s v="Itaú - Lisboa e Lisboa"/>
    <s v="CONTRATO 9309114969"/>
    <x v="8"/>
    <x v="1"/>
    <s v="VIVO FIXO"/>
    <s v="VIVO FIXO"/>
    <m/>
    <m/>
    <s v="Thaynara Borges"/>
    <n v="-130.53"/>
    <s v="Saída"/>
    <x v="0"/>
  </r>
  <r>
    <x v="125"/>
    <s v="Banco do Brasil - Sarah Alves Lisboa"/>
    <s v="EVENTO: A COMUNIDADE: VIRANDO A CHAVE DO NETWORKING"/>
    <x v="33"/>
    <x v="4"/>
    <s v="SYMPLA"/>
    <s v="SYMPLA"/>
    <m/>
    <m/>
    <s v="Nathalia Louiz"/>
    <n v="-81.5"/>
    <s v="Saída"/>
    <x v="0"/>
  </r>
  <r>
    <x v="125"/>
    <s v="Itaú - Lisboa e Lisboa"/>
    <s v="Pagamento cartão Dra Sarah"/>
    <x v="6"/>
    <x v="1"/>
    <s v="BANCO ITAU"/>
    <s v="BANCO ITAU"/>
    <m/>
    <m/>
    <s v="Nathalia Louiz"/>
    <n v="-336.42"/>
    <s v="Saída"/>
    <x v="0"/>
  </r>
  <r>
    <x v="125"/>
    <s v="Itaú - Lisboa e Lisboa"/>
    <s v="CONTRATO 9621661899"/>
    <x v="8"/>
    <x v="1"/>
    <s v="VIVO FIXO"/>
    <s v="VIVO FIXO"/>
    <m/>
    <m/>
    <s v="Thaynara Borges"/>
    <n v="-131.37"/>
    <s v="Saída"/>
    <x v="0"/>
  </r>
  <r>
    <x v="125"/>
    <s v="Itaú - Lisboa e Lisboa"/>
    <s v="Diferença ref.: 2 Benefícios parcelados em 6x"/>
    <x v="2"/>
    <x v="2"/>
    <s v="ISABEL PEREIRA SOUSA"/>
    <s v="ISABEL PEREIRA SOUSA"/>
    <m/>
    <s v="APOSENTADORIA POR IDADE"/>
    <s v="Thaynara Borges"/>
    <n v="0.01"/>
    <s v="Entrada"/>
    <x v="1"/>
  </r>
  <r>
    <x v="125"/>
    <s v="Cartão de Crédito Dra Sarah"/>
    <s v="TERMO SUL ENGENHARIA"/>
    <x v="14"/>
    <x v="1"/>
    <s v="BANCO ITAU"/>
    <s v="BANCO ITAU"/>
    <m/>
    <m/>
    <s v="Nathalia Louiz"/>
    <n v="-419.68"/>
    <s v="Saída"/>
    <x v="0"/>
  </r>
  <r>
    <x v="125"/>
    <s v="Cartão de Crédito Dra Sarah"/>
    <s v="COMPRA MERCADO LIVRE"/>
    <x v="6"/>
    <x v="1"/>
    <s v="BANCO ITAU"/>
    <s v="BANCO ITAU"/>
    <m/>
    <m/>
    <s v="Nathalia Louiz"/>
    <n v="-224.99"/>
    <s v="Saída"/>
    <x v="0"/>
  </r>
  <r>
    <x v="125"/>
    <s v="Banco do Brasil - Sarah Alves Lisboa"/>
    <s v="ANUIDADE (3 BENEFICIOS)"/>
    <x v="2"/>
    <x v="2"/>
    <s v="DARLENE CAIXETA DOS SANTOS"/>
    <s v="DARLENE CAIXETA DOS SANTOS"/>
    <m/>
    <s v="BENEFÍCIO POR INCAPACIDADE"/>
    <s v="Nathalia Louiz"/>
    <n v="455.4"/>
    <s v="Entrada"/>
    <x v="1"/>
  </r>
  <r>
    <x v="126"/>
    <s v="Banco do Brasil - Sarah Alves Lisboa"/>
    <s v="Tarifa de pacote de serviços"/>
    <x v="31"/>
    <x v="9"/>
    <s v="BANCO DO BRASIL S/A"/>
    <s v="BANCO DO BRASIL S/A"/>
    <m/>
    <m/>
    <s v="Nathalia Louiz"/>
    <n v="-15"/>
    <s v="Saída"/>
    <x v="0"/>
  </r>
  <r>
    <x v="126"/>
    <s v="Banco do Brasil - 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126"/>
    <s v="Banco do Brasil - Sarah Alves Lisboa"/>
    <s v="50% dos honorários (Parceria Dr Ajnaldo)"/>
    <x v="2"/>
    <x v="2"/>
    <s v="LEILA DO CARMO GONÇALVES OLIVEIRA"/>
    <s v="LEILA DO CARMO GONÇALVES OLIVEIRA"/>
    <m/>
    <s v="APOSENTADORIA POR IDADE RURAL"/>
    <s v="Thaynara Borges"/>
    <n v="445.5"/>
    <s v="Entrada"/>
    <x v="1"/>
  </r>
  <r>
    <x v="126"/>
    <s v="Banco do Brasil - Sarah Alves Lisboa"/>
    <s v="30% Sob Implantação - VALOR TOTAL (R$891 - 50% ajnaldo) - Abatido no Débito da Leila"/>
    <x v="2"/>
    <x v="2"/>
    <s v="CAIO FERNANDES BORGES"/>
    <s v="CAIO FERNANDES BORGES"/>
    <m/>
    <s v="BENEFÍCIO POR INCAPACIDADE"/>
    <s v="Nathalia Louiz"/>
    <n v="445.5"/>
    <s v="Entrada"/>
    <x v="1"/>
  </r>
  <r>
    <x v="126"/>
    <s v="Itaú - Lisboa e Lisboa"/>
    <s v="IEL Estagiárias"/>
    <x v="13"/>
    <x v="6"/>
    <s v="IEL"/>
    <s v="IEL"/>
    <m/>
    <m/>
    <s v="Thaynara Borges"/>
    <n v="-426.92"/>
    <s v="Saída"/>
    <x v="0"/>
  </r>
  <r>
    <x v="127"/>
    <s v="Itaú - Lisboa e Lisboa"/>
    <s v="Honorários referente a estudo/planejamento previdenciário"/>
    <x v="2"/>
    <x v="2"/>
    <s v="JOSE VITORIO DE CARVALHO JUNIOR"/>
    <s v="JOSE VITORIO DE CARVALHO JUNIOR"/>
    <m/>
    <s v="PLANEJAMENTO PREVIDENCIÁRIO"/>
    <s v="Thaynara Borges"/>
    <n v="97.15"/>
    <s v="Entrada"/>
    <x v="1"/>
  </r>
  <r>
    <x v="128"/>
    <s v="Banco do Brasil - Sarah Alves Lisboa"/>
    <s v="30% Sob implantação"/>
    <x v="2"/>
    <x v="2"/>
    <s v="DALILA DE JESUS MORAES ROCHA"/>
    <s v="DALILA DE JESUS MORAES ROCHA"/>
    <m/>
    <s v="AUXILIO DOENÇA"/>
    <s v="Nathalia Louiz"/>
    <n v="152"/>
    <s v="Entrada"/>
    <x v="1"/>
  </r>
  <r>
    <x v="129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30"/>
    <s v="Banco do Brasil - Sarah Alves Lisboa"/>
    <s v="Cartão de Crédito Dra Thaynara"/>
    <x v="6"/>
    <x v="1"/>
    <s v="C6"/>
    <s v="C6"/>
    <m/>
    <m/>
    <s v="Thaynara Borges"/>
    <n v="-877.25"/>
    <s v="Saída"/>
    <x v="0"/>
  </r>
  <r>
    <x v="131"/>
    <s v="Banco do Brasil - Sarah Alves Lisboa"/>
    <s v="30% Sob implantação"/>
    <x v="2"/>
    <x v="2"/>
    <s v="MARCOS HENRIQUE SILVA SANTOS"/>
    <s v="MARCOS HENRIQUE SILVA SANTOS"/>
    <m/>
    <s v="BENEFÍCIO POR INCAPACIDADE"/>
    <s v="Nathalia Louiz"/>
    <n v="477"/>
    <s v="Entrada"/>
    <x v="1"/>
  </r>
  <r>
    <x v="131"/>
    <s v="Itaú - Lisboa e Lisboa"/>
    <s v="Rescisão de Contrato Trabalhista"/>
    <x v="15"/>
    <x v="6"/>
    <s v="Raffaela Nunes"/>
    <s v="Raffaela Nunes"/>
    <m/>
    <m/>
    <s v="Nathalia Louiz"/>
    <n v="-2616.83"/>
    <s v="Saída"/>
    <x v="0"/>
  </r>
  <r>
    <x v="132"/>
    <s v="Itaú - Lisboa e Lisboa"/>
    <s v="INSS"/>
    <x v="19"/>
    <x v="6"/>
    <s v="RECEITA FEDERAL"/>
    <s v="RECEITA FEDERAL"/>
    <m/>
    <m/>
    <s v="Thaynara Borges"/>
    <n v="-3219.5"/>
    <s v="Saída"/>
    <x v="0"/>
  </r>
  <r>
    <x v="132"/>
    <s v="Itaú - Lisboa e Lisboa"/>
    <s v="FGTS"/>
    <x v="18"/>
    <x v="6"/>
    <s v="FGTS"/>
    <s v="FGTS"/>
    <m/>
    <m/>
    <s v="Thaynara Borges"/>
    <n v="-589.23"/>
    <s v="Saída"/>
    <x v="0"/>
  </r>
  <r>
    <x v="132"/>
    <s v="Itaú - Lisboa e Lisboa"/>
    <s v="GUIA GFD - Rescisão de Contrato - Raffaela"/>
    <x v="18"/>
    <x v="6"/>
    <s v="FGTS"/>
    <s v="FGTS"/>
    <m/>
    <m/>
    <s v="Nathalia Louiz"/>
    <n v="-145.6"/>
    <s v="Saída"/>
    <x v="0"/>
  </r>
  <r>
    <x v="132"/>
    <s v="Itaú - Lisboa e Lisboa"/>
    <s v="Simples Nacional"/>
    <x v="20"/>
    <x v="7"/>
    <s v="Simples Nacional"/>
    <s v="Simples Nacional"/>
    <m/>
    <m/>
    <s v="Thaynara Borges"/>
    <n v="-16067.33"/>
    <s v="Saída"/>
    <x v="0"/>
  </r>
  <r>
    <x v="132"/>
    <s v="Banco do Brasil - Sarah Alves Lisboa"/>
    <s v="LIMPEZA"/>
    <x v="9"/>
    <x v="1"/>
    <s v="ELIZANGELA FERREIRA DA SILVA"/>
    <s v="ELIZANGELA FERREIRA DA SILVA"/>
    <m/>
    <m/>
    <s v="Nathalia Louiz"/>
    <n v="-170"/>
    <s v="Saída"/>
    <x v="0"/>
  </r>
  <r>
    <x v="133"/>
    <s v="Banco do Brasil - Sarah Alves Lisboa"/>
    <s v="30% sob ação de indenização"/>
    <x v="2"/>
    <x v="2"/>
    <s v="CAROLINE MATOS DE SOUZA"/>
    <s v="CAROLINE MATOS DE SOUZA"/>
    <m/>
    <s v="INDENIZAÇÃO DE DANOS MORAIS"/>
    <s v="Nathalia Louiz"/>
    <n v="1350"/>
    <s v="Entrada"/>
    <x v="1"/>
  </r>
  <r>
    <x v="133"/>
    <s v="Itaú - Lisboa e Lisboa"/>
    <s v="Água"/>
    <x v="17"/>
    <x v="1"/>
    <s v="SANEAGO GOIAS S/A"/>
    <s v="SANEAGO GOIAS S/A"/>
    <m/>
    <m/>
    <s v="Thaynara Borges"/>
    <n v="-134.25"/>
    <s v="Saída"/>
    <x v="0"/>
  </r>
  <r>
    <x v="134"/>
    <s v="Banco do Brasil - Sarah Alves Lisboa"/>
    <s v="Compras para Escritório"/>
    <x v="26"/>
    <x v="1"/>
    <s v="COSTA ATACADISTA"/>
    <s v="COSTA ATACADISTA"/>
    <m/>
    <m/>
    <s v="Nathalia Louiz"/>
    <n v="-451.16"/>
    <s v="Saída"/>
    <x v="0"/>
  </r>
  <r>
    <x v="134"/>
    <s v="Itaú - Lisboa e Lisboa"/>
    <s v="IPTU - BOX 82"/>
    <x v="30"/>
    <x v="1"/>
    <s v="PREFEITURA MUNICIPAL DE GOIÂNIA"/>
    <s v="PREFEITURA MUNICIPAL DE GOIÂNIA"/>
    <s v=""/>
    <m/>
    <s v="Nathalia Louiz"/>
    <n v="-42.74"/>
    <s v="Saída"/>
    <x v="0"/>
  </r>
  <r>
    <x v="134"/>
    <s v="Itaú - Lisboa e Lisboa"/>
    <s v="IPTU - BOX 83"/>
    <x v="30"/>
    <x v="1"/>
    <s v="PREFEITURA MUNICIPAL DE GOIÂNIA"/>
    <s v="PREFEITURA MUNICIPAL DE GOIÂNIA"/>
    <m/>
    <m/>
    <s v="Nathalia Louiz"/>
    <n v="-42.74"/>
    <s v="Saída"/>
    <x v="0"/>
  </r>
  <r>
    <x v="134"/>
    <s v="Itaú - Lisboa e Lisboa"/>
    <s v="IPTU - BOX 78"/>
    <x v="30"/>
    <x v="1"/>
    <s v="PREFEITURA MUNICIPAL DE GOIÂNIA"/>
    <s v="PREFEITURA MUNICIPAL DE GOIÂNIA"/>
    <m/>
    <m/>
    <s v="Nathalia Louiz"/>
    <n v="-42.74"/>
    <s v="Saída"/>
    <x v="0"/>
  </r>
  <r>
    <x v="134"/>
    <s v="Itaú - Lisboa e Lisboa"/>
    <s v="IPTU - BOX 88"/>
    <x v="30"/>
    <x v="1"/>
    <s v="PREFEITURA MUNICIPAL DE GOIÂNIA"/>
    <s v="PREFEITURA MUNICIPAL DE GOIÂNIA"/>
    <m/>
    <m/>
    <s v="Nathalia Louiz"/>
    <n v="-42.74"/>
    <s v="Saída"/>
    <x v="0"/>
  </r>
  <r>
    <x v="134"/>
    <s v="Banco do Brasil - Sarah Alves Lisboa"/>
    <s v="CURSO - IMERSÃO R.E.I VOX"/>
    <x v="34"/>
    <x v="6"/>
    <s v="EDUZZ TECNOLOGIA LTDA"/>
    <s v="EDUZZ TECNOLOGIA LTDA"/>
    <m/>
    <m/>
    <s v="Nathalia Louiz"/>
    <n v="-497"/>
    <s v="Saída"/>
    <x v="0"/>
  </r>
  <r>
    <x v="134"/>
    <s v="Itaú - Lisboa e Lisboa"/>
    <s v="IPTU - SALA B74"/>
    <x v="30"/>
    <x v="1"/>
    <s v="PREFEITURA MUNICIPAL DE GOIÂNIA"/>
    <s v="PREFEITURA MUNICIPAL DE GOIÂNIA"/>
    <m/>
    <m/>
    <s v="Nathalia Louiz"/>
    <n v="-125.57"/>
    <s v="Saída"/>
    <x v="0"/>
  </r>
  <r>
    <x v="134"/>
    <s v="Itaú - Lisboa e Lisboa"/>
    <s v="IPTU - BOX 81"/>
    <x v="30"/>
    <x v="1"/>
    <s v="PREFEITURA MUNICIPAL DE GOIÂNIA"/>
    <s v="PREFEITURA MUNICIPAL DE GOIÂNIA"/>
    <m/>
    <m/>
    <s v="Nathalia Louiz"/>
    <n v="-42.74"/>
    <s v="Saída"/>
    <x v="0"/>
  </r>
  <r>
    <x v="135"/>
    <s v="Banco do Brasil - Sarah Alves Lisboa"/>
    <s v="3 Benefícios - Implantação"/>
    <x v="2"/>
    <x v="2"/>
    <s v="MARIA MADALENA ALVES DA SILVA PAULA"/>
    <s v="MARIA MADALENA ALVES DA SILVA PAULA"/>
    <m/>
    <s v="PENSÃO POR MORTE"/>
    <s v="Nathalia Louiz"/>
    <n v="2277"/>
    <s v="Entrada"/>
    <x v="1"/>
  </r>
  <r>
    <x v="136"/>
    <s v="Banco do Brasil - Sarah Alves Lisboa"/>
    <s v="30% comissão Dra Karine"/>
    <x v="29"/>
    <x v="7"/>
    <s v="DARLENE CAIXETA DOS SANTOS"/>
    <s v="DARLENE CAIXETA DOS SANTOS"/>
    <m/>
    <s v="BENEFÍCIO POR INCAPACIDADE"/>
    <s v="Nathalia Louiz"/>
    <n v="-136.62"/>
    <s v="Saída"/>
    <x v="0"/>
  </r>
  <r>
    <x v="136"/>
    <s v="Banco do Brasil - Sarah Alves Lisboa"/>
    <s v="30% Sob implantação"/>
    <x v="2"/>
    <x v="2"/>
    <s v="LENY CORREIA DOS SANTOS"/>
    <s v="LENY CORREIA DOS SANTOS"/>
    <m/>
    <s v="APOSENTADORIA HÍBRIDA"/>
    <s v="Nathalia Louiz"/>
    <n v="455.4"/>
    <s v="Entrada"/>
    <x v="1"/>
  </r>
  <r>
    <x v="137"/>
    <s v="Banco do Brasil - Sarah Alves Lisboa"/>
    <s v="Honorários sob Ação de Interdição"/>
    <x v="2"/>
    <x v="2"/>
    <s v="LUCIANNA LEAO DIAS DOS REIS"/>
    <s v="LUCIANNA LEAO DIAS DOS REIS"/>
    <m/>
    <s v="INTERDIÇÃO"/>
    <s v="Nathalia Louiz"/>
    <n v="3500"/>
    <s v="Entrada"/>
    <x v="1"/>
  </r>
  <r>
    <x v="137"/>
    <s v="Banco do Brasil - Sarah Alves Lisboa"/>
    <s v="Combustível viagem Dr Sarah"/>
    <x v="27"/>
    <x v="4"/>
    <s v="POSTO 2824"/>
    <s v="POSTO 2824"/>
    <m/>
    <m/>
    <s v="Nathalia Louiz"/>
    <n v="-213.66"/>
    <s v="Saída"/>
    <x v="0"/>
  </r>
  <r>
    <x v="138"/>
    <s v="Itaú - Lisboa e Lisboa"/>
    <s v="Energia contrato 0067122663"/>
    <x v="21"/>
    <x v="1"/>
    <s v="EQUATORIAL GOIAS 0067122663"/>
    <s v="EQUATORIAL GOIAS 0067122663"/>
    <m/>
    <m/>
    <s v="Thaynara Borges"/>
    <n v="-477.27"/>
    <s v="Saída"/>
    <x v="0"/>
  </r>
  <r>
    <x v="138"/>
    <s v="Banco do Brasil - Sarah Alves Lisboa"/>
    <s v="Honorários de parceria caso VALENTINA SOUSA FONSECA"/>
    <x v="2"/>
    <x v="2"/>
    <s v="DR SILVIO CARNEIRO"/>
    <s v="DR SILVIO CARNEIRO"/>
    <m/>
    <m/>
    <s v="Nathalia Louiz"/>
    <n v="150"/>
    <s v="Entrada"/>
    <x v="1"/>
  </r>
  <r>
    <x v="138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38"/>
    <s v="Banco do Brasil - Sarah Alves Lisboa"/>
    <s v="RENDIMENTOS"/>
    <x v="39"/>
    <x v="0"/>
    <s v="BANCO DO BRASIL S/A"/>
    <s v="BANCO DO BRASIL S/A"/>
    <m/>
    <m/>
    <s v="Nathalia Louiz"/>
    <n v="0.3"/>
    <s v="Entrada"/>
    <x v="1"/>
  </r>
  <r>
    <x v="138"/>
    <s v="Itaú - Lisboa e Lisboa"/>
    <s v="Energia contrato 0067122721"/>
    <x v="21"/>
    <x v="1"/>
    <s v="EQUATORIAL GOIAS 0067122721"/>
    <s v="EQUATORIAL GOIAS 0067122721"/>
    <m/>
    <m/>
    <s v="Thaynara Borges"/>
    <n v="-369.56"/>
    <s v="Saída"/>
    <x v="0"/>
  </r>
  <r>
    <x v="138"/>
    <s v="Banco do Brasil - Sarah Alves Lisboa"/>
    <s v="Compras para escritório"/>
    <x v="26"/>
    <x v="1"/>
    <s v="SUPERMERCADO MOREIRA"/>
    <s v="SUPERMERCADO MOREIRA"/>
    <m/>
    <m/>
    <s v="Nathalia Louiz"/>
    <n v="-16.47"/>
    <s v="Saída"/>
    <x v="0"/>
  </r>
  <r>
    <x v="138"/>
    <s v="Banco do Brasil - Sarah Alves Lisboa"/>
    <s v="Valor de saque em Agência Avenida T-7 (Dinheiro para levar em viagem - Dra Sarah)"/>
    <x v="33"/>
    <x v="4"/>
    <s v="SAQUE DE VALORES"/>
    <s v="SAQUE DE VALORES"/>
    <m/>
    <m/>
    <s v="Nathalia Louiz"/>
    <n v="-500"/>
    <s v="Saída"/>
    <x v="0"/>
  </r>
  <r>
    <x v="139"/>
    <s v="Itaú - Lisboa e Lisboa"/>
    <s v="Bolsa Estagio"/>
    <x v="13"/>
    <x v="6"/>
    <s v="Laura Barbosa Marques"/>
    <s v="Laura Barbosa Marques"/>
    <m/>
    <m/>
    <s v="Thaynara Borges"/>
    <n v="-1300"/>
    <s v="Saída"/>
    <x v="0"/>
  </r>
  <r>
    <x v="139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139"/>
    <s v="Itaú - Lisboa e Lisboa"/>
    <s v="Honorário R$ 2.277,00 - Parceria com Dr Fernando  (50%)"/>
    <x v="2"/>
    <x v="2"/>
    <s v="JAIME RODRIGUES DE SOUZA"/>
    <s v="JAIME RODRIGUES DE SOUZA"/>
    <m/>
    <s v="APOSENTADORIA POR TEMPO DE CONTRIBUIÇÃO COM IDADE MÍNIMA"/>
    <s v="Nathalia Louiz"/>
    <n v="756.15"/>
    <s v="Entrada"/>
    <x v="1"/>
  </r>
  <r>
    <x v="139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139"/>
    <s v="Itaú - Lisboa e Lisboa"/>
    <s v="Retirada"/>
    <x v="22"/>
    <x v="8"/>
    <s v="Thaynara Borges Pereira"/>
    <s v="Thaynara Borges Pereira"/>
    <m/>
    <m/>
    <s v="Thaynara Borges"/>
    <n v="-4594.6899999999996"/>
    <s v="Saída"/>
    <x v="0"/>
  </r>
  <r>
    <x v="139"/>
    <s v="Banco do Brasil - Sarah Alves Lisboa"/>
    <s v="Salário"/>
    <x v="15"/>
    <x v="6"/>
    <s v="Raffaela Nunes"/>
    <s v="Raffaela Nunes"/>
    <m/>
    <m/>
    <s v="Thaynara Borges"/>
    <n v="-1920"/>
    <s v="Saída"/>
    <x v="0"/>
  </r>
  <r>
    <x v="139"/>
    <s v="Itaú - Lisboa e Lisboa"/>
    <s v="Salário"/>
    <x v="15"/>
    <x v="6"/>
    <s v="Nina Araujo"/>
    <s v="Nina Araujo"/>
    <m/>
    <m/>
    <s v="Thaynara Borges"/>
    <n v="-3208.61"/>
    <s v="Saída"/>
    <x v="0"/>
  </r>
  <r>
    <x v="139"/>
    <s v="Itaú - Lisboa e Lisboa"/>
    <s v="PRÓ-LABORE"/>
    <x v="23"/>
    <x v="8"/>
    <s v="Thaynara Borges Pereira"/>
    <s v="Thaynara Borges Pereira"/>
    <m/>
    <m/>
    <s v="Thaynara Borges"/>
    <n v="-405.31"/>
    <s v="Saída"/>
    <x v="0"/>
  </r>
  <r>
    <x v="139"/>
    <s v="Itaú - Lisboa e Lisboa"/>
    <s v="Salário"/>
    <x v="15"/>
    <x v="6"/>
    <s v="MARIA EDUARDA DE SOUZA"/>
    <s v="MARIA EDUARDA DE SOUZA"/>
    <m/>
    <m/>
    <s v="Nathalia Louiz"/>
    <n v="-2297.77"/>
    <s v="Saída"/>
    <x v="0"/>
  </r>
  <r>
    <x v="139"/>
    <s v="Banco do Brasil - Sarah Alves Lisboa"/>
    <s v="Cartucho para impressora"/>
    <x v="26"/>
    <x v="1"/>
    <s v="EXTRA CARTUCHOS"/>
    <s v="EXTRA CARTUCHOS"/>
    <m/>
    <m/>
    <s v="Nathalia Louiz"/>
    <n v="-180"/>
    <s v="Saída"/>
    <x v="0"/>
  </r>
  <r>
    <x v="139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140"/>
    <s v="Cartão de Crédito Dr Ivanildo"/>
    <s v="NB BAR E RESTAURANTE"/>
    <x v="11"/>
    <x v="1"/>
    <s v="BANCO ITAU"/>
    <s v="BANCO ITAU"/>
    <m/>
    <m/>
    <s v="Nathalia Louiz"/>
    <n v="-523.38"/>
    <s v="Saída"/>
    <x v="0"/>
  </r>
  <r>
    <x v="140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140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140"/>
    <s v="Cartão de Crédito Dr Ivanildo"/>
    <s v="SUPERMERCADO MOREIRA"/>
    <x v="11"/>
    <x v="1"/>
    <s v="BANCO ITAU"/>
    <s v="BANCO ITAU"/>
    <m/>
    <m/>
    <s v="Nathalia Louiz"/>
    <n v="-65.5"/>
    <s v="Saída"/>
    <x v="0"/>
  </r>
  <r>
    <x v="140"/>
    <s v="Cartão de Crédito Dr Ivanildo"/>
    <s v="CANAA FRIOS"/>
    <x v="11"/>
    <x v="1"/>
    <s v="BANCO ITAU"/>
    <s v="BANCO ITAU"/>
    <m/>
    <m/>
    <s v="Nathalia Louiz"/>
    <n v="-37.700000000000003"/>
    <s v="Saída"/>
    <x v="0"/>
  </r>
  <r>
    <x v="140"/>
    <s v="Cartão de Crédito Dr Ivanildo"/>
    <s v="Jusbrasil"/>
    <x v="12"/>
    <x v="1"/>
    <s v="BANCO ITAU"/>
    <s v="BANCO ITAU"/>
    <m/>
    <m/>
    <s v="Thaynara Borges"/>
    <n v="-58.9"/>
    <s v="Saída"/>
    <x v="0"/>
  </r>
  <r>
    <x v="140"/>
    <s v="Cartão de Crédito Dr Ivanildo"/>
    <s v="ASSAI ATACADISTA"/>
    <x v="11"/>
    <x v="1"/>
    <s v="BANCO ITAU"/>
    <s v="BANCO ITAU"/>
    <m/>
    <m/>
    <s v="Nathalia Louiz"/>
    <n v="-72.489999999999995"/>
    <s v="Saída"/>
    <x v="0"/>
  </r>
  <r>
    <x v="140"/>
    <s v="Cartão de Crédito Dr Ivanildo"/>
    <s v="Pagamento Cartão de Crédito Dr Ivanildo"/>
    <x v="6"/>
    <x v="1"/>
    <s v="BANCO ITAU"/>
    <s v="BANCO ITAU"/>
    <m/>
    <m/>
    <s v="Thaynara Borges"/>
    <n v="1975.87"/>
    <s v="Entrada"/>
    <x v="1"/>
  </r>
  <r>
    <x v="140"/>
    <s v="Itaú - Lisboa e Lisboa"/>
    <s v="RENDIMENTOS"/>
    <x v="39"/>
    <x v="0"/>
    <s v="BANCO ITAU"/>
    <s v="BANCO ITAU"/>
    <m/>
    <m/>
    <s v="Nathalia Louiz"/>
    <n v="7.34"/>
    <s v="Entrada"/>
    <x v="1"/>
  </r>
  <r>
    <x v="140"/>
    <s v="Banco do Brasil - Sarah Alves Lisboa"/>
    <s v="Parcela - Valor da Implantação (R$4.554,00)"/>
    <x v="2"/>
    <x v="2"/>
    <s v="MARIA MADALENA ALVES DA SILVA PAULA"/>
    <s v="MARIA MADALENA ALVES DA SILVA PAULA"/>
    <m/>
    <s v="PENSÃO POR MORTE"/>
    <s v="Nathalia Louiz"/>
    <n v="1138.5"/>
    <s v="Entrada"/>
    <x v="1"/>
  </r>
  <r>
    <x v="140"/>
    <s v="Cartão de Crédito Dr Ivanildo"/>
    <s v="Google One"/>
    <x v="12"/>
    <x v="1"/>
    <s v="BANCO ITAU"/>
    <s v="BANCO ITAU"/>
    <m/>
    <m/>
    <s v="Thaynara Borges"/>
    <n v="-14.99"/>
    <s v="Saída"/>
    <x v="0"/>
  </r>
  <r>
    <x v="140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140"/>
    <s v="Cartão de Crédito Dr Ivanildo"/>
    <s v="Jusbrasil"/>
    <x v="12"/>
    <x v="1"/>
    <s v="BANCO ITAU"/>
    <s v="BANCO ITAU"/>
    <m/>
    <m/>
    <s v="Thaynara Borges"/>
    <n v="-58.9"/>
    <s v="Saída"/>
    <x v="0"/>
  </r>
  <r>
    <x v="140"/>
    <s v="Cartão de Crédito Dr Ivanildo"/>
    <s v="CANAÃ FRIOS"/>
    <x v="11"/>
    <x v="1"/>
    <s v="BANCO ITAU"/>
    <s v="BANCO ITAU"/>
    <m/>
    <m/>
    <s v="Nathalia Louiz"/>
    <n v="-31.2"/>
    <s v="Saída"/>
    <x v="0"/>
  </r>
  <r>
    <x v="140"/>
    <s v="Cartão de Crédito Dr Ivanildo"/>
    <s v="ASA CURSOS"/>
    <x v="34"/>
    <x v="6"/>
    <s v="BANCO ITAU"/>
    <s v="BANCO ITAU"/>
    <m/>
    <m/>
    <s v="Nathalia Louiz"/>
    <n v="-59.9"/>
    <s v="Saída"/>
    <x v="0"/>
  </r>
  <r>
    <x v="140"/>
    <s v="Banco do Brasil - Sarah Alves Lisboa"/>
    <s v="Pagamento de Parceria para Dr Flavia : 50%"/>
    <x v="29"/>
    <x v="7"/>
    <s v="CAROLINE MATOS DE SOUZA"/>
    <s v="CAROLINE MATOS DE SOUZA"/>
    <m/>
    <s v="INDENIZAÇÃO DE DANOS MORAIS"/>
    <s v="Nathalia Louiz"/>
    <n v="-675"/>
    <s v="Saída"/>
    <x v="0"/>
  </r>
  <r>
    <x v="140"/>
    <s v="Cartão de Crédito Dr Ivanildo"/>
    <s v="CANAÃ FRIOS"/>
    <x v="11"/>
    <x v="1"/>
    <s v="BANCO ITAU"/>
    <s v="BANCO ITAU"/>
    <m/>
    <m/>
    <s v="Nathalia Louiz"/>
    <n v="-38.74"/>
    <s v="Saída"/>
    <x v="0"/>
  </r>
  <r>
    <x v="140"/>
    <s v="Banco do Brasil - Sarah Alves Lisboa"/>
    <s v="PAGAMENTO DE HONORÁRIOS - ACORDO APÓS EXECUÇÃO DO CONTRATO"/>
    <x v="2"/>
    <x v="2"/>
    <s v="MARCOS ANTONIO LOURENÇO DE TOLEDO"/>
    <s v="MARCOS ANTONIO LOURENÇO DE TOLEDO"/>
    <m/>
    <s v="AUXILIO DOENÇA"/>
    <s v="Nathalia Louiz"/>
    <n v="100"/>
    <s v="Entrada"/>
    <x v="1"/>
  </r>
  <r>
    <x v="140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140"/>
    <s v="Cartão de Crédito Dr Ivanildo"/>
    <s v="AMAZON BR"/>
    <x v="33"/>
    <x v="4"/>
    <s v="BANCO ITAU"/>
    <s v="BANCO ITAU"/>
    <m/>
    <m/>
    <s v="Nathalia Louiz"/>
    <n v="-44.99"/>
    <s v="Saída"/>
    <x v="0"/>
  </r>
  <r>
    <x v="140"/>
    <s v="Cartão de Crédito Dr Ivanildo"/>
    <s v="AMAZON BR"/>
    <x v="26"/>
    <x v="1"/>
    <s v="BANCO ITAU"/>
    <s v="BANCO ITAU"/>
    <m/>
    <m/>
    <s v="Nathalia Louiz"/>
    <n v="-280.52999999999997"/>
    <s v="Saída"/>
    <x v="0"/>
  </r>
  <r>
    <x v="140"/>
    <s v="Cartão de Crédito Dr Ivanildo"/>
    <s v="SUPERMERCADO MOREIRA"/>
    <x v="11"/>
    <x v="1"/>
    <s v="BANCO ITAU"/>
    <s v="BANCO ITAU"/>
    <m/>
    <m/>
    <s v="Nathalia Louiz"/>
    <n v="-84.71"/>
    <s v="Saída"/>
    <x v="0"/>
  </r>
  <r>
    <x v="140"/>
    <s v="Cartão de Crédito Dr Ivanildo"/>
    <s v="Google One"/>
    <x v="12"/>
    <x v="1"/>
    <s v="BANCO ITAU"/>
    <s v="BANCO ITAU"/>
    <m/>
    <m/>
    <s v="Thaynara Borges"/>
    <n v="-49.99"/>
    <s v="Saída"/>
    <x v="0"/>
  </r>
  <r>
    <x v="140"/>
    <s v="Cartão de Crédito Dr Ivanildo"/>
    <s v="Prévius - LOGIKE"/>
    <x v="12"/>
    <x v="1"/>
    <s v="BANCO ITAU"/>
    <s v="BANCO ITAU"/>
    <m/>
    <m/>
    <s v="Thaynara Borges"/>
    <n v="-80.91"/>
    <s v="Saída"/>
    <x v="0"/>
  </r>
  <r>
    <x v="140"/>
    <s v="Banco do Brasil - Sarah Alves Lisboa"/>
    <s v="30% sob implantação"/>
    <x v="2"/>
    <x v="2"/>
    <s v="MATHEUS HENRIQUE DE CARVALHO MIRANDA"/>
    <s v="MATHEUS HENRIQUE DE CARVALHO MIRANDA"/>
    <m/>
    <s v="PENSÃO POR MORTE"/>
    <s v="Nathalia Louiz"/>
    <n v="2300"/>
    <s v="Entrada"/>
    <x v="1"/>
  </r>
  <r>
    <x v="140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141"/>
    <s v="Banco do Brasil - Sarah Alves Lisboa"/>
    <s v="30% sobre implantação"/>
    <x v="2"/>
    <x v="2"/>
    <s v="DALILA DE JESUS MORAES ROCHA"/>
    <s v="DALILA DE JESUS MORAES ROCHA"/>
    <m/>
    <s v="AUXILIO DOENÇA"/>
    <s v="Nathalia Louiz"/>
    <n v="547"/>
    <s v="Entrada"/>
    <x v="1"/>
  </r>
  <r>
    <x v="141"/>
    <s v="Itaú - Lisboa e Lisboa"/>
    <s v="Honorários R$5000,00 (Parceria com Dr Luciano R$2.500) - 5 parcelas para cada."/>
    <x v="2"/>
    <x v="2"/>
    <s v="LUZIA VIEIRA DE JESUS NASCIMENTO"/>
    <s v="LUZIA VIEIRA DE JESUS NASCIMENTO"/>
    <m/>
    <s v="aposentadoria"/>
    <s v="Nathalia Louiz"/>
    <n v="500"/>
    <s v="Entrada"/>
    <x v="2"/>
  </r>
  <r>
    <x v="141"/>
    <s v="Banco do Brasil - Sarah Alves Lisboa"/>
    <s v="Honorários Sob Implantação"/>
    <x v="2"/>
    <x v="2"/>
    <s v="SEBASTIAO RIBEIRO NETO"/>
    <s v="SEBASTIAO RIBEIRO NETO"/>
    <m/>
    <s v="APOSENTADORIA POR TEMPO DE CONTRIBUIÇAO DA PESSOA COM DEFICIENCIA"/>
    <s v="Nathalia Louiz"/>
    <n v="1671"/>
    <s v="Entrada"/>
    <x v="1"/>
  </r>
  <r>
    <x v="142"/>
    <s v="Itaú - Lisboa e Lisboa"/>
    <s v="Plano mensal - conta corrente"/>
    <x v="4"/>
    <x v="3"/>
    <s v="BANCO ITAU"/>
    <s v="BANCO ITAU"/>
    <m/>
    <m/>
    <s v="Thaynara Borges"/>
    <n v="-261.75"/>
    <s v="Saída"/>
    <x v="4"/>
  </r>
  <r>
    <x v="143"/>
    <s v="Banco do Brasil - Sarah Alves Lisboa"/>
    <s v="3 BENEFICIOS"/>
    <x v="2"/>
    <x v="2"/>
    <s v="SERGIO HENRIQUE  MOREIRA LOPES"/>
    <s v="SERGIO HENRIQUE  MOREIRA LOPES"/>
    <m/>
    <s v="BENEFÍCIO POR INCAPACIDADE"/>
    <s v="Nathalia Louiz"/>
    <n v="1007.59"/>
    <s v="Entrada"/>
    <x v="1"/>
  </r>
  <r>
    <x v="143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43"/>
    <s v="Itaú - Lisboa e Lisboa"/>
    <s v="Parcelamento 3 BENEFICIOS"/>
    <x v="2"/>
    <x v="2"/>
    <s v="MATHEUS HENRIQUE DE CARVALHO MIRANDA"/>
    <s v="MATHEUS HENRIQUE DE CARVALHO MIRANDA"/>
    <m/>
    <s v="PENSÃO POR MORTE"/>
    <s v="Nathalia Louiz"/>
    <n v="563.5"/>
    <s v="Entrada"/>
    <x v="2"/>
  </r>
  <r>
    <x v="144"/>
    <s v="Cartão de Crédito Dra Thaynara"/>
    <s v="CALCULO JURIDICO - DIFERENÇA DE PLANO"/>
    <x v="12"/>
    <x v="1"/>
    <s v="C6"/>
    <s v="C6"/>
    <m/>
    <m/>
    <s v="Nathalia Louiz"/>
    <n v="-40.340000000000003"/>
    <s v="Saída"/>
    <x v="0"/>
  </r>
  <r>
    <x v="144"/>
    <s v="Cartão de Crédito Dra Thaynara"/>
    <s v="Cálculo Jurídico"/>
    <x v="12"/>
    <x v="1"/>
    <s v="C6"/>
    <s v="C6"/>
    <m/>
    <m/>
    <s v="Thaynara Borges"/>
    <n v="-79.95"/>
    <s v="Saída"/>
    <x v="0"/>
  </r>
  <r>
    <x v="144"/>
    <s v="Cartão de Crédito Dra Thaynara"/>
    <s v="ASTREA"/>
    <x v="12"/>
    <x v="1"/>
    <s v="C6"/>
    <s v="C6"/>
    <m/>
    <m/>
    <s v="Thaynara Borges"/>
    <n v="-501.05"/>
    <s v="Saída"/>
    <x v="0"/>
  </r>
  <r>
    <x v="144"/>
    <s v="Cartão de Crédito Dra Thaynara"/>
    <s v="Pagamento Cartão de Crédito Dra Thaynara"/>
    <x v="6"/>
    <x v="1"/>
    <s v="C6"/>
    <s v="C6"/>
    <m/>
    <m/>
    <s v="Nathalia Louiz"/>
    <n v="870.55"/>
    <s v="Entrada"/>
    <x v="1"/>
  </r>
  <r>
    <x v="144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145"/>
    <s v="Itaú - Lisboa e Lisboa"/>
    <s v="Taxa de Condomínio Vaga Garagem A-83"/>
    <x v="10"/>
    <x v="1"/>
    <s v="ATON BUSINESS STYLE"/>
    <s v="ATON BUSINESS STYLE"/>
    <m/>
    <m/>
    <s v="Thaynara Borges"/>
    <n v="-62.6"/>
    <s v="Saída"/>
    <x v="0"/>
  </r>
  <r>
    <x v="145"/>
    <s v="Itaú - Lisboa e Lisboa"/>
    <s v="Celular"/>
    <x v="8"/>
    <x v="1"/>
    <s v="VIVO"/>
    <s v="VIVO"/>
    <m/>
    <m/>
    <s v="Thaynara Borges"/>
    <n v="-137.37"/>
    <s v="Saída"/>
    <x v="0"/>
  </r>
  <r>
    <x v="145"/>
    <s v="Itaú - Lisboa e Lisboa"/>
    <s v="ANUIDADE (3 BENEFICIOS)"/>
    <x v="2"/>
    <x v="2"/>
    <s v="DARLENE CAIXETA DOS SANTOS"/>
    <s v="DARLENE CAIXETA DOS SANTOS"/>
    <m/>
    <s v="BENEFÍCIO POR INCAPACIDADE"/>
    <s v="Nathalia Louiz"/>
    <n v="455.4"/>
    <s v="Entrada"/>
    <x v="2"/>
  </r>
  <r>
    <x v="145"/>
    <s v="Itaú - Lisboa e Lisboa"/>
    <s v="Taxa de Condomínio Vaga Garagem A-82"/>
    <x v="10"/>
    <x v="1"/>
    <s v="ATON BUSINESS STYLE"/>
    <s v="ATON BUSINESS STYLE"/>
    <m/>
    <m/>
    <s v="Thaynara Borges"/>
    <n v="-62.6"/>
    <s v="Saída"/>
    <x v="0"/>
  </r>
  <r>
    <x v="145"/>
    <s v="Itaú - Lisboa e Lisboa"/>
    <s v="Taxa de Condomínio Vaga Garagem A-81"/>
    <x v="10"/>
    <x v="1"/>
    <s v="ATON BUSINESS STYLE"/>
    <s v="ATON BUSINESS STYLE"/>
    <m/>
    <m/>
    <s v="Thaynara Borges"/>
    <n v="-62.6"/>
    <s v="Saída"/>
    <x v="0"/>
  </r>
  <r>
    <x v="145"/>
    <s v="Itaú - Lisboa e Lisboa"/>
    <s v="Taxa de Condomínio Sala B-74"/>
    <x v="10"/>
    <x v="1"/>
    <s v="ATON BUSINESS STYLE"/>
    <s v="ATON BUSINESS STYLE"/>
    <m/>
    <m/>
    <s v="Thaynara Borges"/>
    <n v="-1445.14"/>
    <s v="Saída"/>
    <x v="0"/>
  </r>
  <r>
    <x v="145"/>
    <s v="Itaú - Lisboa e Lisboa"/>
    <s v="Cartão de Crédito Dr Ivanilldo"/>
    <x v="6"/>
    <x v="1"/>
    <s v="BANCO ITAU"/>
    <s v="BANCO ITAU"/>
    <m/>
    <m/>
    <s v="Thaynara Borges"/>
    <n v="-1975.87"/>
    <s v="Saída"/>
    <x v="0"/>
  </r>
  <r>
    <x v="145"/>
    <s v="Itaú - Lisboa e Lisboa"/>
    <s v="Taxa de Condomínio Vaga Garagem A-78"/>
    <x v="10"/>
    <x v="1"/>
    <s v="ATON BUSINESS STYLE"/>
    <s v="ATON BUSINESS STYLE"/>
    <m/>
    <m/>
    <s v="Thaynara Borges"/>
    <n v="-62.6"/>
    <s v="Saída"/>
    <x v="0"/>
  </r>
  <r>
    <x v="145"/>
    <s v="Banco do Brasil - Sarah Alves Lisboa"/>
    <s v="Parceria com Dr. Silvio"/>
    <x v="2"/>
    <x v="2"/>
    <s v="ANTONIO PEREIRA SOBRINHO"/>
    <s v="ANTONIO PEREIRA SOBRINHO"/>
    <m/>
    <m/>
    <s v="Thaynara Borges"/>
    <n v="354"/>
    <s v="Entrada"/>
    <x v="1"/>
  </r>
  <r>
    <x v="145"/>
    <s v="Itaú - Lisboa e Lisboa"/>
    <s v="Taxa de Condomínio Vaga Garagem A-88"/>
    <x v="10"/>
    <x v="1"/>
    <s v="ATON BUSINESS STYLE"/>
    <s v="ATON BUSINESS STYLE"/>
    <m/>
    <m/>
    <s v="Thaynara Borges"/>
    <n v="-62.6"/>
    <s v="Saída"/>
    <x v="0"/>
  </r>
  <r>
    <x v="145"/>
    <s v="Itaú - Lisboa e Lisboa"/>
    <s v="Taxa de Condomínio Sala B-73"/>
    <x v="10"/>
    <x v="1"/>
    <s v="ATON BUSINESS STYLE"/>
    <s v="ATON BUSINESS STYLE"/>
    <m/>
    <m/>
    <s v="Thaynara Borges"/>
    <n v="-1444.55"/>
    <s v="Saída"/>
    <x v="0"/>
  </r>
  <r>
    <x v="146"/>
    <s v="Banco do Brasil - Sarah Alves Lisboa"/>
    <s v="30% Sob implantação"/>
    <x v="2"/>
    <x v="2"/>
    <s v="SANDIA MOTTA MELO"/>
    <s v="SANDIA MOTTA MELO"/>
    <m/>
    <s v="APOSENTADORIA POR TEMPO DE CONTRIBUIÇÃO"/>
    <s v="Nathalia Louiz"/>
    <n v="3085.85"/>
    <s v="Entrada"/>
    <x v="1"/>
  </r>
  <r>
    <x v="146"/>
    <s v="Itaú - Lisboa e Lisboa"/>
    <s v="CONTRATO 9621661899"/>
    <x v="8"/>
    <x v="1"/>
    <s v="VIVO FIXO"/>
    <s v="VIVO FIXO"/>
    <m/>
    <m/>
    <s v="Thaynara Borges"/>
    <n v="-362.91"/>
    <s v="Saída"/>
    <x v="0"/>
  </r>
  <r>
    <x v="146"/>
    <s v="Itaú - Lisboa e Lisboa"/>
    <s v="CONTRATO 9309114969"/>
    <x v="8"/>
    <x v="1"/>
    <s v="VIVO FIXO"/>
    <s v="VIVO FIXO"/>
    <m/>
    <m/>
    <s v="Thaynara Borges"/>
    <n v="-130.53"/>
    <s v="Saída"/>
    <x v="0"/>
  </r>
  <r>
    <x v="147"/>
    <s v="Banco do Brasil - Sarah Alves Lisboa"/>
    <s v="3 BENEFICIOS"/>
    <x v="2"/>
    <x v="2"/>
    <s v="JOSELITA ALMEIDA DE SOUSA PEREIRA"/>
    <s v="JOSELITA ALMEIDA DE SOUSA PEREIRA"/>
    <m/>
    <s v="BENEFICIO ASSISTENCIAL AO DEFICIENTE"/>
    <s v="Nathalia Louiz"/>
    <n v="4554"/>
    <s v="Entrada"/>
    <x v="1"/>
  </r>
  <r>
    <x v="147"/>
    <s v="Itaú - Lisboa e Lisboa"/>
    <s v="Pagamento Cartão de Crédito Dra Sarah"/>
    <x v="6"/>
    <x v="1"/>
    <s v="BANCO ITAU"/>
    <s v="BANCO ITAU"/>
    <m/>
    <m/>
    <s v="Nathalia Louiz"/>
    <n v="-1482.74"/>
    <s v="Saída"/>
    <x v="0"/>
  </r>
  <r>
    <x v="147"/>
    <s v="Banco do Brasil - Sarah Alves Lisboa"/>
    <s v="40% sob Implantação"/>
    <x v="2"/>
    <x v="2"/>
    <s v="JOAO FERNANDES SOBRINHO"/>
    <s v="JOAO FERNANDES SOBRINHO"/>
    <m/>
    <s v="PENSÃO POR MORTE"/>
    <s v="Nathalia Louiz"/>
    <n v="4554"/>
    <s v="Entrada"/>
    <x v="1"/>
  </r>
  <r>
    <x v="147"/>
    <s v="Banco do Brasil - Sarah Alves Lisboa"/>
    <s v="30% sobre a implantação"/>
    <x v="2"/>
    <x v="2"/>
    <s v="ALINE NAOMI KAWAKAMI"/>
    <s v="ALINE NAOMI KAWAKAMI"/>
    <m/>
    <s v="BENEFÍCIO POR INCAPACIDADE"/>
    <s v="Thaynara Borges"/>
    <n v="2186.4"/>
    <s v="Entrada"/>
    <x v="1"/>
  </r>
  <r>
    <x v="148"/>
    <s v="Cartão de Crédito Dra Sarah"/>
    <s v="TERMO SUL ENGENHARIA"/>
    <x v="14"/>
    <x v="1"/>
    <s v="BANCO ITAU"/>
    <s v="BANCO ITAU"/>
    <m/>
    <m/>
    <s v="Nathalia Louiz"/>
    <n v="-300"/>
    <s v="Saída"/>
    <x v="0"/>
  </r>
  <r>
    <x v="148"/>
    <s v="Banco do Brasil - Sarah Alves Lisboa"/>
    <s v="Tarifa Bancária"/>
    <x v="4"/>
    <x v="3"/>
    <s v="BANCO DO BRASIL S/A"/>
    <s v="BANCO DO BRASIL S/A"/>
    <m/>
    <m/>
    <s v="Thaynara Borges"/>
    <n v="-15"/>
    <s v="Saída"/>
    <x v="0"/>
  </r>
  <r>
    <x v="148"/>
    <s v="Cartão de Crédito Dra Sarah"/>
    <s v="TERMO SUL ENGENHARIA"/>
    <x v="14"/>
    <x v="1"/>
    <s v="BANCO ITAU"/>
    <s v="BANCO ITAU"/>
    <m/>
    <m/>
    <s v="Nathalia Louiz"/>
    <n v="-394"/>
    <s v="Saída"/>
    <x v="0"/>
  </r>
  <r>
    <x v="148"/>
    <s v="Cartão de Crédito Dra Sarah"/>
    <s v="Cartão de crédito Dra Sarah"/>
    <x v="6"/>
    <x v="1"/>
    <s v="BANCO ITAU"/>
    <s v="BANCO ITAU"/>
    <m/>
    <m/>
    <s v="Nathalia Louiz"/>
    <n v="1482.74"/>
    <s v="Entrada"/>
    <x v="1"/>
  </r>
  <r>
    <x v="148"/>
    <s v="Cartão de Crédito Dra Sarah"/>
    <s v="TERMO SUL ENGENHARIA"/>
    <x v="14"/>
    <x v="1"/>
    <s v="BANCO ITAU"/>
    <s v="BANCO ITAU"/>
    <m/>
    <m/>
    <s v="Nathalia Louiz"/>
    <n v="-419.64"/>
    <s v="Saída"/>
    <x v="0"/>
  </r>
  <r>
    <x v="148"/>
    <s v="Cartão de Crédito Dra Sarah"/>
    <s v="ELVIRA ALVES DA SILVA"/>
    <x v="33"/>
    <x v="4"/>
    <s v="BANCO ITAU"/>
    <s v="BANCO ITAU"/>
    <m/>
    <m/>
    <s v="Nathalia Louiz"/>
    <n v="-144.99"/>
    <s v="Saída"/>
    <x v="0"/>
  </r>
  <r>
    <x v="148"/>
    <s v="Cartão de Crédito Dra Sarah"/>
    <s v="COMPRA MERCADO LIVRE"/>
    <x v="6"/>
    <x v="1"/>
    <s v="BANCO ITAU"/>
    <s v="BANCO ITAU"/>
    <m/>
    <m/>
    <s v="Nathalia Louiz"/>
    <n v="-224.11"/>
    <s v="Saída"/>
    <x v="0"/>
  </r>
  <r>
    <x v="148"/>
    <s v="Banco do Brasil - Sarah Alves Lisboa"/>
    <s v="30% + ANUIDADE"/>
    <x v="2"/>
    <x v="2"/>
    <s v="ISAEL MARCULINO DOS SANTOS"/>
    <s v="ISAEL MARCULINO DOS SANTOS"/>
    <m/>
    <s v="APOSENTADORIA POR TEMPO DE CONTRIBUIÇAO/ PORTADOR DE NECESSIDADES ESPECIAIS"/>
    <s v="Nathalia Louiz"/>
    <n v="3869.1"/>
    <s v="Entrada"/>
    <x v="1"/>
  </r>
  <r>
    <x v="148"/>
    <s v="Banco do Brasil - Sarah Alves Lisboa"/>
    <s v="Diferença ref.: 50% dos honorários (Parceria Dr Ajnaldo)"/>
    <x v="2"/>
    <x v="2"/>
    <s v="LEILA DO CARMO GONÇALVES OLIVEIRA"/>
    <s v="LEILA DO CARMO GONÇALVES OLIVEIRA"/>
    <m/>
    <s v="APOSENTADORIA POR IDADE RURAL"/>
    <s v="Thaynara Borges"/>
    <n v="305.8"/>
    <s v="Entrada"/>
    <x v="1"/>
  </r>
  <r>
    <x v="148"/>
    <s v="Itaú - Lisboa e Lisboa"/>
    <s v="IEL Estagiárias"/>
    <x v="13"/>
    <x v="6"/>
    <s v="IEL"/>
    <s v="IEL"/>
    <m/>
    <m/>
    <s v="Thaynara Borges"/>
    <n v="-106.73"/>
    <s v="Saída"/>
    <x v="0"/>
  </r>
  <r>
    <x v="149"/>
    <s v="Itaú - Lisboa e Lisboa"/>
    <s v="Honorários referente a estudo/planejamento previdenciário"/>
    <x v="2"/>
    <x v="2"/>
    <s v="JOSE VITORIO DE CARVALHO JUNIOR"/>
    <s v="JOSE VITORIO DE CARVALHO JUNIOR"/>
    <m/>
    <s v="PLANEJAMENTO PREVIDENCIÁRIO"/>
    <s v="Thaynara Borges"/>
    <n v="97.15"/>
    <s v="Entrada"/>
    <x v="1"/>
  </r>
  <r>
    <x v="149"/>
    <s v="Banco do Brasil - Sarah Alves Lisboa"/>
    <s v="100% Sucumbência"/>
    <x v="2"/>
    <x v="2"/>
    <s v="MARIA MACIEL DE CARVALHO"/>
    <s v="MARIA MACIEL DE CARVALHO"/>
    <m/>
    <s v="RESTABELECIMENTO DE PENSAO POR MORTE"/>
    <s v="Nathalia Louiz"/>
    <n v="6172.79"/>
    <s v="Entrada"/>
    <x v="1"/>
  </r>
  <r>
    <x v="149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50"/>
    <s v="Banco do Brasil - Sarah Alves Lisboa"/>
    <s v="30% Sob implantação"/>
    <x v="2"/>
    <x v="2"/>
    <s v="DALILA DE JESUS MORAES ROCHA"/>
    <s v="DALILA DE JESUS MORAES ROCHA"/>
    <m/>
    <s v="AUXILIO DOENÇA"/>
    <s v="Nathalia Louiz"/>
    <n v="60.6"/>
    <s v="Entrada"/>
    <x v="1"/>
  </r>
  <r>
    <x v="150"/>
    <s v="Banco do Brasil - Sarah Alves Lisboa"/>
    <s v="3 BENEFICIOS - PARCIAL (RESTANTE EM 3X de 759,00)"/>
    <x v="2"/>
    <x v="2"/>
    <s v="GENI MOURA NEVES"/>
    <s v="GENI MOURA NEVES"/>
    <m/>
    <s v="APOSENTADORIA POR IDADE URBANA"/>
    <s v="Nathalia Louiz"/>
    <n v="2277"/>
    <s v="Entrada"/>
    <x v="1"/>
  </r>
  <r>
    <x v="150"/>
    <s v="Banco do Brasil - Sarah Alves Lisboa"/>
    <s v="Implantação (R$ 4.544,00 sendo: R$ 4.000,00 dia 15/07/2025 e os R$ 554,00 no 5º dia útil de agosto)"/>
    <x v="2"/>
    <x v="2"/>
    <s v="NILVANDA CANDIDA DE MOURA OLIVEIRA"/>
    <s v="NILVANDA CANDIDA DE MOURA OLIVEIRA"/>
    <m/>
    <s v="APOSENTADORIA POR IDADE"/>
    <s v="Nathalia Louiz"/>
    <n v="4000"/>
    <s v="Entrada"/>
    <x v="1"/>
  </r>
  <r>
    <x v="150"/>
    <s v="Banco do Brasil - Sarah Alves Lisboa"/>
    <s v="Cartão de Crédito Dra Thaynara"/>
    <x v="6"/>
    <x v="1"/>
    <s v="C6"/>
    <s v="C6"/>
    <m/>
    <m/>
    <s v="Thaynara Borges"/>
    <n v="-870.55"/>
    <s v="Saída"/>
    <x v="0"/>
  </r>
  <r>
    <x v="150"/>
    <s v="Banco do Brasil - Sarah Alves Lisboa"/>
    <s v="70% Dr Vanessa - Comissão"/>
    <x v="29"/>
    <x v="7"/>
    <s v="MARIA MACIEL DE CARVALHO"/>
    <s v="MARIA MACIEL DE CARVALHO"/>
    <m/>
    <s v="RESTABELECIMENTO DE PENSAO POR MORTE"/>
    <s v="Nathalia Louiz"/>
    <n v="-4320.95"/>
    <s v="Saída"/>
    <x v="0"/>
  </r>
  <r>
    <x v="151"/>
    <s v="Banco do Brasil - Sarah Alves Lisboa"/>
    <s v="30% SOB IMPLANTAÇÃO"/>
    <x v="2"/>
    <x v="2"/>
    <s v="ANA CAROLINA SOARES DA SILVA"/>
    <s v="ANA CAROLINA SOARES DA SILVA"/>
    <m/>
    <s v="BENEFÍCIO POR INCAPACIDADE"/>
    <s v="Nathalia Louiz"/>
    <n v="993.3"/>
    <s v="Entrada"/>
    <x v="1"/>
  </r>
  <r>
    <x v="151"/>
    <s v="Itaú - Lisboa e Lisbo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2"/>
  </r>
  <r>
    <x v="152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52"/>
    <s v="Itaú - Lisboa e Lisboa"/>
    <s v="FGTS"/>
    <x v="18"/>
    <x v="6"/>
    <s v="FGTS"/>
    <s v="FGTS"/>
    <m/>
    <m/>
    <s v="Thaynara Borges"/>
    <n v="-485.23"/>
    <s v="Saída"/>
    <x v="0"/>
  </r>
  <r>
    <x v="152"/>
    <s v="Itaú - Lisboa e Lisboa"/>
    <s v="INSS"/>
    <x v="19"/>
    <x v="6"/>
    <s v="RECEITA FEDERAL"/>
    <s v="RECEITA FEDERAL"/>
    <m/>
    <m/>
    <s v="Thaynara Borges"/>
    <n v="-2923.83"/>
    <s v="Saída"/>
    <x v="0"/>
  </r>
  <r>
    <x v="153"/>
    <s v="Itaú - Lisboa e Lisboa"/>
    <s v="Água"/>
    <x v="17"/>
    <x v="1"/>
    <s v="SANEAGO GOIAS S/A"/>
    <s v="SANEAGO GOIAS S/A"/>
    <m/>
    <m/>
    <s v="Thaynara Borges"/>
    <n v="-108.71"/>
    <s v="Saída"/>
    <x v="0"/>
  </r>
  <r>
    <x v="153"/>
    <s v="Itaú - Lisboa e Lisboa"/>
    <s v="IPTU - SALA B74"/>
    <x v="30"/>
    <x v="1"/>
    <s v="PREFEITURA MUNICIPAL DE GOIÂNIA"/>
    <s v="PREFEITURA MUNICIPAL DE GOIÂNIA"/>
    <m/>
    <m/>
    <s v="Nathalia Louiz"/>
    <n v="-125.52"/>
    <s v="Saída"/>
    <x v="0"/>
  </r>
  <r>
    <x v="153"/>
    <s v="Itaú - Lisboa e Lisboa"/>
    <s v="Simples Nacional"/>
    <x v="20"/>
    <x v="7"/>
    <s v="Simples Nacional"/>
    <s v="Simples Nacional"/>
    <m/>
    <m/>
    <s v="Thaynara Borges"/>
    <n v="-788.63"/>
    <s v="Saída"/>
    <x v="0"/>
  </r>
  <r>
    <x v="153"/>
    <s v="Itaú - Lisboa e Lisboa"/>
    <s v="20% pela parceria com Dra. Nubia"/>
    <x v="2"/>
    <x v="2"/>
    <s v="GILNETH VIDAL DOS SANTOS"/>
    <s v="GILNETH VIDAL DOS SANTOS"/>
    <m/>
    <s v="ANALISAR PROCESSOS"/>
    <s v="Thaynara Borges"/>
    <n v="119.35"/>
    <s v="Entrada"/>
    <x v="2"/>
  </r>
  <r>
    <x v="154"/>
    <s v="Banco do Brasil - Sarah Alves Lisboa"/>
    <s v="30% SOB IMPLANTAÇÃO"/>
    <x v="2"/>
    <x v="2"/>
    <s v="NATANNE KELLY REIS DE SOUZA"/>
    <s v="NATANNE KELLY REIS DE SOUZA"/>
    <m/>
    <s v="BENEFÍCIO ASSISTENCIAL"/>
    <s v="Nathalia Louiz"/>
    <n v="455.4"/>
    <s v="Entrada"/>
    <x v="1"/>
  </r>
  <r>
    <x v="154"/>
    <s v="Banco do Brasil - Sarah Alves Lisboa"/>
    <s v="Anuidade R$ 8.967,07 (2.000 + 12x R$580,59)"/>
    <x v="2"/>
    <x v="2"/>
    <s v="ISAEL MARCULINO DOS SANTOS"/>
    <s v="ISAEL MARCULINO DOS SANTOS"/>
    <m/>
    <s v="APOSENTADORIA POR TEMPO DE CONTRIBUIÇAO/ PORTADOR DE NECESSIDADES ESPECIAIS"/>
    <s v="Nathalia Louiz"/>
    <n v="2000"/>
    <s v="Entrada"/>
    <x v="1"/>
  </r>
  <r>
    <x v="154"/>
    <s v="Banco do Brasil - 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154"/>
    <s v="Itaú - Lisboa e Lisboa"/>
    <s v="3 SALÁRIOS DE BENEFICIO"/>
    <x v="2"/>
    <x v="2"/>
    <s v="LUZIA FERREIRA AREBAS SHIMADA"/>
    <s v="LUZIA FERREIRA AREBAS SHIMADA"/>
    <m/>
    <s v="BENEFÍCIO ASSISTENCIAL AO IDOSO"/>
    <s v="Nathalia Louiz"/>
    <n v="4554"/>
    <s v="Entrada"/>
    <x v="2"/>
  </r>
  <r>
    <x v="155"/>
    <s v="Itaú - Lisboa e Lisboa"/>
    <s v="30% SOB ATRASADOS"/>
    <x v="2"/>
    <x v="2"/>
    <s v="MARIA EVA PEREIRA DE QUEIROZ"/>
    <s v="MARIA EVA PEREIRA DE QUEIROZ"/>
    <m/>
    <s v="BENEFÍCIO POR INCAPACIDADE"/>
    <s v="Nathalia Louiz"/>
    <n v="2682.46"/>
    <s v="Entrada"/>
    <x v="1"/>
  </r>
  <r>
    <x v="155"/>
    <s v="Banco do Brasil - Sarah Alves Lisboa"/>
    <s v="Comissão por Indicação ( DRA RAFFAELA)"/>
    <x v="29"/>
    <x v="7"/>
    <s v="NILVANDA CANDIDA DE MOURA OLIVEIRA"/>
    <s v="NILVANDA CANDIDA DE MOURA OLIVEIRA"/>
    <m/>
    <s v="APOSENTADORIA POR IDADE"/>
    <s v="Nathalia Louiz"/>
    <n v="-454.4"/>
    <s v="Saída"/>
    <x v="0"/>
  </r>
  <r>
    <x v="155"/>
    <s v="Banco do Brasil - Sarah Alves Lisboa"/>
    <s v="30% SOB IMPLANTAÇÃO (Menos 40% parceria Dr Kaique -  Valor total : 2155,2)"/>
    <x v="2"/>
    <x v="2"/>
    <s v="TELMA ROSA PEREIRA"/>
    <s v="TELMA ROSA PEREIRA"/>
    <m/>
    <s v="BENEFICIO POR INCAPACIDADE"/>
    <s v="Nathalia Louiz"/>
    <n v="1293.1199999999999"/>
    <s v="Entrada"/>
    <x v="1"/>
  </r>
  <r>
    <x v="155"/>
    <s v="Banco do Brasil - Sarah Alves Lisboa"/>
    <s v="30% sob implantação"/>
    <x v="2"/>
    <x v="2"/>
    <s v="Maria Alves Madureira"/>
    <s v="Maria Alves Madureira"/>
    <m/>
    <s v="AUXILIO DOENÇA/ APOSENTADORIA POR INVALIDEZ"/>
    <s v="Nathalia Louiz"/>
    <n v="910"/>
    <s v="Entrada"/>
    <x v="1"/>
  </r>
  <r>
    <x v="155"/>
    <s v="Banco do Brasil - Sarah Alves Lisboa"/>
    <s v="3 SALÁRIOS DE BENEFICIO (1000,00 + 5X 710,80)"/>
    <x v="2"/>
    <x v="2"/>
    <s v="ALDENY TELES DE OLIVEIRA NUNES"/>
    <s v="ALDENY TELES DE OLIVEIRA NUNES"/>
    <m/>
    <s v="APOSENTADORIA POR IDADE"/>
    <s v="Nathalia Louiz"/>
    <n v="1000"/>
    <s v="Entrada"/>
    <x v="1"/>
  </r>
  <r>
    <x v="155"/>
    <s v="Itaú - Lisboa e Lisboa"/>
    <s v="40% sob atrasados"/>
    <x v="2"/>
    <x v="2"/>
    <s v="LUCIANA TATIANA FERREIRA"/>
    <s v="LUCIANA TATIANA FERREIRA"/>
    <m/>
    <s v="BENEFÍCIO POR INCAPACIDADE"/>
    <s v="Nathalia Louiz"/>
    <n v="462.44"/>
    <s v="Entrada"/>
    <x v="1"/>
  </r>
  <r>
    <x v="155"/>
    <s v="Banco do Brasil - Sarah Alves Lisboa"/>
    <s v="30% SOB IMPLANTAÇÃO"/>
    <x v="2"/>
    <x v="2"/>
    <s v="LUCIMAR APARECIDA DOS REIS"/>
    <s v="LUCIMAR APARECIDA DOS REIS"/>
    <m/>
    <s v="Restabelecimento de Benefício por Incapacidade"/>
    <s v="Nathalia Louiz"/>
    <n v="910.8"/>
    <s v="Entrada"/>
    <x v="1"/>
  </r>
  <r>
    <x v="155"/>
    <s v="Itaú - Lisboa e Lisboa"/>
    <s v="30% sob ATRASADOS - RPV"/>
    <x v="2"/>
    <x v="2"/>
    <s v="VALDECI ALVES MOREIRA"/>
    <s v="VALDECI ALVES MOREIRA"/>
    <m/>
    <s v="AUXILIO DOENÇA"/>
    <s v="Nathalia Louiz"/>
    <n v="4183.8"/>
    <s v="Entrada"/>
    <x v="1"/>
  </r>
  <r>
    <x v="156"/>
    <s v="Banco do Brasil - Sarah Alves Lisboa"/>
    <s v="VIAGEM DRA SARAH"/>
    <x v="27"/>
    <x v="4"/>
    <s v="AUO POSTO MINAS"/>
    <s v="AUO POSTO MINAS"/>
    <m/>
    <m/>
    <s v="Nathalia Louiz"/>
    <n v="-220.38"/>
    <s v="Saída"/>
    <x v="0"/>
  </r>
  <r>
    <x v="156"/>
    <s v="Banco do Brasil - Sarah Alves Lisboa"/>
    <s v="VIAGEM "/>
    <x v="29"/>
    <x v="7"/>
    <s v="Laura Barbosa Marques"/>
    <s v="Laura Barbosa Marques"/>
    <m/>
    <m/>
    <s v="Nathalia Louiz"/>
    <n v="-100"/>
    <s v="Saída"/>
    <x v="0"/>
  </r>
  <r>
    <x v="156"/>
    <s v="Banco do Brasil - Sarah Alves Lisboa"/>
    <s v="LANCHES - VIAGEM DRA SARAH"/>
    <x v="11"/>
    <x v="1"/>
    <s v="EMPORIO WL BOLOS"/>
    <s v="EMPORIO WL BOLOS"/>
    <m/>
    <m/>
    <s v="Nathalia Louiz"/>
    <n v="-65.95"/>
    <s v="Saída"/>
    <x v="0"/>
  </r>
  <r>
    <x v="156"/>
    <s v="Banco do Brasil - Sarah Alves Lisboa"/>
    <s v="LANCHES - VIAGEM DRA SARAH"/>
    <x v="11"/>
    <x v="1"/>
    <s v="SUPERMERCADO MOREIRA"/>
    <s v="SUPERMERCADO MOREIRA"/>
    <m/>
    <m/>
    <s v="Nathalia Louiz"/>
    <n v="-41.43"/>
    <s v="Saída"/>
    <x v="0"/>
  </r>
  <r>
    <x v="156"/>
    <s v="Banco do Brasil - Sarah Alves Lisboa"/>
    <s v="PARCEIRIA DR SILVIO - Honorários de parceria caso VALENTINA SOUSA FONSECA"/>
    <x v="2"/>
    <x v="2"/>
    <s v="VALENTINA SOUSA FONSECA"/>
    <s v="VALENTINA SOUSA FONSECA"/>
    <m/>
    <s v="SOLICITAR PAGAMENTOS NÃO RECEBIDOS"/>
    <s v="Nathalia Louiz"/>
    <n v="168"/>
    <s v="Entrada"/>
    <x v="1"/>
  </r>
  <r>
    <x v="156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57"/>
    <s v="Itaú - Lisboa e Lisboa"/>
    <s v="TAXA DA MUDANÇA RAZÃO SOCIAL ESCRITÓRIO"/>
    <x v="31"/>
    <x v="9"/>
    <s v="PREFEITURA MUNICIPAL DE GOIÂNIA"/>
    <s v="PREFEITURA MUNICIPAL DE GOIÂNIA"/>
    <m/>
    <m/>
    <s v="Nathalia Louiz"/>
    <n v="-223.9"/>
    <s v="Saída"/>
    <x v="0"/>
  </r>
  <r>
    <x v="157"/>
    <s v="Banco do Brasil - Sarah Alves Lisboa"/>
    <s v="REENBOLSO - ANIVERSÁRIO DRA THAYNARA"/>
    <x v="38"/>
    <x v="10"/>
    <s v="SARAH ALVES LISBOA"/>
    <s v="SARAH ALVES LISBOA"/>
    <m/>
    <m/>
    <s v="Nathalia Louiz"/>
    <n v="-278.06"/>
    <s v="Saída"/>
    <x v="0"/>
  </r>
  <r>
    <x v="157"/>
    <s v="Itaú - Lisboa e Lisboa"/>
    <s v="OBRA - REFORMA DO ESCRITÓRIO"/>
    <x v="14"/>
    <x v="1"/>
    <s v="RAFHAEL LISBOA DA SILVA"/>
    <s v="RAFHAEL LISBOA DA SILVA"/>
    <m/>
    <m/>
    <s v="Nathalia Louiz"/>
    <n v="-2360"/>
    <s v="Saída"/>
    <x v="0"/>
  </r>
  <r>
    <x v="157"/>
    <s v="Banco do Brasil - Sarah Alves Lisboa"/>
    <s v="30% Sob Honorários"/>
    <x v="2"/>
    <x v="2"/>
    <s v="DOMINGOS DA TRINDADE SILVA"/>
    <s v="DOMINGOS DA TRINDADE SILVA"/>
    <m/>
    <s v="BENEFÍCIO POR INCAPACIDADE"/>
    <s v="Nathalia Louiz"/>
    <n v="819.3"/>
    <s v="Entrada"/>
    <x v="1"/>
  </r>
  <r>
    <x v="158"/>
    <s v="Banco do Brasil - Sarah Alves Lisboa"/>
    <s v="30% SOB IMPLANTAÇÃO"/>
    <x v="2"/>
    <x v="2"/>
    <s v="DIVINA PEREIRA DA SILVA"/>
    <s v="DIVINA PEREIRA DA SILVA"/>
    <m/>
    <s v="BENEFÍCIO POR INCAPACIDADE"/>
    <s v="Nathalia Louiz"/>
    <n v="495"/>
    <s v="Entrada"/>
    <x v="1"/>
  </r>
  <r>
    <x v="158"/>
    <s v="Itaú - Lisboa e Lisboa"/>
    <s v="Honorário R$ 2.277,00 - Parceria com Dr Fernando  (50%)"/>
    <x v="2"/>
    <x v="2"/>
    <s v="JAIME RODRIGUES DE SOUZA"/>
    <s v="JAIME RODRIGUES DE SOUZA"/>
    <m/>
    <s v="APOSENTADORIA POR TEMPO DE CONTRIBUIÇÃO COM IDADE MÍNIMA"/>
    <s v="Nathalia Louiz"/>
    <n v="756.15"/>
    <s v="Entrada"/>
    <x v="1"/>
  </r>
  <r>
    <x v="158"/>
    <s v="Itaú - Lisboa e Lisboa"/>
    <s v="Energia contrato 0067122721"/>
    <x v="21"/>
    <x v="1"/>
    <s v="EQUATORIAL GOIAS 0067122721"/>
    <s v="EQUATORIAL GOIAS 0067122721"/>
    <m/>
    <m/>
    <s v="Thaynara Borges"/>
    <n v="-323.64"/>
    <s v="Saída"/>
    <x v="0"/>
  </r>
  <r>
    <x v="158"/>
    <s v="Itaú - Lisboa e Lisboa"/>
    <s v="30% SOB IMPLANTAÇÃO"/>
    <x v="2"/>
    <x v="2"/>
    <s v="GLAUCINEIDE RODRIGUES DA SILVA"/>
    <s v="GLAUCINEIDE RODRIGUES DA SILVA"/>
    <m/>
    <s v="BENEFÍCIO POR INCAPACIDADE"/>
    <s v="Nathalia Louiz"/>
    <n v="623"/>
    <s v="Entrada"/>
    <x v="2"/>
  </r>
  <r>
    <x v="158"/>
    <s v="Itaú - Lisboa e Lisboa"/>
    <s v="Energia contrato 0067122663"/>
    <x v="21"/>
    <x v="1"/>
    <s v="EQUATORIAL GOIAS 0067122663"/>
    <s v="EQUATORIAL GOIAS 0067122663"/>
    <m/>
    <m/>
    <s v="Thaynara Borges"/>
    <n v="-339.2"/>
    <s v="Saída"/>
    <x v="0"/>
  </r>
  <r>
    <x v="159"/>
    <s v="Itaú - Lisboa e Lisboa"/>
    <s v="Retirada"/>
    <x v="22"/>
    <x v="8"/>
    <s v="Thaynara Borges Pereira"/>
    <s v="Thaynara Borges Pereira"/>
    <m/>
    <m/>
    <s v="Thaynara Borges"/>
    <n v="-5000"/>
    <s v="Saída"/>
    <x v="0"/>
  </r>
  <r>
    <x v="159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159"/>
    <s v="Banco do Brasil - Sarah Alves Lisboa"/>
    <s v="Salário"/>
    <x v="15"/>
    <x v="6"/>
    <s v="Raffaela Nunes"/>
    <s v="Raffaela Nunes"/>
    <m/>
    <m/>
    <s v="Thaynara Borges"/>
    <n v="-3200"/>
    <s v="Saída"/>
    <x v="0"/>
  </r>
  <r>
    <x v="159"/>
    <s v="Banco do Brasil - Sarah Alves Lisboa"/>
    <s v="COMISSÃO POR META BATIDA"/>
    <x v="29"/>
    <x v="7"/>
    <s v="MARIA EDUARDA DE SOUZA"/>
    <s v="MARIA EDUARDA DE SOUZA"/>
    <m/>
    <m/>
    <s v="Nathalia Louiz"/>
    <n v="-300"/>
    <s v="Saída"/>
    <x v="0"/>
  </r>
  <r>
    <x v="159"/>
    <s v="Banco do Brasil - Sarah Alves Lisboa"/>
    <s v="COMISSÃO POR META BATIDA"/>
    <x v="29"/>
    <x v="7"/>
    <s v="Sarah Alves Lisboa"/>
    <s v="Sarah Alves Lisboa"/>
    <m/>
    <m/>
    <s v="Nathalia Louiz"/>
    <n v="-300"/>
    <s v="Saída"/>
    <x v="0"/>
  </r>
  <r>
    <x v="159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159"/>
    <s v="Banco do Brasil - Sarah Alves Lisboa"/>
    <s v="COMPRAS PARA O ESCRITÓRIO"/>
    <x v="11"/>
    <x v="1"/>
    <s v="SUPERMERCADO MOREIRA"/>
    <s v="SUPERMERCADO MOREIRA"/>
    <m/>
    <m/>
    <s v="Nathalia Louiz"/>
    <n v="-111.11"/>
    <s v="Saída"/>
    <x v="0"/>
  </r>
  <r>
    <x v="159"/>
    <s v="Itaú - Lisboa e Lisboa"/>
    <s v="Salário"/>
    <x v="15"/>
    <x v="6"/>
    <s v="MARIA EDUARDA DE SOUZA"/>
    <s v="MARIA EDUARDA DE SOUZA"/>
    <m/>
    <m/>
    <s v="Nathalia Louiz"/>
    <n v="-2339.41"/>
    <s v="Saída"/>
    <x v="0"/>
  </r>
  <r>
    <x v="159"/>
    <s v="Itaú - Lisboa e Lisboa"/>
    <s v="Bolsa Estagio"/>
    <x v="13"/>
    <x v="6"/>
    <s v="Laura Barbosa Marques"/>
    <s v="Laura Barbosa Marques"/>
    <m/>
    <m/>
    <s v="Thaynara Borges"/>
    <n v="-1300"/>
    <s v="Saída"/>
    <x v="0"/>
  </r>
  <r>
    <x v="159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159"/>
    <s v="Banco do Brasil - Sarah Alves Lisboa"/>
    <s v="COMISSÃO POR META BATIDA"/>
    <x v="29"/>
    <x v="7"/>
    <s v="Raffaela Nunes"/>
    <s v="Raffaela Nunes"/>
    <m/>
    <m/>
    <s v="Nathalia Louiz"/>
    <n v="-300"/>
    <s v="Saída"/>
    <x v="0"/>
  </r>
  <r>
    <x v="159"/>
    <s v="Itaú - Lisboa e Lisboa"/>
    <s v="RENDIMENTOS"/>
    <x v="39"/>
    <x v="0"/>
    <s v="BANCO ITAÚ S/A"/>
    <s v="BANCO ITAÚ S/A"/>
    <m/>
    <m/>
    <s v="Nathalia Louiz"/>
    <n v="11.57"/>
    <s v="Entrada"/>
    <x v="1"/>
  </r>
  <r>
    <x v="159"/>
    <s v="Itaú - Lisboa e Lisboa"/>
    <s v="Salário"/>
    <x v="15"/>
    <x v="6"/>
    <s v="Nina Araujo"/>
    <s v="Nina Araujo"/>
    <m/>
    <m/>
    <s v="Thaynara Borges"/>
    <n v="-3381.96"/>
    <s v="Saída"/>
    <x v="0"/>
  </r>
  <r>
    <x v="159"/>
    <s v="Banco do Brasil - Sarah Alves Lisboa"/>
    <s v="REEMBOLSO DE FRIOS"/>
    <x v="38"/>
    <x v="10"/>
    <s v="EVANILZA ARAUJO MORAES"/>
    <s v="EVANILZA ARAUJO MORAES"/>
    <m/>
    <m/>
    <s v="Nathalia Louiz"/>
    <n v="22.36"/>
    <s v="Entrada"/>
    <x v="1"/>
  </r>
  <r>
    <x v="159"/>
    <s v="Banco do Brasil - Sarah Alves Lisboa"/>
    <s v="COMISSÃO POR META BATIDA"/>
    <x v="29"/>
    <x v="7"/>
    <s v="Thaynara Borges Pereira"/>
    <s v="Thaynara Borges Pereira"/>
    <m/>
    <m/>
    <s v="Nathalia Louiz"/>
    <n v="-300"/>
    <s v="Saída"/>
    <x v="0"/>
  </r>
  <r>
    <x v="159"/>
    <s v="Banco do Brasil - Sarah Alves Lisboa"/>
    <s v="COMISSÃO POR META BATIDA"/>
    <x v="29"/>
    <x v="7"/>
    <s v="EVANILZA ARAUJO MORAES"/>
    <s v="EVANILZA ARAUJO MORAES"/>
    <m/>
    <m/>
    <s v="Nathalia Louiz"/>
    <n v="-300"/>
    <s v="Saída"/>
    <x v="0"/>
  </r>
  <r>
    <x v="159"/>
    <s v="Banco do Brasil - Sarah Alves Lisboa"/>
    <s v="COMISSÃO DE META BATIDA"/>
    <x v="29"/>
    <x v="7"/>
    <s v="Laura Barbosa Marques"/>
    <s v="Laura Barbosa Marques"/>
    <m/>
    <m/>
    <s v="Nathalia Louiz"/>
    <n v="-300"/>
    <s v="Saída"/>
    <x v="0"/>
  </r>
  <r>
    <x v="160"/>
    <s v="Banco do Brasil - Sarah Alves Lisboa"/>
    <s v="ALMOÇO DE META BATIDA"/>
    <x v="11"/>
    <x v="1"/>
    <s v="CASERATTO"/>
    <s v="CASERATTO"/>
    <m/>
    <m/>
    <s v="Nathalia Louiz"/>
    <n v="-368.61"/>
    <s v="Saída"/>
    <x v="0"/>
  </r>
  <r>
    <x v="160"/>
    <s v="Cartão de Crédito Dra Sarah"/>
    <s v="TERMO SUL ENGENHARIA"/>
    <x v="14"/>
    <x v="1"/>
    <s v="BANCO ITAU"/>
    <s v="BANCO ITAU"/>
    <m/>
    <m/>
    <s v="Nathalia Louiz"/>
    <n v="-394"/>
    <s v="Saída"/>
    <x v="0"/>
  </r>
  <r>
    <x v="160"/>
    <s v="Cartão de Crédito Dr Ivanildo"/>
    <s v="Prévius"/>
    <x v="12"/>
    <x v="1"/>
    <s v="BANCO ITAU"/>
    <s v="BANCO ITAU"/>
    <m/>
    <m/>
    <s v="Thaynara Borges"/>
    <n v="-80.91"/>
    <s v="Saída"/>
    <x v="0"/>
  </r>
  <r>
    <x v="160"/>
    <s v="Cartão de Crédito Dr Ivanildo"/>
    <s v="MAXX FRIOS"/>
    <x v="11"/>
    <x v="1"/>
    <s v="BANCO ITAÚ S/A"/>
    <s v="BANCO ITAÚ S/A"/>
    <m/>
    <m/>
    <s v="Nathalia Louiz"/>
    <n v="-60.39"/>
    <s v="Saída"/>
    <x v="0"/>
  </r>
  <r>
    <x v="160"/>
    <s v="Banco do Brasil - Sarah Alves Lisboa"/>
    <s v="PAGAMENTO DE HONORÁRIOS - ACORDO APÓS EXECUÇÃO DO CONTRATO"/>
    <x v="2"/>
    <x v="2"/>
    <s v="MARCOS ANTONIO LOURENÇO DE TOLEDO"/>
    <s v="MARCOS ANTONIO LOURENÇO DE TOLEDO"/>
    <m/>
    <s v="AUXILIO DOENÇA"/>
    <s v="Nathalia Louiz"/>
    <n v="500"/>
    <s v="Entrada"/>
    <x v="1"/>
  </r>
  <r>
    <x v="160"/>
    <s v="Banco do Brasil - Sarah Alves Lisboa"/>
    <s v="ALMOÇO DE META BATIDA"/>
    <x v="11"/>
    <x v="1"/>
    <s v="CASERATTO"/>
    <s v="CASERATTO"/>
    <m/>
    <m/>
    <s v="Nathalia Louiz"/>
    <n v="-25"/>
    <s v="Saída"/>
    <x v="0"/>
  </r>
  <r>
    <x v="160"/>
    <s v="Cartão de Crédito Dr Ivanildo"/>
    <s v="Jusbrasil"/>
    <x v="12"/>
    <x v="1"/>
    <s v="BANCO ITAU"/>
    <s v="BANCO ITAU"/>
    <m/>
    <m/>
    <s v="Thaynara Borges"/>
    <n v="-58.9"/>
    <s v="Saída"/>
    <x v="0"/>
  </r>
  <r>
    <x v="160"/>
    <s v="Cartão de Crédito Dr Ivanildo"/>
    <s v="ASA CURSOS"/>
    <x v="34"/>
    <x v="6"/>
    <s v="BANCO ITAU"/>
    <s v="BANCO ITAU"/>
    <m/>
    <m/>
    <s v="Nathalia Louiz"/>
    <n v="-59.9"/>
    <s v="Saída"/>
    <x v="0"/>
  </r>
  <r>
    <x v="160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160"/>
    <s v="Banco do Brasil - Sarah Alves Lisboa"/>
    <s v="3 BENEFICIOS - PARCIAL (RESTANTE EM 3X de 759,00)"/>
    <x v="2"/>
    <x v="2"/>
    <s v="GENI MOURA NEVES"/>
    <s v="GENI MOURA NEVES"/>
    <m/>
    <s v="APOSENTADORIA POR IDADE URBANA"/>
    <s v="Nathalia Louiz"/>
    <n v="759"/>
    <s v="Entrada"/>
    <x v="1"/>
  </r>
  <r>
    <x v="160"/>
    <s v="Cartão de Crédito Dra Sarah"/>
    <s v="COMPRA MERCADO LIVRE"/>
    <x v="6"/>
    <x v="1"/>
    <s v="BANCO ITAU"/>
    <s v="BANCO ITAU"/>
    <m/>
    <m/>
    <s v="Nathalia Louiz"/>
    <n v="-224.99"/>
    <s v="Saída"/>
    <x v="0"/>
  </r>
  <r>
    <x v="160"/>
    <s v="Banco do Brasil - Sarah Alves Lisboa"/>
    <s v="RPV DE SUCUMBÊNCIA"/>
    <x v="2"/>
    <x v="2"/>
    <s v="ROSALIA SOARES LEITE"/>
    <s v="ROSALIA SOARES LEITE"/>
    <m/>
    <s v="CONCESSAO DE PROVENTOS INTEGRAIS DA APOSENTADORIA POR INVALIDEZ"/>
    <s v="Nathalia Louiz"/>
    <n v="4554.28"/>
    <s v="Entrada"/>
    <x v="1"/>
  </r>
  <r>
    <x v="160"/>
    <s v="Cartão de Crédito Dr Ivanildo"/>
    <s v="EXTRA CARTUCHOS"/>
    <x v="26"/>
    <x v="1"/>
    <s v="BANCO ITAÚ S/A"/>
    <s v="BANCO ITAÚ S/A"/>
    <m/>
    <m/>
    <s v="Nathalia Louiz"/>
    <n v="-120"/>
    <s v="Saída"/>
    <x v="0"/>
  </r>
  <r>
    <x v="160"/>
    <s v="Itaú - Lisboa e Lisboa"/>
    <s v="OBRA - CONSTRUTOR DA REFORMA (VALOR TOTAL R$8.500,00)"/>
    <x v="14"/>
    <x v="1"/>
    <s v="EDVAN CANDIDO DOS SANTOS"/>
    <s v="EDVAN CANDIDO DOS SANTOS"/>
    <m/>
    <m/>
    <s v="Nathalia Louiz"/>
    <n v="-4000"/>
    <s v="Saída"/>
    <x v="0"/>
  </r>
  <r>
    <x v="160"/>
    <s v="Banco do Brasil - Sarah Alves Lisboa"/>
    <s v="LIMPEZA POS OBRA"/>
    <x v="9"/>
    <x v="1"/>
    <s v="MIRIAM LINA PINTO DOS SANTOS"/>
    <s v="MIRIAM LINA PINTO DOS SANTOS"/>
    <m/>
    <m/>
    <s v="Nathalia Louiz"/>
    <n v="-200"/>
    <s v="Saída"/>
    <x v="0"/>
  </r>
  <r>
    <x v="160"/>
    <s v="Cartão de Crédito Dr Ivanildo"/>
    <s v="CANAÃ FRIOS"/>
    <x v="11"/>
    <x v="1"/>
    <s v="BANCO ITAU"/>
    <s v="BANCO ITAU"/>
    <m/>
    <m/>
    <s v="Nathalia Louiz"/>
    <n v="-29.46"/>
    <s v="Saída"/>
    <x v="0"/>
  </r>
  <r>
    <x v="160"/>
    <s v="Banco do Brasil - Sarah Alves Lisboa"/>
    <s v="LIMPEZA - 1 DIÁRIA"/>
    <x v="9"/>
    <x v="1"/>
    <s v="ELIZANGELA FERREIRA DA SILVA"/>
    <s v="ELIZANGELA FERREIRA DA SILVA"/>
    <m/>
    <m/>
    <s v="Nathalia Louiz"/>
    <n v="-170"/>
    <s v="Saída"/>
    <x v="0"/>
  </r>
  <r>
    <x v="160"/>
    <s v="Cartão de Crédito Dra Sarah"/>
    <s v="TERMO SUL ENGENHARIA"/>
    <x v="14"/>
    <x v="1"/>
    <s v="BANCO ITAU"/>
    <s v="BANCO ITAU"/>
    <m/>
    <m/>
    <s v="Nathalia Louiz"/>
    <n v="-419.68"/>
    <s v="Saída"/>
    <x v="0"/>
  </r>
  <r>
    <x v="160"/>
    <s v="Cartão de Crédito Dr Ivanildo"/>
    <s v="Google One"/>
    <x v="12"/>
    <x v="1"/>
    <s v="BANCO ITAU"/>
    <s v="BANCO ITAU"/>
    <m/>
    <m/>
    <s v="Thaynara Borges"/>
    <n v="-49.99"/>
    <s v="Saída"/>
    <x v="0"/>
  </r>
  <r>
    <x v="160"/>
    <s v="Cartão de Crédito Dr Ivanildo"/>
    <s v="CRISTAL FESTAS - FESTINHA DRA THAYNARA"/>
    <x v="11"/>
    <x v="1"/>
    <s v="BANCO ITAÚ S/A"/>
    <s v="BANCO ITAÚ S/A"/>
    <m/>
    <m/>
    <s v="Nathalia Louiz"/>
    <n v="-55.04"/>
    <s v="Saída"/>
    <x v="0"/>
  </r>
  <r>
    <x v="160"/>
    <s v="Cartão de Crédito Dra Sarah"/>
    <s v="TERMO SUL ENGENHARIA"/>
    <x v="14"/>
    <x v="1"/>
    <s v="BANCO ITAU"/>
    <s v="BANCO ITAU"/>
    <m/>
    <m/>
    <s v="Nathalia Louiz"/>
    <n v="-300"/>
    <s v="Saída"/>
    <x v="0"/>
  </r>
  <r>
    <x v="160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160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160"/>
    <s v="Cartão de Crédito Dr Ivanildo"/>
    <s v="Google One"/>
    <x v="12"/>
    <x v="1"/>
    <s v="BANCO ITAU"/>
    <s v="BANCO ITAU"/>
    <m/>
    <m/>
    <s v="Thaynara Borges"/>
    <n v="-14.99"/>
    <s v="Saída"/>
    <x v="0"/>
  </r>
  <r>
    <x v="160"/>
    <s v="Cartão de Crédito Dr Ivanildo"/>
    <s v="Jusbrasil"/>
    <x v="12"/>
    <x v="1"/>
    <s v="BANCO ITAU"/>
    <s v="BANCO ITAU"/>
    <m/>
    <m/>
    <s v="Thaynara Borges"/>
    <n v="-58.9"/>
    <s v="Saída"/>
    <x v="0"/>
  </r>
  <r>
    <x v="160"/>
    <s v="Cartão de Crédito Dra Sarah"/>
    <s v="Cartão de crédito Dra Sarah"/>
    <x v="6"/>
    <x v="1"/>
    <s v="BANCO ITAU"/>
    <s v="BANCO ITAU"/>
    <m/>
    <m/>
    <s v="Nathalia Louiz"/>
    <n v="1638.72"/>
    <s v="Entrada"/>
    <x v="1"/>
  </r>
  <r>
    <x v="160"/>
    <s v="Cartão de Crédito Dr Ivanildo"/>
    <s v="Pagamento Cartão de Crédito Dr Ivanildo"/>
    <x v="6"/>
    <x v="1"/>
    <s v="BANCO ITAU"/>
    <s v="BANCO ITAU"/>
    <m/>
    <m/>
    <s v="Thaynara Borges"/>
    <n v="1450.96"/>
    <s v="Entrada"/>
    <x v="1"/>
  </r>
  <r>
    <x v="160"/>
    <s v="Cartão de Crédito Dra Sarah"/>
    <s v="CONSULTORIA ESTRATEGIA"/>
    <x v="36"/>
    <x v="1"/>
    <s v="BANCO ITAU"/>
    <s v="BANCO ITAU"/>
    <m/>
    <m/>
    <s v="Nathalia Louiz"/>
    <n v="-300.05"/>
    <s v="Saída"/>
    <x v="0"/>
  </r>
  <r>
    <x v="160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160"/>
    <s v="Cartão de Crédito Dr Ivanildo"/>
    <s v="OBJECTI SOLUÇÕES"/>
    <x v="25"/>
    <x v="0"/>
    <s v="BANCO ITAU"/>
    <s v="BANCO ITAU"/>
    <m/>
    <m/>
    <s v="Nathalia Louiz"/>
    <n v="-316"/>
    <s v="Saída"/>
    <x v="0"/>
  </r>
  <r>
    <x v="160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160"/>
    <s v="Banco do Brasil - Sarah Alves Lisboa"/>
    <s v="40% SOB IMPLANTAÇÃO"/>
    <x v="2"/>
    <x v="2"/>
    <s v="ELIENE SOUZA SILVA"/>
    <s v="ELIENE SOUZA SILVA"/>
    <m/>
    <s v="BENEFÍCIO POR INCAPACIDADE"/>
    <s v="Nathalia Louiz"/>
    <n v="2476.6999999999998"/>
    <s v="Entrada"/>
    <x v="1"/>
  </r>
  <r>
    <x v="160"/>
    <s v="Cartão de Crédito Dr Ivanildo"/>
    <s v="ANDRE E ALZIRA FRIOS"/>
    <x v="11"/>
    <x v="1"/>
    <s v="BANCO ITAU"/>
    <s v="BANCO ITAU"/>
    <m/>
    <m/>
    <s v="Nathalia Louiz"/>
    <n v="-35.94"/>
    <s v="Saída"/>
    <x v="0"/>
  </r>
  <r>
    <x v="160"/>
    <s v="Cartão de Crédito Dr Ivanildo"/>
    <s v="ANUIDADE CARTÃO VANESSA"/>
    <x v="4"/>
    <x v="3"/>
    <s v="BANCO ITAÚ S/A"/>
    <s v="BANCO ITAÚ S/A"/>
    <m/>
    <m/>
    <s v="Nathalia Louiz"/>
    <n v="-18.75"/>
    <s v="Saída"/>
    <x v="0"/>
  </r>
  <r>
    <x v="160"/>
    <s v="Cartão de Crédito Dr Ivanildo"/>
    <s v="ANUIDADE CARTÃO IVANILDO"/>
    <x v="4"/>
    <x v="3"/>
    <s v="BANCO ITAÚ S/A"/>
    <s v="BANCO ITAÚ S/A"/>
    <m/>
    <m/>
    <s v="Nathalia Louiz"/>
    <n v="-18.75"/>
    <s v="Saída"/>
    <x v="0"/>
  </r>
  <r>
    <x v="161"/>
    <s v="Banco do Brasil - Sarah Alves Lisboa"/>
    <s v="Possivel Anuidade ** confirmar com Nina"/>
    <x v="2"/>
    <x v="2"/>
    <s v="SEBASTIAO RIBEIRO NETO"/>
    <s v="SEBASTIAO RIBEIRO NETO"/>
    <m/>
    <s v="APOSENTADORIA POR TEMPO DE CONTRIBUIÇAO DA PESSOA COM DEFICIENCIA"/>
    <s v="Nathalia Louiz"/>
    <n v="550"/>
    <s v="Entrada"/>
    <x v="1"/>
  </r>
  <r>
    <x v="161"/>
    <s v="Banco do Brasil - Sarah Alves Lisboa"/>
    <s v="Parcela - Valor da Implantação (R$4.554,00)"/>
    <x v="2"/>
    <x v="2"/>
    <s v="MARIA MADALENA ALVES DA SILVA PAULA"/>
    <s v="MARIA MADALENA ALVES DA SILVA PAULA"/>
    <m/>
    <s v="PENSÃO POR MORTE"/>
    <s v="Nathalia Louiz"/>
    <n v="1138.5"/>
    <s v="Entrada"/>
    <x v="1"/>
  </r>
  <r>
    <x v="161"/>
    <s v="Banco do Brasil - Sarah Alves Lisboa"/>
    <s v="LIMPEZA POS OBRA"/>
    <x v="9"/>
    <x v="1"/>
    <s v="DANIELA MIGUEL SILVA"/>
    <s v="DANIELA MIGUEL SILVA"/>
    <m/>
    <m/>
    <s v="Nathalia Louiz"/>
    <n v="-450"/>
    <s v="Saída"/>
    <x v="0"/>
  </r>
  <r>
    <x v="161"/>
    <s v="Banco do Brasil - Sarah Alves Lisboa"/>
    <s v="30% SOB IMPLANTAÇÃO"/>
    <x v="2"/>
    <x v="2"/>
    <s v="GLAUCINEIDE RODRIGUES DA SILVA"/>
    <s v="GLAUCINEIDE RODRIGUES DA SILVA"/>
    <m/>
    <s v="BENEFÍCIO POR INCAPACIDADE"/>
    <s v="Nathalia Louiz"/>
    <n v="623"/>
    <s v="Entrada"/>
    <x v="1"/>
  </r>
  <r>
    <x v="161"/>
    <s v="Banco do Brasil - Sarah Alves Lisboa"/>
    <s v="Parcelamento 3 BENEFICIOS"/>
    <x v="2"/>
    <x v="2"/>
    <s v="MATHEUS HENRIQUE DE CARVALHO MIRANDA"/>
    <s v="MATHEUS HENRIQUE DE CARVALHO MIRANDA"/>
    <m/>
    <s v="PENSÃO POR MORTE - RETROAÇÃO DA DIP"/>
    <s v="Nathalia Louiz"/>
    <n v="563.5"/>
    <s v="Entrada"/>
    <x v="1"/>
  </r>
  <r>
    <x v="161"/>
    <s v="Banco do Brasil - Sarah Alves Lisboa"/>
    <s v="Valor residual da implantação."/>
    <x v="2"/>
    <x v="2"/>
    <s v="NILVANDA CANDIDA DE MOURA OLIVEIRA"/>
    <s v="NILVANDA CANDIDA DE MOURA OLIVEIRA"/>
    <m/>
    <s v="APOSENTADORIA POR IDADE"/>
    <s v="Nathalia Louiz"/>
    <n v="554"/>
    <s v="Entrada"/>
    <x v="1"/>
  </r>
  <r>
    <x v="162"/>
    <s v="Itaú - Lisboa e Lisboa"/>
    <s v="Taxa de Condomínio Vaga Garagem A-83"/>
    <x v="10"/>
    <x v="1"/>
    <s v="ATON BUSINESS STYLE"/>
    <s v="ATON BUSINESS STYLE"/>
    <m/>
    <m/>
    <s v="Thaynara Borges"/>
    <n v="-64.900000000000006"/>
    <s v="Saída"/>
    <x v="0"/>
  </r>
  <r>
    <x v="162"/>
    <s v="Itaú - Lisboa e Lisboa"/>
    <s v="Taxa de Condomínio Vaga Garagem A-88"/>
    <x v="10"/>
    <x v="1"/>
    <s v="ATON BUSINESS STYLE"/>
    <s v="ATON BUSINESS STYLE"/>
    <m/>
    <m/>
    <s v="Thaynara Borges"/>
    <n v="-64.900000000000006"/>
    <s v="Saída"/>
    <x v="0"/>
  </r>
  <r>
    <x v="162"/>
    <s v="Itaú - Lisboa e Lisboa"/>
    <s v="Transferencia entre contas honorarios Eliene Souza Silva"/>
    <x v="41"/>
    <x v="11"/>
    <s v="Itaú - Lisboa e Lisboa"/>
    <s v="Itaú - Lisboa e Lisboa"/>
    <m/>
    <m/>
    <s v="Thaynara Borges"/>
    <n v="2476.6999999999998"/>
    <s v="Entrada"/>
    <x v="1"/>
  </r>
  <r>
    <x v="162"/>
    <s v="Itaú - Lisboa e Lisboa"/>
    <s v="Taxa de Condomínio Sala B-74"/>
    <x v="10"/>
    <x v="1"/>
    <s v="ATON BUSINESS STYLE"/>
    <s v="ATON BUSINESS STYLE"/>
    <m/>
    <m/>
    <s v="Thaynara Borges"/>
    <n v="-1450.77"/>
    <s v="Saída"/>
    <x v="0"/>
  </r>
  <r>
    <x v="162"/>
    <s v="Itaú - Lisboa e Lisboa"/>
    <s v="Taxa de Condomínio Vaga Garagem A-82"/>
    <x v="10"/>
    <x v="1"/>
    <s v="ATON BUSINESS STYLE"/>
    <s v="ATON BUSINESS STYLE"/>
    <m/>
    <m/>
    <s v="Thaynara Borges"/>
    <n v="-64.900000000000006"/>
    <s v="Saída"/>
    <x v="0"/>
  </r>
  <r>
    <x v="162"/>
    <s v="Itaú - Lisboa e Lisboa"/>
    <s v="Taxa de Condomínio Vaga Garagem A-81"/>
    <x v="10"/>
    <x v="1"/>
    <s v="ATON BUSINESS STYLE"/>
    <s v="ATON BUSINESS STYLE"/>
    <m/>
    <m/>
    <s v="Thaynara Borges"/>
    <n v="-64.900000000000006"/>
    <s v="Saída"/>
    <x v="0"/>
  </r>
  <r>
    <x v="162"/>
    <s v="Itaú - Lisboa e Lisboa"/>
    <s v="Taxa de Condomínio Vaga Garagem A-78"/>
    <x v="10"/>
    <x v="1"/>
    <s v="ATON BUSINESS STYLE"/>
    <s v="ATON BUSINESS STYLE"/>
    <m/>
    <m/>
    <s v="Thaynara Borges"/>
    <n v="-64.900000000000006"/>
    <s v="Saída"/>
    <x v="0"/>
  </r>
  <r>
    <x v="162"/>
    <s v="Itaú - Lisboa e Lisboa"/>
    <s v="Taxa de Condomínio Sala B-73"/>
    <x v="10"/>
    <x v="1"/>
    <s v="ATON BUSINESS STYLE"/>
    <s v="ATON BUSINESS STYLE"/>
    <m/>
    <m/>
    <s v="Thaynara Borges"/>
    <n v="-1450.19"/>
    <s v="Saída"/>
    <x v="0"/>
  </r>
  <r>
    <x v="162"/>
    <s v="Banco do Brasil - Sarah Alves Lisboa"/>
    <s v="REPASSE INTEGRAL DRA VANESSA - RPV DE SUCUMBÊNCIA DE 2006"/>
    <x v="29"/>
    <x v="7"/>
    <s v="ROSALIA SOARES LEITE"/>
    <s v="ROSALIA SOARES LEITE"/>
    <m/>
    <s v="CONCESSAO DE PROVENTOS INTEGRAIS DA APOSENTADORIA POR INVALIDEZ"/>
    <s v="Nathalia Louiz"/>
    <n v="-4554.28"/>
    <s v="Saída"/>
    <x v="0"/>
  </r>
  <r>
    <x v="162"/>
    <s v="Itaú - Lisboa e Lisboa"/>
    <s v="Cartão de Crédito Dr Ivanilldo"/>
    <x v="6"/>
    <x v="1"/>
    <s v="BANCO ITAU"/>
    <s v="BANCO ITAU"/>
    <m/>
    <m/>
    <s v="Thaynara Borges"/>
    <n v="-1450.96"/>
    <s v="Saída"/>
    <x v="0"/>
  </r>
  <r>
    <x v="162"/>
    <s v="Banco do Brasil - Sarah Alves Lisboa"/>
    <s v="Transferencia entre contas honorarios Eliene Souza Silva"/>
    <x v="41"/>
    <x v="11"/>
    <s v="Banco do Brasil - Sarah Alves Lisboa"/>
    <s v="Banco do Brasil - Sarah Alves Lisboa"/>
    <m/>
    <m/>
    <s v="Thaynara Borges"/>
    <n v="-2476.6999999999998"/>
    <s v="Saída"/>
    <x v="0"/>
  </r>
  <r>
    <x v="163"/>
    <s v="Itaú - Lisboa e Lisboa"/>
    <s v="Celular"/>
    <x v="8"/>
    <x v="1"/>
    <s v="VIVO"/>
    <s v="VIVO"/>
    <m/>
    <m/>
    <s v="Thaynara Borges"/>
    <n v="-137.37"/>
    <s v="Saída"/>
    <x v="0"/>
  </r>
  <r>
    <x v="163"/>
    <s v="Banco do Brasil - Sarah Alves Lisboa"/>
    <s v="3 BENEFICIOS"/>
    <x v="2"/>
    <x v="2"/>
    <s v="SERGIO HENRIQUE  MOREIRA LOPES"/>
    <s v="SERGIO HENRIQUE  MOREIRA LOPES"/>
    <m/>
    <s v="BENEFÍCIO POR INCAPACIDADE"/>
    <s v="Nathalia Louiz"/>
    <n v="1007"/>
    <s v="Entrada"/>
    <x v="1"/>
  </r>
  <r>
    <x v="164"/>
    <s v="Banco do Brasil - Sarah Alves Lisboa"/>
    <s v="Certidão de Militancia"/>
    <x v="7"/>
    <x v="5"/>
    <s v="DEA LUCIA DA SILVA DAVID"/>
    <s v="DEA LUCIA DA SILVA DAVID"/>
    <m/>
    <s v="APOSENTADORIA POR IDADE"/>
    <s v="Thaynara Borges"/>
    <n v="-21.73"/>
    <s v="Saída"/>
    <x v="0"/>
  </r>
  <r>
    <x v="164"/>
    <s v="Banco do Brasil - Sarah Alves Lisboa"/>
    <s v="Certidao de militancia LEANNE"/>
    <x v="7"/>
    <x v="5"/>
    <s v="MARIA APARECIDA SILVA ALVES/ IVANILTON ROCHA ALVES"/>
    <s v="MARIA APARECIDA SILVA ALVES/ IVANILTON ROCHA ALVES"/>
    <m/>
    <s v="APOSENTADORIA POR TEMPO DE CONTRIBUIÇAO / PORTADOR DE NESCESSIDADES ESPECIAIS"/>
    <s v="Thaynara Borges"/>
    <n v="-21.73"/>
    <s v="Saída"/>
    <x v="0"/>
  </r>
  <r>
    <x v="164"/>
    <s v="Itaú - Lisboa e Lisboa"/>
    <s v="Suprimentos pra escritório"/>
    <x v="26"/>
    <x v="1"/>
    <s v="R3 SUPRIMENTOS CORPORATIVOS LTDA"/>
    <s v="R3 SUPRIMENTOS CORPORATIVOS LTDA"/>
    <m/>
    <m/>
    <s v="Nathalia Louiz"/>
    <n v="-369.65"/>
    <s v="Saída"/>
    <x v="0"/>
  </r>
  <r>
    <x v="164"/>
    <s v="Banco do Brasil - Sarah Alves Lisboa"/>
    <s v="Certidao de militancia"/>
    <x v="7"/>
    <x v="5"/>
    <s v="CECILIA GONÇALVES DA SILVA"/>
    <s v="CECILIA GONÇALVES DA SILVA"/>
    <m/>
    <s v="AUXILIO DOENÇA"/>
    <s v="Thaynara Borges"/>
    <n v="-21.73"/>
    <s v="Saída"/>
    <x v="0"/>
  </r>
  <r>
    <x v="164"/>
    <s v="Banco do Brasil - Sarah Alves Lisboa"/>
    <s v="Certidao de militancia"/>
    <x v="7"/>
    <x v="5"/>
    <s v="HELIO CURADO FROES"/>
    <s v="HELIO CURADO FROES"/>
    <m/>
    <s v="APOSENTADORIA POR IDADE"/>
    <s v="Thaynara Borges"/>
    <n v="-21.73"/>
    <s v="Saída"/>
    <x v="0"/>
  </r>
  <r>
    <x v="164"/>
    <s v="Banco do Brasil - Sarah Alves Lisboa"/>
    <s v="Certidao de militancia"/>
    <x v="7"/>
    <x v="5"/>
    <s v="ROGERIO JOSE DA SILVEIRA"/>
    <s v="ROGERIO JOSE DA SILVEIRA"/>
    <m/>
    <s v="APOSENTADORIA ESPECIAL/ ELETRICISTA"/>
    <s v="Thaynara Borges"/>
    <n v="-21.73"/>
    <s v="Saída"/>
    <x v="0"/>
  </r>
  <r>
    <x v="164"/>
    <s v="Banco do Brasil - Sarah Alves Lisboa"/>
    <s v="Certidao de Militancia"/>
    <x v="7"/>
    <x v="5"/>
    <s v="JOSE RENATO MARTINS"/>
    <s v="JOSE RENATO MARTINS"/>
    <m/>
    <s v="APOSENTADORIA POR TEMPO DE CONTRIBUIÇÃO"/>
    <s v="Thaynara Borges"/>
    <n v="-21.73"/>
    <s v="Saída"/>
    <x v="0"/>
  </r>
  <r>
    <x v="165"/>
    <s v="Banco do Brasil - Sarah Alves Lisboa"/>
    <s v="Exame admissional "/>
    <x v="35"/>
    <x v="6"/>
    <s v="SAMARA ALMEIDA BOGEA"/>
    <s v="SAMARA ALMEIDA BOGEA"/>
    <m/>
    <m/>
    <s v="Nathalia Louiz"/>
    <n v="-48"/>
    <s v="Saída"/>
    <x v="0"/>
  </r>
  <r>
    <x v="165"/>
    <s v="Banco do Brasil - Sarah Alves Lisboa"/>
    <s v="Transferencia entre contas parcela 1/3 - 3 beneficios Geni Moura Neves"/>
    <x v="41"/>
    <x v="11"/>
    <s v="Banco do Brasil - Sarah Alves Lisboa"/>
    <s v="Banco do Brasil - Sarah Alves Lisboa"/>
    <m/>
    <m/>
    <s v="Thaynara Borges"/>
    <n v="-759"/>
    <s v="Saída"/>
    <x v="0"/>
  </r>
  <r>
    <x v="165"/>
    <s v="Itaú - Lisboa e Lisboa"/>
    <s v="CONTRATO 9621661899"/>
    <x v="8"/>
    <x v="1"/>
    <s v="VIVO FIXO"/>
    <s v="VIVO FIXO"/>
    <m/>
    <m/>
    <s v="Thaynara Borges"/>
    <n v="-260.58"/>
    <s v="Saída"/>
    <x v="0"/>
  </r>
  <r>
    <x v="165"/>
    <s v="Itaú - Lisboa e Lisboa"/>
    <s v="Serviços TI"/>
    <x v="3"/>
    <x v="1"/>
    <s v="Rhuan Carlos Batista"/>
    <s v="Rhuan Carlos Batista"/>
    <m/>
    <m/>
    <s v="Thaynara Borges"/>
    <n v="-130"/>
    <s v="Saída"/>
    <x v="0"/>
  </r>
  <r>
    <x v="165"/>
    <s v="Itaú - Lisboa e Lisboa"/>
    <s v="Anuidade R$ 8.967,07 (2.000 + 12x R$580,59)"/>
    <x v="2"/>
    <x v="2"/>
    <s v="ISAEL MARCULINO DOS SANTOS"/>
    <s v="ISAEL MARCULINO DOS SANTOS"/>
    <m/>
    <s v="APOSENTADORIA POR TEMPO DE CONTRIBUIÇAO/ PORTADOR DE NECESSIDADES ESPECIAIS"/>
    <s v="Nathalia Louiz"/>
    <n v="577.74"/>
    <s v="Entrada"/>
    <x v="1"/>
  </r>
  <r>
    <x v="165"/>
    <s v="Itaú - Lisboa e Lisboa"/>
    <s v="Transferencia entre contas parcela 1/3 - 3 beneficios Geni Moura Neves"/>
    <x v="41"/>
    <x v="11"/>
    <s v="Itaú - Lisboa e Lisboa"/>
    <s v="Itaú - Lisboa e Lisboa"/>
    <m/>
    <m/>
    <s v="Thaynara Borges"/>
    <n v="759"/>
    <s v="Entrada"/>
    <x v="1"/>
  </r>
  <r>
    <x v="165"/>
    <s v="Banco do Brasil - Sarah Alves Lisboa"/>
    <s v="(Entrada de 3100 + 1x 1454,00)"/>
    <x v="2"/>
    <x v="2"/>
    <s v="LUZIA FERREIRA AREBAS SHIMADA"/>
    <s v="LUZIA FERREIRA AREBAS SHIMADA"/>
    <m/>
    <s v="BENEFÍCIO ASSISTENCIAL AO IDOSO"/>
    <s v="Nathalia Louiz"/>
    <n v="1454"/>
    <s v="Entrada"/>
    <x v="1"/>
  </r>
  <r>
    <x v="165"/>
    <s v="Banco do Brasil - Sarah Alves Lisboa"/>
    <s v="Horas Extras"/>
    <x v="15"/>
    <x v="6"/>
    <s v="Laura Barbosa Marques"/>
    <s v="Laura Barbosa Marques"/>
    <m/>
    <m/>
    <s v="Nathalia Louiz"/>
    <n v="-700"/>
    <s v="Saída"/>
    <x v="0"/>
  </r>
  <r>
    <x v="165"/>
    <s v="Banco do Brasil - Sarah Alves Lisboa"/>
    <s v="Parcelas - parceria Dr Silvio"/>
    <x v="2"/>
    <x v="2"/>
    <s v="GLEYCIANNE RIBEIRO DE SOUZA CABRAL"/>
    <s v="GLEYCIANNE RIBEIRO DE SOUZA CABRAL"/>
    <m/>
    <s v="DIVÓRCIO CONSENSUAL C/C REGULAMENTAÇÃO DE GUARDA E ALIMENTOS"/>
    <s v="Thaynara Borges"/>
    <n v="150"/>
    <s v="Entrada"/>
    <x v="1"/>
  </r>
  <r>
    <x v="165"/>
    <s v="Itaú - Lisboa e Lisboa"/>
    <s v="CONTRATO 9309114969"/>
    <x v="8"/>
    <x v="1"/>
    <s v="VIVO FIXO"/>
    <s v="VIVO FIXO"/>
    <m/>
    <m/>
    <s v="Thaynara Borges"/>
    <n v="-130.53"/>
    <s v="Saída"/>
    <x v="0"/>
  </r>
  <r>
    <x v="166"/>
    <s v="Banco do Brasil - Sarah Alves Lisboa"/>
    <s v="ANUIDADE (3 BENEFICIOS)"/>
    <x v="2"/>
    <x v="2"/>
    <s v="DARLENE CAIXETA DOS SANTOS"/>
    <s v="DARLENE CAIXETA DOS SANTOS"/>
    <m/>
    <s v="BENEFÍCIO POR INCAPACIDADE"/>
    <s v="Nathalia Louiz"/>
    <n v="455.4"/>
    <s v="Entrada"/>
    <x v="1"/>
  </r>
  <r>
    <x v="166"/>
    <s v="Itaú - Lisboa e Lisboa"/>
    <s v="PAGAMENTO CARTÃO DE CRÉDITO DRA SARAH"/>
    <x v="6"/>
    <x v="1"/>
    <s v="BANCO ITAU"/>
    <s v="BANCO ITAU"/>
    <m/>
    <m/>
    <s v="Nathalia Louiz"/>
    <n v="-1638.72"/>
    <s v="Saída"/>
    <x v="0"/>
  </r>
  <r>
    <x v="166"/>
    <s v="Banco do Brasil - Sarah Alves Lisboa"/>
    <s v="ANUIDADE (3 BENEFICIOS)"/>
    <x v="2"/>
    <x v="2"/>
    <s v="DARLENE CAIXETA DOS SANTOS"/>
    <s v="DARLENE CAIXETA DOS SANTOS"/>
    <m/>
    <s v="BENEFÍCIO POR INCAPACIDADE"/>
    <s v="Nathalia Louiz"/>
    <n v="455.4"/>
    <s v="Entrada"/>
    <x v="1"/>
  </r>
  <r>
    <x v="166"/>
    <s v="Banco do Brasil - Sarah Alves Lisboa"/>
    <s v="Tarifa Bancária"/>
    <x v="4"/>
    <x v="3"/>
    <s v="BANCO DO BRASIL S/A"/>
    <s v="BANCO DO BRASIL S/A"/>
    <m/>
    <m/>
    <s v="Thaynara Borges"/>
    <n v="-15"/>
    <s v="Saída"/>
    <x v="0"/>
  </r>
  <r>
    <x v="166"/>
    <s v="Banco do Brasil - Sarah Alves Lisboa"/>
    <s v="Defesa administrativa e honorários - R$ 2.000,00 (Entrada de R$1.000,00 + 1x R$1.000,00)"/>
    <x v="2"/>
    <x v="2"/>
    <s v="LUIZ CARLOS FERREIRA DE MELO"/>
    <s v="LUIZ CARLOS FERREIRA DE MELO"/>
    <m/>
    <s v="DEFESA ADMINISTRATIVA"/>
    <s v="Nathalia Louiz"/>
    <n v="1000"/>
    <s v="Entrada"/>
    <x v="1"/>
  </r>
  <r>
    <x v="166"/>
    <s v="Itaú - Lisboa e Lisboa"/>
    <s v="IEL Estagiárias"/>
    <x v="13"/>
    <x v="6"/>
    <s v="IEL"/>
    <s v="IEL"/>
    <m/>
    <m/>
    <s v="Thaynara Borges"/>
    <n v="-106.73"/>
    <s v="Saída"/>
    <x v="0"/>
  </r>
  <r>
    <x v="167"/>
    <s v="Banco do Brasil - Sarah Alves Lisboa"/>
    <s v="Taxa de uso do solo -  CNPJ Dra Raffaella"/>
    <x v="31"/>
    <x v="9"/>
    <s v="PREFEITURA MUNICIPAL DE GOIÂNIA"/>
    <s v="PREFEITURA MUNICIPAL DE GOIÂNIA"/>
    <m/>
    <m/>
    <s v="Nathalia Louiz"/>
    <n v="-129.69999999999999"/>
    <s v="Saída"/>
    <x v="0"/>
  </r>
  <r>
    <x v="167"/>
    <s v="Banco do Brasil - Sarah Alves Lisboa"/>
    <s v="30%  SOB RECEBIDOS"/>
    <x v="2"/>
    <x v="2"/>
    <s v="LUCA RACHED NADER"/>
    <s v="LUCA RACHED NADER"/>
    <m/>
    <s v="AÇÃO DE INDENIZAÇÃO POR DANOS MATERIAIS E MORAIS"/>
    <s v="Nathalia Louiz"/>
    <n v="795.55"/>
    <s v="Entrada"/>
    <x v="1"/>
  </r>
  <r>
    <x v="167"/>
    <s v="Banco do Brasil - Sarah Alves Lisboa"/>
    <s v="3 SALÁRIOS DE BENEFICIO (Entrada de 1000,00 + 6x de 492,33 no boleto)"/>
    <x v="2"/>
    <x v="2"/>
    <s v="Maura Cardoso Borges"/>
    <s v="Maura Cardoso Borges"/>
    <m/>
    <s v="APOSENTADORIA POR IDADE"/>
    <s v="Nathalia Louiz"/>
    <n v="1000"/>
    <s v="Entrada"/>
    <x v="1"/>
  </r>
  <r>
    <x v="167"/>
    <s v="Banco do Brasil - Sarah Alves Lisboa"/>
    <s v="Conserto de cabos"/>
    <x v="3"/>
    <x v="1"/>
    <s v="ADAIR PEREIRA DA SILVA"/>
    <s v="ADAIR PEREIRA DA SILVA"/>
    <m/>
    <m/>
    <s v="Nathalia Louiz"/>
    <n v="-150"/>
    <s v="Saída"/>
    <x v="0"/>
  </r>
  <r>
    <x v="167"/>
    <s v="Banco do Brasil - Sarah Alves Lisboa"/>
    <s v="PARCEIRIA DR SILVIO - Honorários de parceria caso VALENTINA SOUSA FONSECA"/>
    <x v="2"/>
    <x v="2"/>
    <s v="VALENTINA SOUSA FONSECA"/>
    <s v="VALENTINA SOUSA FONSECA"/>
    <m/>
    <s v="SOLICITAR PAGAMENTOS NÃO RECEBIDOS"/>
    <s v="Nathalia Louiz"/>
    <n v="168"/>
    <s v="Entrada"/>
    <x v="1"/>
  </r>
  <r>
    <x v="167"/>
    <s v="Banco do Brasil - Sarah Alves Lisboa"/>
    <s v="Domínio do escritório (3 anos)"/>
    <x v="12"/>
    <x v="1"/>
    <s v="HOSTGATOR"/>
    <s v="HOSTGATOR"/>
    <m/>
    <m/>
    <s v="Nathalia Louiz"/>
    <n v="-499.53"/>
    <s v="Saída"/>
    <x v="0"/>
  </r>
  <r>
    <x v="167"/>
    <s v="Banco do Brasil - Sarah Alves Lisboa"/>
    <s v="30% SOB IMPLANTAÇÃO"/>
    <x v="2"/>
    <x v="2"/>
    <s v="SUELLEN DE JESUS LIMA"/>
    <s v="SUELLEN DE JESUS LIMA"/>
    <m/>
    <s v="AUXILIO ACIDENTE"/>
    <s v="Nathalia Louiz"/>
    <n v="1268.0999999999999"/>
    <s v="Entrada"/>
    <x v="1"/>
  </r>
  <r>
    <x v="168"/>
    <s v="Itaú - Lisboa e Lisboa"/>
    <s v="Seguro "/>
    <x v="42"/>
    <x v="1"/>
    <s v="PORTO SEGURO COMPANHIA DE SEGUROS GERAIS"/>
    <s v="PORTO SEGURO COMPANHIA DE SEGUROS GERAIS"/>
    <m/>
    <m/>
    <s v="Nathalia Louiz"/>
    <n v="-1105.68"/>
    <s v="Saída"/>
    <x v="0"/>
  </r>
  <r>
    <x v="168"/>
    <s v="Banco do Brasil - Sarah Alves Lisboa"/>
    <s v="Cesta de despedida - Laura"/>
    <x v="16"/>
    <x v="4"/>
    <s v="Fernanda Aparecida de Farias"/>
    <s v="Fernanda Aparecida de Farias"/>
    <m/>
    <m/>
    <s v="Nathalia Louiz"/>
    <n v="-210"/>
    <s v="Saída"/>
    <x v="0"/>
  </r>
  <r>
    <x v="168"/>
    <s v="Banco do Brasil - Sarah Alves Lisboa"/>
    <s v="Pagamento de comissão para BARBARA ARANTES"/>
    <x v="29"/>
    <x v="7"/>
    <s v="HADASSA  ANJOS DE ALMEIDA LEMES"/>
    <s v="HADASSA  ANJOS DE ALMEIDA LEMES"/>
    <m/>
    <s v="AUXILIO MORADIA EM RESIDÊNCIA MÉDICA"/>
    <s v="Nathalia Louiz"/>
    <n v="-300"/>
    <s v="Saída"/>
    <x v="0"/>
  </r>
  <r>
    <x v="168"/>
    <s v="Itaú - Lisboa e Lisboa"/>
    <s v="Transferência honorários - Sandia Motta - Emissão de NFE"/>
    <x v="41"/>
    <x v="11"/>
    <s v="Itaú - Lisboa e Lisboa"/>
    <s v="Itaú - Lisboa e Lisboa"/>
    <m/>
    <m/>
    <s v="Nathalia Louiz"/>
    <n v="3085.85"/>
    <s v="Entrada"/>
    <x v="1"/>
  </r>
  <r>
    <x v="168"/>
    <s v="Banco do Brasil - Sarah Alves Lisboa"/>
    <s v="Transferência honorários - Sandia Motta - Emissão de NFE"/>
    <x v="41"/>
    <x v="11"/>
    <s v="Banco do Brasil - Sarah Alves Lisboa"/>
    <s v="Banco do Brasil - Sarah Alves Lisboa"/>
    <m/>
    <m/>
    <s v="Nathalia Louiz"/>
    <n v="-3085.85"/>
    <s v="Saída"/>
    <x v="0"/>
  </r>
  <r>
    <x v="168"/>
    <s v="Itaú - Lisboa e Lisboa"/>
    <s v="PLANEJAMENTO"/>
    <x v="2"/>
    <x v="2"/>
    <s v="JOSE VITORIO DE CARVALHO JUNIOR"/>
    <s v="JOSE VITORIO DE CARVALHO JUNIOR"/>
    <m/>
    <s v="PLANEJAMENTO PREVIDENCIÁRIO"/>
    <s v="Thaynara Borges"/>
    <n v="97.15"/>
    <s v="Entrada"/>
    <x v="1"/>
  </r>
  <r>
    <x v="169"/>
    <s v="Banco do Brasil - Sarah Alves Lisboa"/>
    <s v="Lanche despedida - Laura"/>
    <x v="11"/>
    <x v="1"/>
    <s v="SUPERMERCADO MOREIRA"/>
    <s v="SUPERMERCADO MOREIRA"/>
    <m/>
    <m/>
    <s v="Nathalia Louiz"/>
    <n v="-92"/>
    <s v="Saída"/>
    <x v="0"/>
  </r>
  <r>
    <x v="170"/>
    <s v="Banco do Brasil - Sarah Alves Lisboa"/>
    <s v="Cartão de Crédito Dra Thaynara"/>
    <x v="6"/>
    <x v="1"/>
    <s v="C6"/>
    <s v="C6"/>
    <m/>
    <m/>
    <s v="Thaynara Borges"/>
    <n v="-1022.8"/>
    <s v="Saída"/>
    <x v="0"/>
  </r>
  <r>
    <x v="170"/>
    <s v="Cartão de Crédito Dra Thaynara"/>
    <s v="Cálculo Jurídico"/>
    <x v="12"/>
    <x v="1"/>
    <s v="C6"/>
    <s v="C6"/>
    <m/>
    <m/>
    <s v="Thaynara Borges"/>
    <n v="-120.29"/>
    <s v="Saída"/>
    <x v="0"/>
  </r>
  <r>
    <x v="170"/>
    <s v="Cartão de Crédito Dra Thaynara"/>
    <s v="Pagamento Cartão de Crédito Dra Thaynara"/>
    <x v="6"/>
    <x v="1"/>
    <s v="C6"/>
    <s v="C6"/>
    <m/>
    <m/>
    <s v="Nathalia Louiz"/>
    <n v="1022.8"/>
    <s v="Entrada"/>
    <x v="1"/>
  </r>
  <r>
    <x v="170"/>
    <s v="Banco do Brasil - Sarah Alves Lisboa"/>
    <s v="Viagem Sarah"/>
    <x v="29"/>
    <x v="7"/>
    <s v="MARIA EDUARDA DE SOUZA"/>
    <s v="MARIA EDUARDA DE SOUZA"/>
    <m/>
    <m/>
    <s v="Nathalia Louiz"/>
    <n v="-100"/>
    <s v="Saída"/>
    <x v="0"/>
  </r>
  <r>
    <x v="170"/>
    <s v="Banco do Brasil - Sarah Alves Lisboa"/>
    <s v="Lanches para Viagem"/>
    <x v="38"/>
    <x v="10"/>
    <s v="SARAH ALVES LISBOA"/>
    <s v="SARAH ALVES LISBOA"/>
    <m/>
    <m/>
    <s v="Nathalia Louiz"/>
    <n v="-108.62"/>
    <s v="Saída"/>
    <x v="0"/>
  </r>
  <r>
    <x v="170"/>
    <s v="Itaú - Lisboa e Lisboa"/>
    <s v="Rescisão de Contrato - Acerto"/>
    <x v="15"/>
    <x v="6"/>
    <s v="Laura Barbosa Marques"/>
    <s v="Laura Barbosa Marques"/>
    <m/>
    <m/>
    <s v="Nathalia Louiz"/>
    <n v="-1841.67"/>
    <s v="Saída"/>
    <x v="0"/>
  </r>
  <r>
    <x v="170"/>
    <s v="Banco do Brasil - Sarah Alves Lisboa"/>
    <s v="COMBUSTIVEL VIAGEM"/>
    <x v="27"/>
    <x v="4"/>
    <s v="POSTO TAMANDARÉ"/>
    <s v="POSTO TAMANDARÉ"/>
    <m/>
    <m/>
    <s v="Nathalia Louiz"/>
    <n v="-253.39"/>
    <s v="Saída"/>
    <x v="0"/>
  </r>
  <r>
    <x v="170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170"/>
    <s v="Banco do Brasil - Sarah Alves Lisboa"/>
    <s v="Comissão viagem Sarah"/>
    <x v="29"/>
    <x v="7"/>
    <s v="MARIA L F NASCIMENTO"/>
    <s v="MARIA L F NASCIMENTO"/>
    <m/>
    <m/>
    <s v="Nathalia Louiz"/>
    <n v="-300"/>
    <s v="Saída"/>
    <x v="0"/>
  </r>
  <r>
    <x v="170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70"/>
    <s v="Cartão de Crédito Dra Thaynara"/>
    <s v="ASTREA"/>
    <x v="12"/>
    <x v="1"/>
    <s v="C6"/>
    <s v="C6"/>
    <m/>
    <m/>
    <s v="Thaynara Borges"/>
    <n v="-653.29999999999995"/>
    <s v="Saída"/>
    <x v="0"/>
  </r>
  <r>
    <x v="170"/>
    <s v="Banco do Brasil - Sarah Alves Lisboa"/>
    <s v="Taxa de abertura CNPJ - Raffa"/>
    <x v="31"/>
    <x v="9"/>
    <s v="OAB"/>
    <s v="OAB"/>
    <m/>
    <m/>
    <s v="Nathalia Louiz"/>
    <n v="-700"/>
    <s v="Saída"/>
    <x v="0"/>
  </r>
  <r>
    <x v="171"/>
    <s v="Itaú - Lisboa e Lisboa"/>
    <s v="3 beneficios"/>
    <x v="2"/>
    <x v="2"/>
    <s v="ELIO DIVINO NUNES DE BARROS"/>
    <s v="ELIO DIVINO NUNES DE BARROS"/>
    <m/>
    <s v="APOSENTADORIA POR IDADE"/>
    <s v="Nathalia Louiz"/>
    <n v="3525.48"/>
    <s v="Entrada"/>
    <x v="1"/>
  </r>
  <r>
    <x v="171"/>
    <s v="Itaú - Lisboa e Lisboa"/>
    <s v="30% SOB ATRASADOS"/>
    <x v="2"/>
    <x v="2"/>
    <s v="LAIRCE CORREA BARBOSA FRUTUOSO"/>
    <s v="LAIRCE CORREA BARBOSA FRUTUOSO"/>
    <m/>
    <s v="APOSENTADORIA RURAL"/>
    <s v="Nathalia Louiz"/>
    <n v="4540.7"/>
    <s v="Entrada"/>
    <x v="1"/>
  </r>
  <r>
    <x v="171"/>
    <s v="Itaú - Lisboa e Lisboa"/>
    <s v="OBRA - CONSTRUTOR DA REFORMA"/>
    <x v="14"/>
    <x v="1"/>
    <s v="EDVAN CANDIDO DOS SANTOS"/>
    <s v="EDVAN CANDIDO DOS SANTOS"/>
    <m/>
    <m/>
    <s v="Nathalia Louiz"/>
    <n v="-3500"/>
    <s v="Saída"/>
    <x v="0"/>
  </r>
  <r>
    <x v="171"/>
    <s v="Itaú - Lisboa e Lisboa"/>
    <s v="40% de honorarios + 3 beneficios"/>
    <x v="2"/>
    <x v="2"/>
    <s v="IACY DA SILVA MAGALHÃES"/>
    <s v="IACY DA SILVA MAGALHÃES"/>
    <m/>
    <s v="APOSENTADORIA DO DEFICIENTE"/>
    <s v="Nathalia Louiz"/>
    <n v="22021.26"/>
    <s v="Entrada"/>
    <x v="1"/>
  </r>
  <r>
    <x v="171"/>
    <s v="Banco do Brasil - Sarah Alves Lisboa"/>
    <s v="Honorários"/>
    <x v="2"/>
    <x v="2"/>
    <s v="CARMEM LUCIA MENDES DE OLIVEIRA"/>
    <s v="CARMEM LUCIA MENDES DE OLIVEIRA"/>
    <m/>
    <s v="BENEFÍCIO POR INCAPACIDADE"/>
    <s v="Nathalia Louiz"/>
    <n v="1103.9100000000001"/>
    <s v="Entrada"/>
    <x v="1"/>
  </r>
  <r>
    <x v="172"/>
    <s v="Banco do Brasil - Sarah Alves Lisboa"/>
    <s v="40% SOB IMPLANTAÇÃO"/>
    <x v="2"/>
    <x v="2"/>
    <s v="ELCIMAR LOURENÇO DE SOUSA"/>
    <s v="ELCIMAR LOURENÇO DE SOUSA"/>
    <m/>
    <s v="APOSENTADORIA POR TEMPO DE CONTRIBUIÇÃO"/>
    <s v="Nathalia Louiz"/>
    <n v="1828.14"/>
    <s v="Entrada"/>
    <x v="1"/>
  </r>
  <r>
    <x v="173"/>
    <s v="Itaú - Lisboa e Lisboa"/>
    <s v="INSS"/>
    <x v="19"/>
    <x v="6"/>
    <s v="RECEITA FEDERAL"/>
    <s v="RECEITA FEDERAL"/>
    <m/>
    <m/>
    <s v="Thaynara Borges"/>
    <n v="-2392.46"/>
    <s v="Saída"/>
    <x v="0"/>
  </r>
  <r>
    <x v="173"/>
    <s v="Itaú - Lisboa e Lisboa"/>
    <s v="FGTS"/>
    <x v="18"/>
    <x v="6"/>
    <s v="FGTS"/>
    <s v="FGTS"/>
    <m/>
    <m/>
    <s v="Thaynara Borges"/>
    <n v="-507.43"/>
    <s v="Saída"/>
    <x v="0"/>
  </r>
  <r>
    <x v="173"/>
    <s v="Itaú - Lisboa e Lisboa"/>
    <s v="Água"/>
    <x v="17"/>
    <x v="1"/>
    <s v="SANEAGO GOIAS S/A"/>
    <s v="SANEAGO GOIAS S/A"/>
    <m/>
    <m/>
    <s v="Thaynara Borges"/>
    <n v="-132.22999999999999"/>
    <s v="Saída"/>
    <x v="0"/>
  </r>
  <r>
    <x v="173"/>
    <s v="Banco do Brasil - Sarah Alves Lisboa"/>
    <s v="Honorários sob implantação"/>
    <x v="2"/>
    <x v="2"/>
    <s v="ARLINDO LEITE DOS SANTOS"/>
    <s v="ARLINDO LEITE DOS SANTOS"/>
    <m/>
    <s v="BENEFÍCIO POR INCAPACIDADE"/>
    <s v="Nathalia Louiz"/>
    <n v="1750"/>
    <s v="Entrada"/>
    <x v="1"/>
  </r>
  <r>
    <x v="173"/>
    <s v="Itaú - Lisboa e Lisboa"/>
    <s v="3 salários de beneficio"/>
    <x v="2"/>
    <x v="2"/>
    <s v="NATANNE KELLY REIS DE SOUZA"/>
    <s v="NATANNE KELLY REIS DE SOUZA"/>
    <m/>
    <s v="BENEFÍCIO ASSISTENCIAL"/>
    <s v="Nathalia Louiz"/>
    <n v="462.7"/>
    <s v="Entrada"/>
    <x v="1"/>
  </r>
  <r>
    <x v="173"/>
    <s v="Banco do Brasil - Sarah Alves Lisboa"/>
    <s v="Honorários R$5000,00 (Parceria com Dr Luciano R$2.500) - 5 parcelas para cada."/>
    <x v="2"/>
    <x v="2"/>
    <s v="LUZIA VIEIRA DE JESUS NASCIMENTO"/>
    <s v="LUZIA VIEIRA DE JESUS NASCIMENTO"/>
    <m/>
    <s v="aposentadoria"/>
    <s v="Nathalia Louiz"/>
    <n v="500"/>
    <s v="Entrada"/>
    <x v="1"/>
  </r>
  <r>
    <x v="173"/>
    <s v="Banco do Brasil - Sarah Alves Lisboa"/>
    <s v="Pagamento de comissões por Iniciais."/>
    <x v="29"/>
    <x v="7"/>
    <s v="Dra Raffaela Nunes"/>
    <s v="Dra Raffaela Nunes"/>
    <m/>
    <m/>
    <s v="Nathalia Louiz"/>
    <n v="-600"/>
    <s v="Saída"/>
    <x v="0"/>
  </r>
  <r>
    <x v="173"/>
    <s v="Banco do Brasil - Sarah Alves Lisboa"/>
    <s v="Honorários R$5000,00 (Parceria com Dr Luciano R$2.500) - 5 parcelas para cada."/>
    <x v="2"/>
    <x v="2"/>
    <s v="LUZIA VIEIRA DE JESUS NASCIMENTO"/>
    <s v="LUZIA VIEIRA DE JESUS NASCIMENTO"/>
    <m/>
    <s v="aposentadoria"/>
    <s v="Nathalia Louiz"/>
    <n v="500"/>
    <s v="Entrada"/>
    <x v="1"/>
  </r>
  <r>
    <x v="173"/>
    <s v="Banco do Brasil - 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173"/>
    <s v="Itaú - Lisboa e Lisboa"/>
    <s v="IPTU - SALA B74"/>
    <x v="30"/>
    <x v="1"/>
    <s v="PREFEITURA MUNICIPAL DE GOIÂNIA"/>
    <s v="PREFEITURA MUNICIPAL DE GOIÂNIA"/>
    <m/>
    <m/>
    <s v="Nathalia Louiz"/>
    <n v="-125.57"/>
    <s v="Saída"/>
    <x v="0"/>
  </r>
  <r>
    <x v="173"/>
    <s v="Itaú - Lisboa e Lisboa"/>
    <s v="Simples Nacional"/>
    <x v="20"/>
    <x v="7"/>
    <s v="Simples Nacional"/>
    <s v="Simples Nacional"/>
    <m/>
    <m/>
    <s v="Thaynara Borges"/>
    <n v="-1414.05"/>
    <s v="Saída"/>
    <x v="0"/>
  </r>
  <r>
    <x v="174"/>
    <s v="Banco do Brasil - Sarah Alves Lisboa"/>
    <s v="PRECATÓRIO - 30%"/>
    <x v="2"/>
    <x v="2"/>
    <s v="HELIO CURADO FROES"/>
    <s v="HELIO CURADO FROES"/>
    <m/>
    <s v="APOSENTADORIA POR IDADE"/>
    <s v="Nathalia Louiz"/>
    <n v="53261.91"/>
    <s v="Entrada"/>
    <x v="1"/>
  </r>
  <r>
    <x v="174"/>
    <s v="Banco do Brasil - Sarah Alves Lisboa"/>
    <s v="PRECATÓRIO - 30% + ANUIDADE"/>
    <x v="2"/>
    <x v="2"/>
    <s v="CLEUSA ALVES RIBEIRO"/>
    <s v="CLEUSA ALVES RIBEIRO"/>
    <m/>
    <s v="APOSENTADORIA RURAL"/>
    <s v="Nathalia Louiz"/>
    <n v="39801.17"/>
    <s v="Entrada"/>
    <x v="1"/>
  </r>
  <r>
    <x v="174"/>
    <s v="Itaú - Lisboa e Lisboa"/>
    <s v="CUSTAS DE LOCOMOÇÃO"/>
    <x v="7"/>
    <x v="5"/>
    <s v="ESPÓLIO DE REGINALDO DE SOUZA LIRA"/>
    <s v="ESPÓLIO DE REGINALDO DE SOUZA LIRA"/>
    <m/>
    <s v="AÇÃO ACIDENTÁRIA (RESTABELECIMENTO DE AUXÍLIO-DOENÇA/CONCESSÃO DE AUXÍLIO-ACIDENTE/AP. POR INVALIDEZ"/>
    <s v="Nathalia Louiz"/>
    <n v="-575.55999999999995"/>
    <s v="Saída"/>
    <x v="0"/>
  </r>
  <r>
    <x v="174"/>
    <s v="Banco do Brasil - Sarah Alves Lisboa"/>
    <s v="Honorários 30%"/>
    <x v="2"/>
    <x v="2"/>
    <s v="MARIA APARECIDA SILVA ALVES/ IVANILTON ROCHA ALVES"/>
    <s v="MARIA APARECIDA SILVA ALVES/ IVANILTON ROCHA ALVES"/>
    <m/>
    <s v="APOSENTADORIA POR TEMPO DE CONTRIBUIÇAO / PORTADOR DE NESCESSIDADES ESPECIAIS"/>
    <s v="Nathalia Louiz"/>
    <n v="19391.810000000001"/>
    <s v="Entrada"/>
    <x v="1"/>
  </r>
  <r>
    <x v="175"/>
    <s v="Banco do Brasil - Sarah Alves Lisboa"/>
    <s v="Comissão Giuliano 23%"/>
    <x v="29"/>
    <x v="7"/>
    <s v="CLEUSA ALVES RIBEIRO"/>
    <s v="CLEUSA ALVES RIBEIRO"/>
    <m/>
    <s v="APOSENTADORIA RURAL"/>
    <s v="Nathalia Louiz"/>
    <n v="-9154.26"/>
    <s v="Saída"/>
    <x v="0"/>
  </r>
  <r>
    <x v="175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75"/>
    <s v="Banco do Brasil - Sarah Alves Lisboa"/>
    <s v="TAXA TED"/>
    <x v="4"/>
    <x v="3"/>
    <s v="BANCO DO BRASIL S/A"/>
    <s v="BANCO DO BRASIL S/A"/>
    <m/>
    <m/>
    <s v="Nathalia Louiz"/>
    <n v="-12.7"/>
    <s v="Saída"/>
    <x v="0"/>
  </r>
  <r>
    <x v="175"/>
    <s v="Itaú - Lisboa e Lisboa"/>
    <s v="Prêmio São Paulo"/>
    <x v="33"/>
    <x v="4"/>
    <s v="INQS - Instituto Nacional da Qualidade Social"/>
    <s v="INQS - Instituto Nacional da Qualidade Social"/>
    <m/>
    <m/>
    <s v="Nathalia Louiz"/>
    <n v="-925"/>
    <s v="Saída"/>
    <x v="0"/>
  </r>
  <r>
    <x v="176"/>
    <s v="Banco do Brasil - Sarah Alves Lisboa"/>
    <s v="LANCHES"/>
    <x v="11"/>
    <x v="1"/>
    <s v="SUPERMERCADO MOREIRA"/>
    <s v="SUPERMERCADO MOREIRA"/>
    <m/>
    <m/>
    <s v="Nathalia Louiz"/>
    <n v="-58.65"/>
    <s v="Saída"/>
    <x v="0"/>
  </r>
  <r>
    <x v="176"/>
    <s v="Banco do Brasil - Sarah Alves Lisboa"/>
    <s v="TAXA TES"/>
    <x v="4"/>
    <x v="3"/>
    <s v="BANCO DO BRASIL S/A"/>
    <s v="BANCO DO BRASIL S/A"/>
    <m/>
    <m/>
    <s v="Nathalia Louiz"/>
    <n v="-12.7"/>
    <s v="Saída"/>
    <x v="0"/>
  </r>
  <r>
    <x v="177"/>
    <s v="Banco do Brasil - Sarah Alves Lisboa"/>
    <s v="Guia para certidão de militância"/>
    <x v="7"/>
    <x v="5"/>
    <s v="GILBERTO ORTIZ DA CRUZ"/>
    <s v="GILBERTO ORTIZ DA CRUZ"/>
    <m/>
    <s v="APOSENTADORIA POR TEMPO DE CONTRIBUIÇÃO"/>
    <s v="Thaynara Borges"/>
    <n v="-21.73"/>
    <s v="Saída"/>
    <x v="0"/>
  </r>
  <r>
    <x v="177"/>
    <s v="Banco do Brasil - Sarah Alves Lisboa"/>
    <s v="Guia para certidão de militância"/>
    <x v="7"/>
    <x v="5"/>
    <s v="TALYTA VASCONCELOS MELO"/>
    <s v="TALYTA VASCONCELOS MELO"/>
    <m/>
    <s v="SALÁRIO MATERNIDADE"/>
    <s v="Thaynara Borges"/>
    <n v="-21.73"/>
    <s v="Saída"/>
    <x v="0"/>
  </r>
  <r>
    <x v="177"/>
    <s v="Banco do Brasil - Sarah Alves Lisboa"/>
    <s v="Compra"/>
    <x v="26"/>
    <x v="1"/>
    <s v="MARKETPLACE"/>
    <s v="MARKETPLACE"/>
    <m/>
    <m/>
    <s v="Nathalia Louiz"/>
    <n v="-196.05"/>
    <s v="Saída"/>
    <x v="0"/>
  </r>
  <r>
    <x v="177"/>
    <s v="Itaú - Lisboa e Lisboa"/>
    <s v="Energia contrato 0067122663"/>
    <x v="21"/>
    <x v="1"/>
    <s v="EQUATORIAL GOIAS 0067122663"/>
    <s v="EQUATORIAL GOIAS 0067122663"/>
    <m/>
    <m/>
    <s v="Thaynara Borges"/>
    <n v="-304.23"/>
    <s v="Saída"/>
    <x v="0"/>
  </r>
  <r>
    <x v="177"/>
    <s v="Banco do Brasil - Sarah Alves Lisboa"/>
    <s v="Guia para certidão de militância"/>
    <x v="7"/>
    <x v="5"/>
    <s v="SERGIO HENRIQUE  MOREIRA LOPES"/>
    <s v="SERGIO HENRIQUE  MOREIRA LOPES"/>
    <m/>
    <s v="BENEFÍCIO POR INCAPACIDADE"/>
    <s v="Thaynara Borges"/>
    <n v="-21.73"/>
    <s v="Saída"/>
    <x v="0"/>
  </r>
  <r>
    <x v="177"/>
    <s v="Banco do Brasil - Sarah Alves Lisboa"/>
    <s v="Cabine de computador "/>
    <x v="25"/>
    <x v="0"/>
    <s v="KABUM"/>
    <s v="KABUM"/>
    <m/>
    <m/>
    <s v="Nathalia Louiz"/>
    <n v="-101.83"/>
    <s v="Saída"/>
    <x v="0"/>
  </r>
  <r>
    <x v="177"/>
    <s v="Banco do Brasil - Sarah Alves Lisboa"/>
    <s v="GUIA CERTIDÃO DE MILITÂNCIA"/>
    <x v="7"/>
    <x v="5"/>
    <s v="DARLENE CAIXETA DOS SANTOS"/>
    <s v="DARLENE CAIXETA DOS SANTOS"/>
    <m/>
    <s v="BENEFÍCIO POR INCAPACIDADE"/>
    <s v="Thaynara Borges"/>
    <n v="-21.73"/>
    <s v="Saída"/>
    <x v="0"/>
  </r>
  <r>
    <x v="177"/>
    <s v="Itaú - Lisboa e Lisboa"/>
    <s v="Energia contrato 0067122721"/>
    <x v="21"/>
    <x v="1"/>
    <s v="EQUATORIAL GOIAS 0067122721"/>
    <s v="EQUATORIAL GOIAS 0067122721"/>
    <m/>
    <m/>
    <s v="Thaynara Borges"/>
    <n v="-378.59"/>
    <s v="Saída"/>
    <x v="0"/>
  </r>
  <r>
    <x v="177"/>
    <s v="Itaú - Lisboa e Lisboa"/>
    <s v="Honorário R$ 2.277,00 - Parceria com Dr Fernando  (50%)"/>
    <x v="2"/>
    <x v="2"/>
    <s v="JAIME RODRIGUES DE SOUZA"/>
    <s v="JAIME RODRIGUES DE SOUZA"/>
    <m/>
    <s v="APOSENTADORIA POR TEMPO DE CONTRIBUIÇÃO COM IDADE MÍNIMA"/>
    <s v="Nathalia Louiz"/>
    <n v="756.15"/>
    <s v="Entrada"/>
    <x v="1"/>
  </r>
  <r>
    <x v="178"/>
    <s v="Itaú - Lisboa e Lisboa"/>
    <s v="Retirada"/>
    <x v="22"/>
    <x v="8"/>
    <s v="Thaynara Borges Pereira"/>
    <s v="Thaynara Borges Pereira"/>
    <m/>
    <m/>
    <s v="Thaynara Borges"/>
    <n v="-5000"/>
    <s v="Saída"/>
    <x v="0"/>
  </r>
  <r>
    <x v="178"/>
    <s v="Itaú - Lisboa e Lisboa"/>
    <s v="Salário"/>
    <x v="15"/>
    <x v="6"/>
    <s v="MARIA EDUARDA DE SOUZA"/>
    <s v="MARIA EDUARDA DE SOUZA"/>
    <m/>
    <m/>
    <s v="Nathalia Louiz"/>
    <n v="-2339.41"/>
    <s v="Saída"/>
    <x v="0"/>
  </r>
  <r>
    <x v="178"/>
    <s v="Banco do Brasil - Sarah Alves Lisboa"/>
    <s v="Salário"/>
    <x v="15"/>
    <x v="6"/>
    <s v="Raffaela Nunes"/>
    <s v="Raffaela Nunes"/>
    <m/>
    <m/>
    <s v="Thaynara Borges"/>
    <n v="-3200"/>
    <s v="Saída"/>
    <x v="0"/>
  </r>
  <r>
    <x v="178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78"/>
    <s v="Banco do Brasil - Sarah Alves Lisboa"/>
    <s v="Diferença ref.: 50% dos honorários (Parceria Dr Ajnaldo)"/>
    <x v="2"/>
    <x v="2"/>
    <s v="LEILA DO CARMO GONÇALVES OLIVEIRA"/>
    <s v="LEILA DO CARMO GONÇALVES OLIVEIRA"/>
    <m/>
    <s v="APOSENTADORIA POR IDADE RURAL"/>
    <s v="Thaynara Borges"/>
    <n v="386.4"/>
    <s v="Entrada"/>
    <x v="2"/>
  </r>
  <r>
    <x v="178"/>
    <s v="Banco do Brasil - Sarah Alves Lisboa"/>
    <s v="CHOCOLATES PARA CLIENTES"/>
    <x v="16"/>
    <x v="4"/>
    <s v="[$empty$]"/>
    <s v="[$empty$]"/>
    <m/>
    <m/>
    <s v="Nathalia Louiz"/>
    <n v="-39.200000000000003"/>
    <s v="Saída"/>
    <x v="0"/>
  </r>
  <r>
    <x v="178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178"/>
    <s v="Banco do Brasil - Sarah Alves Lisboa"/>
    <s v="Complemento salarial - Nina (Empréstimo)"/>
    <x v="15"/>
    <x v="6"/>
    <s v="EVANILZA ARAUJO MORAES"/>
    <s v="EVANILZA ARAUJO MORAES"/>
    <m/>
    <m/>
    <s v="Nathalia Louiz"/>
    <n v="-150.74"/>
    <s v="Saída"/>
    <x v="0"/>
  </r>
  <r>
    <x v="178"/>
    <s v="Banco do Brasil - Sarah Alves Lisboa"/>
    <s v="Honorários 30%"/>
    <x v="2"/>
    <x v="2"/>
    <s v="TEREZINHA CUSTODIO DE OLIVEIRA"/>
    <s v="TEREZINHA CUSTODIO DE OLIVEIRA"/>
    <m/>
    <s v="PENSÃO POR MORTE"/>
    <s v="Nathalia Louiz"/>
    <n v="4130"/>
    <s v="Entrada"/>
    <x v="1"/>
  </r>
  <r>
    <x v="178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178"/>
    <s v="Itaú - Lisboa e Lisboa"/>
    <s v="Salário"/>
    <x v="15"/>
    <x v="6"/>
    <s v="Nina Araujo"/>
    <s v="Nina Araujo"/>
    <m/>
    <m/>
    <s v="Thaynara Borges"/>
    <n v="-3231.22"/>
    <s v="Saída"/>
    <x v="0"/>
  </r>
  <r>
    <x v="179"/>
    <s v="Itaú - Lisboa e Lisboa"/>
    <s v="Peças de exaustor - Banheiro (reforma)"/>
    <x v="14"/>
    <x v="1"/>
    <s v="[$empty$]"/>
    <s v="[$empty$]"/>
    <m/>
    <m/>
    <s v="Nathalia Louiz"/>
    <n v="-136.88999999999999"/>
    <s v="Saída"/>
    <x v="0"/>
  </r>
  <r>
    <x v="179"/>
    <s v="Banco do Brasil - Sarah Alves Lisboa"/>
    <s v="Contrato de honorários: 40% + 3 benefícios = 3.962,60 (40%) + 8.484,99 (3 benefícios) = 12.447,59"/>
    <x v="2"/>
    <x v="2"/>
    <s v="ADILSON GOMES GUIMARAES"/>
    <s v="ADILSON GOMES GUIMARAES"/>
    <m/>
    <s v="BENEFICIO POR INCAPACIDADE"/>
    <s v="Nathalia Louiz"/>
    <n v="4155"/>
    <s v="Entrada"/>
    <x v="1"/>
  </r>
  <r>
    <x v="180"/>
    <s v="Banco do Brasil - Sarah Alves Lisboa"/>
    <s v="30% Implantação"/>
    <x v="2"/>
    <x v="2"/>
    <s v="AGDA SODRE DA SILVA SOUZA"/>
    <s v="AGDA SODRE DA SILVA SOUZA"/>
    <m/>
    <s v="BENEFÍCIO POR INCAPACIDADE"/>
    <s v="Nathalia Louiz"/>
    <n v="2816.4"/>
    <s v="Entrada"/>
    <x v="1"/>
  </r>
  <r>
    <x v="181"/>
    <s v="Itaú - Lisboa e Lisboa"/>
    <s v="3 SALÁRIOS DE BENEFICIO (1000,00 + 5X 710,80)"/>
    <x v="2"/>
    <x v="2"/>
    <s v="ALDENY TELES DE OLIVEIRA NUNES"/>
    <s v="ALDENY TELES DE OLIVEIRA NUNES"/>
    <m/>
    <s v="APOSENTADORIA POR IDADE"/>
    <s v="Nathalia Louiz"/>
    <n v="707.94999999999993"/>
    <s v="Entrada"/>
    <x v="1"/>
  </r>
  <r>
    <x v="182"/>
    <s v="Itaú - Lisboa e Lisboa"/>
    <s v="Salário Marketing"/>
    <x v="15"/>
    <x v="6"/>
    <s v="ANNA CLARA JARDIM"/>
    <s v="ANNA CLARA JARDIM"/>
    <m/>
    <m/>
    <s v="Nathalia Louiz"/>
    <n v="-1300"/>
    <s v="Saída"/>
    <x v="0"/>
  </r>
  <r>
    <x v="182"/>
    <s v="Itaú - Lisboa e Lisboa"/>
    <s v="Video Avulso Marketing"/>
    <x v="43"/>
    <x v="6"/>
    <s v="ANNA CLARA JARDIM"/>
    <s v="ANNA CLARA JARDIM"/>
    <m/>
    <m/>
    <s v="Nathalia Louiz"/>
    <n v="-60"/>
    <s v="Saída"/>
    <x v="0"/>
  </r>
  <r>
    <x v="183"/>
    <s v="Cartão de Crédito Dra Thaynara"/>
    <s v="Pós graduação - Dra Thaynara"/>
    <x v="34"/>
    <x v="6"/>
    <s v="ASA*CURSOSESPECCIALJUS"/>
    <s v="ASA*CURSOSESPECCIALJUS"/>
    <m/>
    <m/>
    <s v="Nathalia Louiz"/>
    <n v="-229"/>
    <s v="Saída"/>
    <x v="0"/>
  </r>
  <r>
    <x v="184"/>
    <s v="Banco do Brasil - Sarah Alves Lisboa"/>
    <s v="Chocolates: Clientes / Escritório"/>
    <x v="11"/>
    <x v="1"/>
    <s v="ASSAI ATACADISTA"/>
    <s v="ASSAI ATACADISTA"/>
    <m/>
    <m/>
    <s v="Nathalia Louiz"/>
    <n v="-89.14"/>
    <s v="Saída"/>
    <x v="0"/>
  </r>
  <r>
    <x v="180"/>
    <s v="Itaú - Lisboa e Lisboa"/>
    <s v="Taxa de Condomínio Sala B-73"/>
    <x v="10"/>
    <x v="1"/>
    <s v="ATON BUSINESS STYLE"/>
    <s v="ATON BUSINESS STYLE"/>
    <m/>
    <m/>
    <s v="Thaynara Borges"/>
    <n v="-1254.69"/>
    <s v="Saída"/>
    <x v="0"/>
  </r>
  <r>
    <x v="180"/>
    <s v="Itaú - Lisboa e Lisboa"/>
    <s v="Taxa de Condomínio Vaga Garagem A-83"/>
    <x v="10"/>
    <x v="1"/>
    <s v="ATON BUSINESS STYLE"/>
    <s v="ATON BUSINESS STYLE"/>
    <m/>
    <m/>
    <s v="Thaynara Borges"/>
    <n v="-62.11"/>
    <s v="Saída"/>
    <x v="0"/>
  </r>
  <r>
    <x v="180"/>
    <s v="Itaú - Lisboa e Lisboa"/>
    <s v="Taxa de Condomínio Vaga Garagem A-78"/>
    <x v="10"/>
    <x v="1"/>
    <s v="ATON BUSINESS STYLE"/>
    <s v="ATON BUSINESS STYLE"/>
    <m/>
    <m/>
    <s v="Thaynara Borges"/>
    <n v="-62.11"/>
    <s v="Saída"/>
    <x v="0"/>
  </r>
  <r>
    <x v="180"/>
    <s v="Itaú - Lisboa e Lisboa"/>
    <s v="Taxa de Condomínio Vaga Garagem A-81"/>
    <x v="10"/>
    <x v="1"/>
    <s v="ATON BUSINESS STYLE"/>
    <s v="ATON BUSINESS STYLE"/>
    <m/>
    <m/>
    <s v="Thaynara Borges"/>
    <n v="-62.11"/>
    <s v="Saída"/>
    <x v="0"/>
  </r>
  <r>
    <x v="180"/>
    <s v="Itaú - Lisboa e Lisboa"/>
    <s v="Taxa de Condomínio Sala B-74"/>
    <x v="10"/>
    <x v="1"/>
    <s v="ATON BUSINESS STYLE"/>
    <s v="ATON BUSINESS STYLE"/>
    <m/>
    <m/>
    <s v="Thaynara Borges"/>
    <n v="-1254.08"/>
    <s v="Saída"/>
    <x v="0"/>
  </r>
  <r>
    <x v="180"/>
    <s v="Itaú - Lisboa e Lisboa"/>
    <s v="Taxa de Condomínio Vaga Garagem A-82"/>
    <x v="10"/>
    <x v="1"/>
    <s v="ATON BUSINESS STYLE"/>
    <s v="ATON BUSINESS STYLE"/>
    <m/>
    <m/>
    <s v="Thaynara Borges"/>
    <n v="-62.11"/>
    <s v="Saída"/>
    <x v="0"/>
  </r>
  <r>
    <x v="180"/>
    <s v="Itaú - Lisboa e Lisboa"/>
    <s v="Taxa de Condomínio Vaga Garagem A-88"/>
    <x v="10"/>
    <x v="1"/>
    <s v="ATON BUSINESS STYLE"/>
    <s v="ATON BUSINESS STYLE"/>
    <m/>
    <m/>
    <s v="Thaynara Borges"/>
    <n v="-62.11"/>
    <s v="Saída"/>
    <x v="0"/>
  </r>
  <r>
    <x v="185"/>
    <s v="Banco do Brasil - Sarah Alves Lisboa"/>
    <s v="Parte 2/2 dos honorários de Helio, Cleusa e Leanne"/>
    <x v="41"/>
    <x v="11"/>
    <s v="Banco do Brasil - Sarah Alves Lisboa"/>
    <s v="Banco do Brasil - Sarah Alves Lisboa"/>
    <m/>
    <m/>
    <s v="Thaynara Borges"/>
    <n v="-72459.87"/>
    <s v="Saída"/>
    <x v="0"/>
  </r>
  <r>
    <x v="185"/>
    <s v="Banco do Brasil - Sarah Alves Lisboa"/>
    <s v="Parte 1/2 dos honorários de Helio, Cleusa e Leanne"/>
    <x v="41"/>
    <x v="11"/>
    <s v="Banco do Brasil - Sarah Alves Lisboa"/>
    <s v="Banco do Brasil - Sarah Alves Lisboa"/>
    <m/>
    <m/>
    <s v="Thaynara Borges"/>
    <n v="-50000"/>
    <s v="Saída"/>
    <x v="0"/>
  </r>
  <r>
    <x v="185"/>
    <s v="Banco do Brasil - Sarah Alves Lisboa"/>
    <s v="TAXA TED"/>
    <x v="4"/>
    <x v="3"/>
    <s v="BANCO DO BRASIL S/A"/>
    <s v="BANCO DO BRASIL S/A"/>
    <m/>
    <m/>
    <s v="Nathalia Louiz"/>
    <n v="-12.7"/>
    <s v="Saída"/>
    <x v="0"/>
  </r>
  <r>
    <x v="186"/>
    <s v="Banco do Brasil - Sarah Alves Lisboa"/>
    <s v="Tarifa Bancária"/>
    <x v="4"/>
    <x v="3"/>
    <s v="BANCO DO BRASIL S/A"/>
    <s v="BANCO DO BRASIL S/A"/>
    <m/>
    <m/>
    <s v="Thaynara Borges"/>
    <n v="-15.9"/>
    <s v="Saída"/>
    <x v="0"/>
  </r>
  <r>
    <x v="185"/>
    <s v="Cartão de Crédito Dr Ivanildo"/>
    <s v="CANAÃ FRIOS"/>
    <x v="11"/>
    <x v="1"/>
    <s v="BANCO ITAU"/>
    <s v="BANCO ITAU"/>
    <m/>
    <m/>
    <s v="Nathalia Louiz"/>
    <n v="-44.39"/>
    <s v="Saída"/>
    <x v="0"/>
  </r>
  <r>
    <x v="185"/>
    <s v="Cartão de Crédito Dra Sarah"/>
    <s v="Cartão de crédito Dra Sarah"/>
    <x v="6"/>
    <x v="1"/>
    <s v="BANCO ITAU"/>
    <s v="BANCO ITAU"/>
    <m/>
    <m/>
    <s v="Nathalia Louiz"/>
    <n v="1346.56"/>
    <s v="Entrada"/>
    <x v="1"/>
  </r>
  <r>
    <x v="185"/>
    <s v="Cartão de Crédito Dr Ivanildo"/>
    <s v="Pagamento Cartão de Crédito Dr Ivanildo"/>
    <x v="6"/>
    <x v="1"/>
    <s v="BANCO ITAU"/>
    <s v="BANCO ITAU"/>
    <m/>
    <m/>
    <s v="Thaynara Borges"/>
    <n v="1641.71"/>
    <s v="Entrada"/>
    <x v="1"/>
  </r>
  <r>
    <x v="185"/>
    <s v="Cartão de Crédito Dr Ivanildo"/>
    <s v="ROSEANE REIS"/>
    <x v="11"/>
    <x v="1"/>
    <s v="BANCO ITAU"/>
    <s v="BANCO ITAU"/>
    <m/>
    <m/>
    <s v="Nathalia Louiz"/>
    <n v="-12.5"/>
    <s v="Saída"/>
    <x v="0"/>
  </r>
  <r>
    <x v="185"/>
    <s v="Cartão de Crédito Dr Ivanildo"/>
    <s v="DIGISEC"/>
    <x v="14"/>
    <x v="1"/>
    <s v="BANCO ITAU"/>
    <s v="BANCO ITAU"/>
    <m/>
    <m/>
    <s v="Nathalia Louiz"/>
    <n v="-158"/>
    <s v="Saída"/>
    <x v="0"/>
  </r>
  <r>
    <x v="185"/>
    <s v="Cartão de Crédito Dr Ivanildo"/>
    <s v="Jusbrasil"/>
    <x v="12"/>
    <x v="1"/>
    <s v="BANCO ITAU"/>
    <s v="BANCO ITAU"/>
    <m/>
    <m/>
    <s v="Thaynara Borges"/>
    <n v="-58.9"/>
    <s v="Saída"/>
    <x v="0"/>
  </r>
  <r>
    <x v="185"/>
    <s v="Cartão de Crédito Dra Sarah"/>
    <s v="TERMO SUL"/>
    <x v="14"/>
    <x v="1"/>
    <s v="BANCO ITAU"/>
    <s v="BANCO ITAU"/>
    <m/>
    <m/>
    <s v="Nathalia Louiz"/>
    <n v="-394"/>
    <s v="Saída"/>
    <x v="0"/>
  </r>
  <r>
    <x v="185"/>
    <s v="Cartão de Crédito Dr Ivanildo"/>
    <s v="Google One"/>
    <x v="12"/>
    <x v="1"/>
    <s v="BANCO ITAU"/>
    <s v="BANCO ITAU"/>
    <m/>
    <m/>
    <s v="Thaynara Borges"/>
    <n v="-49.99"/>
    <s v="Saída"/>
    <x v="0"/>
  </r>
  <r>
    <x v="185"/>
    <s v="Cartão de Crédito Dr Ivanildo"/>
    <s v="SUPER MOREIRA"/>
    <x v="11"/>
    <x v="1"/>
    <s v="BANCO ITAU"/>
    <s v="BANCO ITAU"/>
    <m/>
    <m/>
    <s v="Nathalia Louiz"/>
    <n v="-54.43"/>
    <s v="Saída"/>
    <x v="0"/>
  </r>
  <r>
    <x v="185"/>
    <s v="Cartão de Crédito Dr Ivanildo"/>
    <s v="ASA CURSOS"/>
    <x v="34"/>
    <x v="6"/>
    <s v="BANCO ITAU"/>
    <s v="BANCO ITAU"/>
    <m/>
    <m/>
    <s v="Nathalia Louiz"/>
    <n v="-59.9"/>
    <s v="Saída"/>
    <x v="0"/>
  </r>
  <r>
    <x v="185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185"/>
    <s v="Cartão de Crédito Dra Sarah"/>
    <s v="EMPORIO DOLCCI"/>
    <x v="11"/>
    <x v="1"/>
    <s v="BANCO ITAU"/>
    <s v="BANCO ITAU"/>
    <m/>
    <m/>
    <s v="Nathalia Louiz"/>
    <n v="-77.7"/>
    <s v="Saída"/>
    <x v="0"/>
  </r>
  <r>
    <x v="185"/>
    <s v="Cartão de Crédito Dr Ivanildo"/>
    <s v="Prévius"/>
    <x v="12"/>
    <x v="1"/>
    <s v="BANCO ITAU"/>
    <s v="BANCO ITAU"/>
    <m/>
    <m/>
    <s v="Thaynara Borges"/>
    <n v="-80.91"/>
    <s v="Saída"/>
    <x v="0"/>
  </r>
  <r>
    <x v="185"/>
    <s v="Cartão de Crédito Dra Sarah"/>
    <s v="CONSULTORIA ESTRATEGIA"/>
    <x v="36"/>
    <x v="1"/>
    <s v="BANCO ITAU"/>
    <s v="BANCO ITAU"/>
    <m/>
    <m/>
    <s v="Nathalia Louiz"/>
    <n v="-299.17"/>
    <s v="Saída"/>
    <x v="0"/>
  </r>
  <r>
    <x v="185"/>
    <s v="Cartão de Crédito Dr Ivanildo"/>
    <s v="Google One"/>
    <x v="12"/>
    <x v="1"/>
    <s v="BANCO ITAU"/>
    <s v="BANCO ITAU"/>
    <m/>
    <m/>
    <s v="Thaynara Borges"/>
    <n v="-14.99"/>
    <s v="Saída"/>
    <x v="0"/>
  </r>
  <r>
    <x v="185"/>
    <s v="Cartão de Crédito Dr Ivanildo"/>
    <s v="RICHESSE"/>
    <x v="11"/>
    <x v="1"/>
    <s v="BANCO ITAU"/>
    <s v="BANCO ITAU"/>
    <m/>
    <m/>
    <s v="Nathalia Louiz"/>
    <n v="-216.22"/>
    <s v="Saída"/>
    <x v="0"/>
  </r>
  <r>
    <x v="185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185"/>
    <s v="Cartão de Crédito Dra Sarah"/>
    <s v="TERMO SUL ENGENHARIA"/>
    <x v="14"/>
    <x v="1"/>
    <s v="BANCO ITAU"/>
    <s v="BANCO ITAU"/>
    <m/>
    <m/>
    <s v="Nathalia Louiz"/>
    <n v="-300"/>
    <s v="Saída"/>
    <x v="0"/>
  </r>
  <r>
    <x v="185"/>
    <s v="Cartão de Crédito Dr Ivanildo"/>
    <s v="Jusbrasil"/>
    <x v="12"/>
    <x v="1"/>
    <s v="BANCO ITAU"/>
    <s v="BANCO ITAU"/>
    <m/>
    <m/>
    <s v="Thaynara Borges"/>
    <n v="-58.9"/>
    <s v="Saída"/>
    <x v="0"/>
  </r>
  <r>
    <x v="185"/>
    <s v="Cartão de Crédito Dra Sarah"/>
    <s v="COMPRA MERCADO LIVRE"/>
    <x v="6"/>
    <x v="1"/>
    <s v="BANCO ITAU"/>
    <s v="BANCO ITAU"/>
    <m/>
    <m/>
    <s v="Nathalia Louiz"/>
    <n v="-224.99"/>
    <s v="Saída"/>
    <x v="0"/>
  </r>
  <r>
    <x v="185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185"/>
    <s v="Cartão de Crédito Dra Sarah"/>
    <s v="PANIFICADORA"/>
    <x v="11"/>
    <x v="1"/>
    <s v="BANCO ITAU"/>
    <s v="BANCO ITAU"/>
    <m/>
    <m/>
    <s v="Nathalia Louiz"/>
    <n v="-50.7"/>
    <s v="Saída"/>
    <x v="0"/>
  </r>
  <r>
    <x v="185"/>
    <s v="Cartão de Crédito Dr Ivanildo"/>
    <s v="SUPERMOREIRA"/>
    <x v="11"/>
    <x v="1"/>
    <s v="BANCO ITAU"/>
    <s v="BANCO ITAU"/>
    <m/>
    <m/>
    <s v="Nathalia Louiz"/>
    <n v="-34.79"/>
    <s v="Saída"/>
    <x v="0"/>
  </r>
  <r>
    <x v="185"/>
    <s v="Cartão de Crédito Dr Ivanildo"/>
    <s v="SUPER UNIÃO"/>
    <x v="11"/>
    <x v="1"/>
    <s v="BANCO ITAU"/>
    <s v="BANCO ITAU"/>
    <m/>
    <m/>
    <s v="Nathalia Louiz"/>
    <n v="-324.75"/>
    <s v="Saída"/>
    <x v="0"/>
  </r>
  <r>
    <x v="180"/>
    <s v="Itaú - Lisboa e Lisboa"/>
    <s v="Pagamento Cartão de Crédito Dr Ivanildo"/>
    <x v="6"/>
    <x v="1"/>
    <s v="BANCO ITAU"/>
    <s v="BANCO ITAU"/>
    <m/>
    <m/>
    <s v="Nathalia Louiz"/>
    <n v="-1641.71"/>
    <s v="Saída"/>
    <x v="0"/>
  </r>
  <r>
    <x v="187"/>
    <s v="Itaú - Lisboa e Lisboa"/>
    <s v="Pagamento Cartão de Crédito Dra Sarah"/>
    <x v="6"/>
    <x v="1"/>
    <s v="BANCO ITAU"/>
    <s v="BANCO ITAU"/>
    <m/>
    <m/>
    <s v="Nathalia Louiz"/>
    <n v="-1346.56"/>
    <s v="Saída"/>
    <x v="0"/>
  </r>
  <r>
    <x v="188"/>
    <s v="Itaú - Lisboa e Lisboa"/>
    <s v="Materiais para obra"/>
    <x v="14"/>
    <x v="1"/>
    <s v="BEIJA FLOR TINTAS"/>
    <s v="BEIJA FLOR TINTAS"/>
    <m/>
    <m/>
    <s v="Nathalia Louiz"/>
    <n v="-470"/>
    <s v="Saída"/>
    <x v="0"/>
  </r>
  <r>
    <x v="179"/>
    <s v="Itaú - Lisboa e Lisboa"/>
    <s v="Tintas da reforma"/>
    <x v="14"/>
    <x v="1"/>
    <s v="BEIJA-FLOR TINTAS"/>
    <s v="BEIJA-FLOR TINTAS"/>
    <m/>
    <m/>
    <s v="Nathalia Louiz"/>
    <n v="-290"/>
    <s v="Saída"/>
    <x v="0"/>
  </r>
  <r>
    <x v="183"/>
    <s v="Cartão de Crédito Dra Thaynara"/>
    <s v="Pagamento Cartão de Crédito Dra Thaynara"/>
    <x v="6"/>
    <x v="1"/>
    <s v="C6"/>
    <s v="C6"/>
    <m/>
    <m/>
    <s v="Nathalia Louiz"/>
    <n v="1251.8"/>
    <s v="Entrada"/>
    <x v="1"/>
  </r>
  <r>
    <x v="183"/>
    <s v="Banco do Brasil - Sarah Alves Lisboa"/>
    <s v="Cartão de Crédito Dra Thaynara"/>
    <x v="6"/>
    <x v="1"/>
    <s v="C6"/>
    <s v="C6"/>
    <m/>
    <m/>
    <s v="Thaynara Borges"/>
    <n v="-1251.8"/>
    <s v="Saída"/>
    <x v="0"/>
  </r>
  <r>
    <x v="183"/>
    <s v="Cartão de Crédito Dra Thaynara"/>
    <s v="ASTREA"/>
    <x v="12"/>
    <x v="1"/>
    <s v="C6"/>
    <s v="C6"/>
    <m/>
    <m/>
    <s v="Thaynara Borges"/>
    <n v="-653.29999999999995"/>
    <s v="Saída"/>
    <x v="0"/>
  </r>
  <r>
    <x v="183"/>
    <s v="Cartão de Crédito Dra Thaynara"/>
    <s v="HTM*ALINEDECKER (Curso Liderança)"/>
    <x v="12"/>
    <x v="1"/>
    <s v="C6"/>
    <s v="C6"/>
    <m/>
    <m/>
    <s v="Thaynara Borges"/>
    <n v="-249.21"/>
    <s v="Saída"/>
    <x v="0"/>
  </r>
  <r>
    <x v="183"/>
    <s v="Cartão de Crédito Dra Thaynara"/>
    <s v="Cálculo Jurídico"/>
    <x v="12"/>
    <x v="1"/>
    <s v="C6"/>
    <s v="C6"/>
    <m/>
    <m/>
    <s v="Thaynara Borges"/>
    <n v="-120.29"/>
    <s v="Saída"/>
    <x v="0"/>
  </r>
  <r>
    <x v="185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189"/>
    <s v="Banco do Brasil - Sarah Alves Lisboa"/>
    <s v="Consulta de ROBERT LUCAS FERNANDES LOGRADO (Não virou ação)"/>
    <x v="2"/>
    <x v="2"/>
    <s v="CARNEIRO E OLIVEIRA ADVOGADOS"/>
    <s v="CARNEIRO E OLIVEIRA ADVOGADOS"/>
    <m/>
    <m/>
    <s v="Nathalia Louiz"/>
    <n v="200"/>
    <s v="Entrada"/>
    <x v="1"/>
  </r>
  <r>
    <x v="190"/>
    <s v="Itaú - Lisboa e Lisboa"/>
    <s v="Persinas para escritorio"/>
    <x v="14"/>
    <x v="1"/>
    <s v="CENTERFLEX PERSIANAS E CORTINAS"/>
    <s v="CENTERFLEX PERSIANAS E CORTINAS"/>
    <m/>
    <m/>
    <s v="Nathalia Louiz"/>
    <n v="-2300"/>
    <s v="Saída"/>
    <x v="0"/>
  </r>
  <r>
    <x v="185"/>
    <s v="Itaú - Lisboa e Lisboa"/>
    <s v="Comissão Vanessa 70%"/>
    <x v="29"/>
    <x v="7"/>
    <s v="CLEUSA ALVES RIBEIRO"/>
    <s v="CLEUSA ALVES RIBEIRO"/>
    <m/>
    <s v="APOSENTADORIA RURAL"/>
    <s v="Nathalia Louiz"/>
    <n v="-21452.83"/>
    <s v="Saída"/>
    <x v="0"/>
  </r>
  <r>
    <x v="179"/>
    <s v="Itaú - Lisboa e Lisboa"/>
    <s v="3 SALÁRIOS DE BENEFICIOS (R$ 8.269,50 em 8 vezes)"/>
    <x v="2"/>
    <x v="2"/>
    <s v="COSME DOS SANTOS VAZ"/>
    <s v="COSME DOS SANTOS VAZ"/>
    <m/>
    <s v="APOSENTADORIA POR IDADE"/>
    <s v="Nathalia Louiz"/>
    <n v="1052.19"/>
    <s v="Entrada"/>
    <x v="1"/>
  </r>
  <r>
    <x v="181"/>
    <s v="Banco do Brasil - Sarah Alves Lisboa"/>
    <s v="ANUIDADE (3 BENEFICIOS)"/>
    <x v="2"/>
    <x v="2"/>
    <s v="DARLENE CAIXETA DOS SANTOS"/>
    <s v="DARLENE CAIXETA DOS SANTOS"/>
    <m/>
    <s v="BENEFÍCIO POR INCAPACIDADE"/>
    <s v="Nathalia Louiz"/>
    <n v="455.4"/>
    <s v="Entrada"/>
    <x v="1"/>
  </r>
  <r>
    <x v="179"/>
    <s v="Itaú - Lisboa e Lisboa"/>
    <s v="30% + Saldo devedor 3 beneficios"/>
    <x v="2"/>
    <x v="2"/>
    <s v="DARLENE CAIXETA DOS SANTOS"/>
    <s v="DARLENE CAIXETA DOS SANTOS"/>
    <m/>
    <s v="BENEFÍCIO POR INCAPACIDADE"/>
    <s v="Nathalia Louiz"/>
    <n v="3843.08"/>
    <s v="Entrada"/>
    <x v="1"/>
  </r>
  <r>
    <x v="191"/>
    <s v="Banco do Brasil - Sarah Alves Lisboa"/>
    <s v="Comissão para Karine Domingues 30%"/>
    <x v="29"/>
    <x v="7"/>
    <s v="DARLENE CAIXETA DOS SANTOS"/>
    <s v="DARLENE CAIXETA DOS SANTOS"/>
    <m/>
    <s v="BENEFÍCIO POR INCAPACIDADE"/>
    <s v="Thaynara Borges"/>
    <n v="-1026.56"/>
    <s v="Saída"/>
    <x v="0"/>
  </r>
  <r>
    <x v="192"/>
    <s v="Itaú - Lisboa e Lisboa"/>
    <s v="30% SOB RPV"/>
    <x v="2"/>
    <x v="2"/>
    <s v="DEA LUCIA DA SILVA DAVID"/>
    <s v="DEA LUCIA DA SILVA DAVID"/>
    <m/>
    <s v="APOSENTADORIA POR IDADE"/>
    <s v="Nathalia Louiz"/>
    <n v="40664.550000000003"/>
    <s v="Entrada"/>
    <x v="1"/>
  </r>
  <r>
    <x v="191"/>
    <s v="Itaú - Lisboa e Lisboa"/>
    <s v="Comissão Vanessa"/>
    <x v="29"/>
    <x v="7"/>
    <s v="DEA LUCIA DA SILVA DAVID"/>
    <s v="DEA LUCIA DA SILVA DAVID"/>
    <m/>
    <s v="APOSENTADORIA POR IDADE"/>
    <s v="Thaynara Borges"/>
    <n v="-25345.39"/>
    <s v="Saída"/>
    <x v="0"/>
  </r>
  <r>
    <x v="185"/>
    <s v="Banco do Brasil - Sarah Alves Lisboa"/>
    <s v="3 Iniciais"/>
    <x v="43"/>
    <x v="6"/>
    <s v="Dra Raffaela Nunes"/>
    <s v="Dra Raffaela Nunes"/>
    <m/>
    <m/>
    <s v="Nathalia Louiz"/>
    <n v="-700"/>
    <s v="Saída"/>
    <x v="0"/>
  </r>
  <r>
    <x v="180"/>
    <s v="Banco do Brasil - Sarah Alves Lisboa"/>
    <s v="Pagamentos - 2 inicias extras (Revisão de RMI - Cairo Osmundo - Revisão de RMI - Jario Alves Duarte)"/>
    <x v="43"/>
    <x v="6"/>
    <s v="Dra Raffaela Nunes"/>
    <s v="Dra Raffaela Nunes"/>
    <m/>
    <m/>
    <s v="Nathalia Louiz"/>
    <n v="-400"/>
    <s v="Saída"/>
    <x v="0"/>
  </r>
  <r>
    <x v="184"/>
    <s v="Banco do Brasil - Sarah Alves Lisboa"/>
    <s v="Pagamento de peças - Iniciais"/>
    <x v="43"/>
    <x v="6"/>
    <s v="Dra Raffaela Nunes"/>
    <s v="Dra Raffaela Nunes"/>
    <m/>
    <m/>
    <s v="Nathalia Louiz"/>
    <n v="-200"/>
    <s v="Saída"/>
    <x v="0"/>
  </r>
  <r>
    <x v="189"/>
    <s v="Banco do Brasil - Sarah Alves Lisboa"/>
    <s v="Pagamento de peça inicial - Extra"/>
    <x v="43"/>
    <x v="6"/>
    <s v="Dra Raffaela Nunes"/>
    <s v="Dra Raffaela Nunes"/>
    <m/>
    <m/>
    <s v="Nathalia Louiz"/>
    <n v="-300"/>
    <s v="Saída"/>
    <x v="0"/>
  </r>
  <r>
    <x v="193"/>
    <s v="Banco do Brasil - Sarah Alves Lisboa"/>
    <s v="Pagamento de pecas avulsas - Benefício por incapacidade - Patrícia Godói Pensão por morte - Geralda Nunes"/>
    <x v="29"/>
    <x v="7"/>
    <s v="Dra Raffaela Nunes"/>
    <s v="Dra Raffaela Nunes"/>
    <m/>
    <m/>
    <s v="Nathalia Louiz"/>
    <n v="-400"/>
    <s v="Saída"/>
    <x v="0"/>
  </r>
  <r>
    <x v="179"/>
    <s v="Banco do Brasil - Sarah Alves Lisboa"/>
    <s v="Espelho e Janela - Janela Sarah"/>
    <x v="14"/>
    <x v="1"/>
    <s v="Eduardo S. Oliveira"/>
    <s v="Eduardo S. Oliveira"/>
    <m/>
    <m/>
    <s v="Nathalia Louiz"/>
    <n v="-400"/>
    <s v="Saída"/>
    <x v="0"/>
  </r>
  <r>
    <x v="193"/>
    <s v="Banco do Brasil - Sarah Alves Lisboa"/>
    <s v="Vidros Janela - Reforma"/>
    <x v="14"/>
    <x v="1"/>
    <s v="Eduardo S. Oliveira"/>
    <s v="Eduardo S. Oliveira"/>
    <m/>
    <m/>
    <s v="Nathalia Louiz"/>
    <n v="-400"/>
    <s v="Saída"/>
    <x v="0"/>
  </r>
  <r>
    <x v="192"/>
    <s v="Itaú - Lisboa e Lisboa"/>
    <s v="3 beneficios"/>
    <x v="2"/>
    <x v="2"/>
    <s v="ELIO DIVINO NUNES DE BARROS"/>
    <s v="ELIO DIVINO NUNES DE BARROS"/>
    <m/>
    <s v="APOSENTADORIA POR IDADE"/>
    <s v="Nathalia Louiz"/>
    <n v="3525.48"/>
    <s v="Entrada"/>
    <x v="1"/>
  </r>
  <r>
    <x v="186"/>
    <s v="Banco do Brasil - Sarah Alves Lisboa"/>
    <s v="Honorários (3x1500,00) 50% DR GUSTAVO"/>
    <x v="2"/>
    <x v="2"/>
    <s v="ELISEU FRADIQUE MARÇAL"/>
    <s v="ELISEU FRADIQUE MARÇAL"/>
    <m/>
    <s v="RECISÃO DE CONTRATO"/>
    <s v="Nathalia Louiz"/>
    <n v="1500"/>
    <s v="Entrada"/>
    <x v="1"/>
  </r>
  <r>
    <x v="183"/>
    <s v="Banco do Brasil - Sarah Alves Lisboa"/>
    <s v="50% parceria"/>
    <x v="29"/>
    <x v="7"/>
    <s v="ELISEU FRADIQUE MARÇAL"/>
    <s v="ELISEU FRADIQUE MARÇAL"/>
    <m/>
    <s v="RECISÃO DE CONTRATO"/>
    <s v="Nathalia Louiz"/>
    <n v="-750"/>
    <s v="Saída"/>
    <x v="0"/>
  </r>
  <r>
    <x v="180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84"/>
    <s v="Banco do Brasil - Sarah Alves Lisboa"/>
    <s v="LIMPEZA"/>
    <x v="9"/>
    <x v="1"/>
    <s v="ELIZANGELA FERREIRA DA SILVA"/>
    <s v="ELIZANGELA FERREIRA DA SILVA"/>
    <m/>
    <m/>
    <s v="Nathalia Louiz"/>
    <n v="-170"/>
    <s v="Saída"/>
    <x v="0"/>
  </r>
  <r>
    <x v="192"/>
    <s v="Banco do Brasil - Sarah Alves Lisboa"/>
    <s v="Extra (Uber) - Limpeza reforma do banheiro"/>
    <x v="9"/>
    <x v="1"/>
    <s v="ELIZANGELA FERREIRA DA SILVA"/>
    <s v="ELIZANGELA FERREIRA DA SILVA"/>
    <m/>
    <m/>
    <s v="Nathalia Louiz"/>
    <n v="-50"/>
    <s v="Saída"/>
    <x v="0"/>
  </r>
  <r>
    <x v="189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93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193"/>
    <s v="Itaú - Lisboa e Lisboa"/>
    <s v="Energia contrato 0067122663"/>
    <x v="21"/>
    <x v="1"/>
    <s v="EQUATORIAL GOIAS 0067122663"/>
    <s v="EQUATORIAL GOIAS 0067122663"/>
    <m/>
    <m/>
    <s v="Thaynara Borges"/>
    <n v="-439.04"/>
    <s v="Saída"/>
    <x v="0"/>
  </r>
  <r>
    <x v="193"/>
    <s v="Itaú - Lisboa e Lisboa"/>
    <s v="Energia contrato 0067122721"/>
    <x v="21"/>
    <x v="1"/>
    <s v="EQUATORIAL GOIAS 0067122721"/>
    <s v="EQUATORIAL GOIAS 0067122721"/>
    <m/>
    <m/>
    <s v="Thaynara Borges"/>
    <n v="-443.3"/>
    <s v="Saída"/>
    <x v="0"/>
  </r>
  <r>
    <x v="182"/>
    <s v="Banco do Brasil - Sarah Alves Lisboa"/>
    <s v="30% Sob Implantação"/>
    <x v="2"/>
    <x v="2"/>
    <s v="ERINALVA DOS SANTOS ALMEIDA"/>
    <s v="ERINALVA DOS SANTOS ALMEIDA"/>
    <m/>
    <s v="BENEFÍCIO POR INCAPACIDADE"/>
    <s v="Nathalia Louiz"/>
    <n v="1595.1"/>
    <s v="Entrada"/>
    <x v="1"/>
  </r>
  <r>
    <x v="194"/>
    <s v="Itaú - Lisboa e Lisboa"/>
    <s v="Honorário de SCB"/>
    <x v="2"/>
    <x v="2"/>
    <s v="ESPÓLIO DE REGINALDO DE SOUZA LIRA"/>
    <s v="ESPÓLIO DE REGINALDO DE SOUZA LIRA"/>
    <m/>
    <s v="AÇÃO ACIDENTÁRIA (RESTABELECIMENTO DE AUXÍLIO-DOENÇA/CONCESSÃO DE AUXÍLIO-ACIDENTE/AP. POR INVALIDEZ"/>
    <s v="Nathalia Louiz"/>
    <n v="5455.92"/>
    <s v="Entrada"/>
    <x v="1"/>
  </r>
  <r>
    <x v="194"/>
    <s v="Itaú - Lisboa e Lisboa"/>
    <s v="Honorário contratual Espólio"/>
    <x v="2"/>
    <x v="2"/>
    <s v="ESPÓLIO DE REGINALDO DE SOUZA LIRA"/>
    <s v="ESPÓLIO DE REGINALDO DE SOUZA LIRA"/>
    <m/>
    <s v="AÇÃO ACIDENTÁRIA (RESTABELECIMENTO DE AUXÍLIO-DOENÇA/CONCESSÃO DE AUXÍLIO-ACIDENTE/AP. POR INVALIDEZ"/>
    <s v="Nathalia Louiz"/>
    <n v="20114.2"/>
    <s v="Entrada"/>
    <x v="1"/>
  </r>
  <r>
    <x v="191"/>
    <s v="Itaú - Lisboa e Lisboa"/>
    <s v="Comissão sucumbencia Vanessa"/>
    <x v="29"/>
    <x v="7"/>
    <s v="ESPÓLIO DE REGINALDO DE SOUZA LIRA"/>
    <s v="ESPÓLIO DE REGINALDO DE SOUZA LIRA"/>
    <m/>
    <s v="AÇÃO ACIDENTÁRIA (RESTABELECIMENTO DE AUXÍLIO-DOENÇA/CONCESSÃO DE AUXÍLIO-ACIDENTE/AP. POR INVALIDEZ"/>
    <s v="Thaynara Borges"/>
    <n v="-3400.55"/>
    <s v="Saída"/>
    <x v="0"/>
  </r>
  <r>
    <x v="191"/>
    <s v="Itaú - Lisboa e Lisboa"/>
    <s v="Comissão principal Vanessa"/>
    <x v="29"/>
    <x v="7"/>
    <s v="ESPÓLIO DE REGINALDO DE SOUZA LIRA"/>
    <s v="ESPÓLIO DE REGINALDO DE SOUZA LIRA"/>
    <m/>
    <s v="AÇÃO ACIDENTÁRIA (RESTABELECIMENTO DE AUXÍLIO-DOENÇA/CONCESSÃO DE AUXÍLIO-ACIDENTE/AP. POR INVALIDEZ"/>
    <s v="Thaynara Borges"/>
    <n v="-12536.77"/>
    <s v="Saída"/>
    <x v="0"/>
  </r>
  <r>
    <x v="184"/>
    <s v="Banco do Brasil - Sarah Alves Lisboa"/>
    <s v="Especialização - Dra. Raffaela"/>
    <x v="34"/>
    <x v="6"/>
    <s v="FASBEN SAO BENTO EDUCACIONAL LTDA"/>
    <s v="FASBEN SAO BENTO EDUCACIONAL LTDA"/>
    <m/>
    <m/>
    <s v="Nathalia Louiz"/>
    <n v="-489.3"/>
    <s v="Saída"/>
    <x v="0"/>
  </r>
  <r>
    <x v="189"/>
    <s v="Itaú - Lisboa e Lisboa"/>
    <s v="FGTS"/>
    <x v="18"/>
    <x v="6"/>
    <s v="FGTS"/>
    <s v="FGTS"/>
    <m/>
    <m/>
    <s v="Thaynara Borges"/>
    <n v="-789.17"/>
    <s v="Saída"/>
    <x v="0"/>
  </r>
  <r>
    <x v="195"/>
    <s v="Itaú - Lisboa e Lisboa"/>
    <s v="Pagamento por gestão e execução de processo seletivo"/>
    <x v="36"/>
    <x v="1"/>
    <s v="FLUIR MULTICLINICA EM SAÚDE"/>
    <s v="FLUIR MULTICLINICA EM SAÚDE"/>
    <m/>
    <m/>
    <s v="Nathalia Louiz"/>
    <n v="-700"/>
    <s v="Saída"/>
    <x v="0"/>
  </r>
  <r>
    <x v="184"/>
    <s v="Banco do Brasil - Sarah Alves Lisboa"/>
    <s v="Pia para banheiro do escritório"/>
    <x v="14"/>
    <x v="1"/>
    <s v="GEAN CARLOS DE SOUZA"/>
    <s v="GEAN CARLOS DE SOUZA"/>
    <m/>
    <m/>
    <s v="Nathalia Louiz"/>
    <n v="-1200"/>
    <s v="Saída"/>
    <x v="0"/>
  </r>
  <r>
    <x v="185"/>
    <s v="Banco do Brasil - Sarah Alves Lisboa"/>
    <s v="3 BENEFICIOS - PARCIAL (RESTANTE EM 3X de 759,00)"/>
    <x v="2"/>
    <x v="2"/>
    <s v="GENI MOURA NEVES"/>
    <s v="GENI MOURA NEVES"/>
    <m/>
    <s v="APOSENTADORIA POR IDADE URBANA"/>
    <s v="Nathalia Louiz"/>
    <n v="759"/>
    <s v="Entrada"/>
    <x v="1"/>
  </r>
  <r>
    <x v="196"/>
    <s v="Banco do Brasil - Sarah Alves Lisboa"/>
    <s v="30% Sob implantação"/>
    <x v="2"/>
    <x v="2"/>
    <s v="GENILDO JANUARIO LEITE"/>
    <s v="GENILDO JANUARIO LEITE"/>
    <m/>
    <s v="BENEFICIO POR INCAPACIDADE"/>
    <s v="Nathalia Louiz"/>
    <n v="2361"/>
    <s v="Entrada"/>
    <x v="1"/>
  </r>
  <r>
    <x v="197"/>
    <s v="Banco do Brasil - Sarah Alves Lisboa"/>
    <s v="30% SOB Implantação"/>
    <x v="2"/>
    <x v="2"/>
    <s v="GIRLENE FERREIRA DA MATA"/>
    <s v="GIRLENE FERREIRA DA MATA"/>
    <m/>
    <s v="PENSÃO POR MORTE"/>
    <s v="Nathalia Louiz"/>
    <n v="1122.5999999999999"/>
    <s v="Entrada"/>
    <x v="1"/>
  </r>
  <r>
    <x v="185"/>
    <s v="Itaú - Lisboa e Lisboa"/>
    <s v="Comissão Vanessa 70%"/>
    <x v="29"/>
    <x v="7"/>
    <s v="HELIO CURADO FROES"/>
    <s v="HELIO CURADO FROES"/>
    <m/>
    <s v="APOSENTADORIA POR IDADE"/>
    <s v="Nathalia Louiz"/>
    <n v="-37283.33"/>
    <s v="Saída"/>
    <x v="0"/>
  </r>
  <r>
    <x v="186"/>
    <s v="Itaú - Lisboa e Lisboa"/>
    <s v="IEL Estagiárias"/>
    <x v="13"/>
    <x v="6"/>
    <s v="IEL"/>
    <s v="IEL"/>
    <m/>
    <m/>
    <s v="Thaynara Borges"/>
    <n v="-106.73"/>
    <s v="Saída"/>
    <x v="0"/>
  </r>
  <r>
    <x v="190"/>
    <s v="Itaú - Lisboa e Lisboa"/>
    <s v="Prêmio Águia Americana - São Paulo"/>
    <x v="33"/>
    <x v="4"/>
    <s v="INQS - Instituto Nacional da Qualidade Social"/>
    <s v="INQS - Instituto Nacional da Qualidade Social"/>
    <m/>
    <m/>
    <s v="Nathalia Louiz"/>
    <n v="-925"/>
    <s v="Saída"/>
    <x v="0"/>
  </r>
  <r>
    <x v="188"/>
    <s v="Itaú - Lisboa e Lisboa"/>
    <s v="Honorários sob Precatório recebido"/>
    <x v="2"/>
    <x v="2"/>
    <s v="IOLANDA ABADIA DE JESUS DIAS"/>
    <s v="IOLANDA ABADIA DE JESUS DIAS"/>
    <m/>
    <s v="PENSÃO POR MORTE"/>
    <s v="Nathalia Louiz"/>
    <n v="66460.899999999994"/>
    <s v="Entrada"/>
    <x v="1"/>
  </r>
  <r>
    <x v="182"/>
    <s v="Itaú - Lisboa e Lisboa"/>
    <s v="Anuidade R$ 8.967,07 (2.000 + 12x R$580,59)"/>
    <x v="2"/>
    <x v="2"/>
    <s v="ISAEL MARCULINO DOS SANTOS"/>
    <s v="ISAEL MARCULINO DOS SANTOS"/>
    <m/>
    <s v="APOSENTADORIA POR TEMPO DE CONTRIBUIÇAO/ PORTADOR DE NECESSIDADES ESPECIAIS"/>
    <s v="Nathalia Louiz"/>
    <n v="577.74"/>
    <s v="Entrada"/>
    <x v="1"/>
  </r>
  <r>
    <x v="191"/>
    <s v="Itaú - Lisboa e Lisboa"/>
    <s v="Comissao parcela anuidade 1/12 Vanessa"/>
    <x v="29"/>
    <x v="7"/>
    <s v="ISAEL MARCULINO DOS SANTOS"/>
    <s v="ISAEL MARCULINO DOS SANTOS"/>
    <m/>
    <s v="APOSENTADORIA POR TEMPO DE CONTRIBUIÇAO/ PORTADOR DE NECESSIDADES ESPECIAIS"/>
    <s v="Thaynara Borges"/>
    <n v="-372.3"/>
    <s v="Saída"/>
    <x v="0"/>
  </r>
  <r>
    <x v="191"/>
    <s v="Itaú - Lisboa e Lisboa"/>
    <s v="Comissão anuidade 2/12 Vanessa"/>
    <x v="29"/>
    <x v="7"/>
    <s v="ISAEL MARCULINO DOS SANTOS"/>
    <s v="ISAEL MARCULINO DOS SANTOS"/>
    <m/>
    <s v="APOSENTADORIA POR TEMPO DE CONTRIBUIÇAO/ PORTADOR DE NECESSIDADES ESPECIAIS"/>
    <s v="Thaynara Borges"/>
    <n v="-360.08"/>
    <s v="Saída"/>
    <x v="0"/>
  </r>
  <r>
    <x v="191"/>
    <s v="Itaú - Lisboa e Lisboa"/>
    <s v="Comissão Implantação Vanessa"/>
    <x v="29"/>
    <x v="7"/>
    <s v="ISAEL MARCULINO DOS SANTOS"/>
    <s v="ISAEL MARCULINO DOS SANTOS"/>
    <m/>
    <s v="APOSENTADORIA POR TEMPO DE CONTRIBUIÇAO/ PORTADOR DE NECESSIDADES ESPECIAIS"/>
    <s v="Thaynara Borges"/>
    <n v="-2708.37"/>
    <s v="Saída"/>
    <x v="0"/>
  </r>
  <r>
    <x v="191"/>
    <s v="Itaú - Lisboa e Lisboa"/>
    <s v="Comissão entrada anuidade Vanessa"/>
    <x v="29"/>
    <x v="7"/>
    <s v="ISAEL MARCULINO DOS SANTOS"/>
    <s v="ISAEL MARCULINO DOS SANTOS"/>
    <m/>
    <s v="APOSENTADORIA POR TEMPO DE CONTRIBUIÇAO/ PORTADOR DE NECESSIDADES ESPECIAIS"/>
    <s v="Thaynara Borges"/>
    <n v="-1400"/>
    <s v="Saída"/>
    <x v="0"/>
  </r>
  <r>
    <x v="185"/>
    <s v="Itaú - Lisboa e Lisboa"/>
    <s v="Parte 2/2 dos honorários de Helio, Cleusa e Leanne"/>
    <x v="41"/>
    <x v="11"/>
    <s v="Itaú - Lisboa e Lisboa"/>
    <s v="Itaú - Lisboa e Lisboa"/>
    <m/>
    <m/>
    <s v="Thaynara Borges"/>
    <n v="72459.87"/>
    <s v="Entrada"/>
    <x v="1"/>
  </r>
  <r>
    <x v="185"/>
    <s v="Itaú - Lisboa e Lisboa"/>
    <s v="Parte 1/2 dos honorários de Helio, Cleusa e Leanne"/>
    <x v="41"/>
    <x v="11"/>
    <s v="Itaú - Lisboa e Lisboa"/>
    <s v="Itaú - Lisboa e Lisboa"/>
    <m/>
    <m/>
    <s v="Thaynara Borges"/>
    <n v="50000"/>
    <s v="Entrada"/>
    <x v="1"/>
  </r>
  <r>
    <x v="181"/>
    <s v="Itaú - Lisboa e Lisboa"/>
    <s v="30% SOB PRECATÓRIO"/>
    <x v="2"/>
    <x v="2"/>
    <s v="JOSE RENATO MARTINS"/>
    <s v="JOSE RENATO MARTINS"/>
    <m/>
    <s v="APOSENTADORIA POR TEMPO DE CONTRIBUIÇÃO"/>
    <s v="Nathalia Louiz"/>
    <n v="73754.080000000002"/>
    <s v="Entrada"/>
    <x v="1"/>
  </r>
  <r>
    <x v="198"/>
    <s v="Itaú - Lisboa e Lisboa"/>
    <s v="PLANEJAMENTO"/>
    <x v="2"/>
    <x v="2"/>
    <s v="JOSE VITORIO DE CARVALHO JUNIOR"/>
    <s v="JOSE VITORIO DE CARVALHO JUNIOR"/>
    <m/>
    <s v="PLANEJAMENTO PREVIDENCIÁRIO"/>
    <s v="Thaynara Borges"/>
    <n v="99.45"/>
    <s v="Entrada"/>
    <x v="1"/>
  </r>
  <r>
    <x v="180"/>
    <s v="Banco do Brasil - Sarah Alves Lisboa"/>
    <s v="30% Sob  recebidos"/>
    <x v="2"/>
    <x v="2"/>
    <s v="Juarez Fernandes Da Silva"/>
    <s v="Juarez Fernandes Da Silva"/>
    <m/>
    <s v="Juarez Fernandes Da Silva x Banco Inbursa S.a."/>
    <s v="Nathalia Louiz"/>
    <n v="2512.9899999999998"/>
    <s v="Entrada"/>
    <x v="1"/>
  </r>
  <r>
    <x v="192"/>
    <s v="Itaú - Lisboa e Lisboa"/>
    <s v="Contrato 30+20% 30%= R$ 5.558,56 20%= R$ 3.946,80"/>
    <x v="2"/>
    <x v="2"/>
    <s v="LENY CORREIA DOS SANTOS"/>
    <s v="LENY CORREIA DOS SANTOS"/>
    <m/>
    <s v="APOSENTADORIA HÍBRIDA"/>
    <s v="Nathalia Louiz"/>
    <n v="9505.36"/>
    <s v="Entrada"/>
    <x v="1"/>
  </r>
  <r>
    <x v="181"/>
    <s v="Banco do Brasil - Sarah Alves Lisboa"/>
    <s v="Instalação de defletor - Escritório"/>
    <x v="14"/>
    <x v="1"/>
    <s v="LOURIVALDO SANTOS DE SOUZA"/>
    <s v="LOURIVALDO SANTOS DE SOUZA"/>
    <m/>
    <m/>
    <s v="Nathalia Louiz"/>
    <n v="-30"/>
    <s v="Saída"/>
    <x v="0"/>
  </r>
  <r>
    <x v="185"/>
    <s v="Banco do Brasil - Sarah Alves Lisboa"/>
    <s v="Acordo com Dr Silvio"/>
    <x v="2"/>
    <x v="2"/>
    <s v="LUENE DE OLIVEIRA GOMES"/>
    <s v="LUENE DE OLIVEIRA GOMES"/>
    <m/>
    <s v="PROCESSO CRIMINAL"/>
    <s v="Nathalia Louiz"/>
    <n v="390"/>
    <s v="Entrada"/>
    <x v="1"/>
  </r>
  <r>
    <x v="196"/>
    <s v="Itaú - Lisboa e Lisboa"/>
    <s v="Defesa administrativa e honorários - R$ 2.000,00 (Entrada de R$1.000,00 + 1x R$1.000,00)"/>
    <x v="2"/>
    <x v="2"/>
    <s v="LUIZ CARLOS FERREIRA DE MELO"/>
    <s v="LUIZ CARLOS FERREIRA DE MELO"/>
    <m/>
    <s v="DEFESA ADMINISTRATIVA"/>
    <s v="Nathalia Louiz"/>
    <n v="997.15"/>
    <s v="Entrada"/>
    <x v="1"/>
  </r>
  <r>
    <x v="188"/>
    <s v="Banco do Brasil - Sarah Alves Lisboa"/>
    <s v="Honorários R$5000,00 (Parceria com Dr Luciano R$2.500) - 5 parcelas para cada."/>
    <x v="2"/>
    <x v="2"/>
    <s v="LUZIA VIEIRA DE JESUS NASCIMENTO"/>
    <s v="LUZIA VIEIRA DE JESUS NASCIMENTO"/>
    <m/>
    <s v="aposentadoria"/>
    <s v="Nathalia Louiz"/>
    <n v="500"/>
    <s v="Entrada"/>
    <x v="1"/>
  </r>
  <r>
    <x v="182"/>
    <s v="Banco do Brasil - Sarah Alves Lisboa"/>
    <s v="40% Sob Implantação"/>
    <x v="2"/>
    <x v="2"/>
    <s v="LUZIMEIRE MARTINS COSTA ALVES"/>
    <s v="LUZIMEIRE MARTINS COSTA ALVES"/>
    <m/>
    <s v="BENEFÍCIO POR  INCAPACIDADE"/>
    <s v="Nathalia Louiz"/>
    <n v="2021.2"/>
    <s v="Entrada"/>
    <x v="1"/>
  </r>
  <r>
    <x v="192"/>
    <s v="Itaú - Lisboa e Lisboa"/>
    <s v="Contrato 40% 40% = R$ 2.831,20 - RPV"/>
    <x v="2"/>
    <x v="2"/>
    <s v="LUZIMEIRE MARTINS COSTA ALVES"/>
    <s v="LUZIMEIRE MARTINS COSTA ALVES"/>
    <m/>
    <s v="BENEFÍCIO POR  INCAPACIDADE"/>
    <s v="Nathalia Louiz"/>
    <n v="2831.2"/>
    <s v="Entrada"/>
    <x v="1"/>
  </r>
  <r>
    <x v="185"/>
    <s v="Banco do Brasil - Sarah Alves Lisboa"/>
    <s v="PAGAMENTO DE HONORÁRIOS - ACORDO APÓS EXECUÇÃO DO CONTRATO"/>
    <x v="2"/>
    <x v="2"/>
    <s v="MARCOS ANTONIO LOURENÇO DE TOLEDO"/>
    <s v="MARCOS ANTONIO LOURENÇO DE TOLEDO"/>
    <m/>
    <s v="AUXILIO DOENÇA"/>
    <s v="Nathalia Louiz"/>
    <n v="500"/>
    <s v="Entrada"/>
    <x v="1"/>
  </r>
  <r>
    <x v="192"/>
    <s v="Itaú - Lisboa e Lisboa"/>
    <s v="Contrato 30% 30%= R$ 6.273,90 - RPV"/>
    <x v="2"/>
    <x v="2"/>
    <s v="Maria Alves Madureira"/>
    <s v="Maria Alves Madureira"/>
    <m/>
    <s v="AUXILIO DOENÇA/ APOSENTADORIA POR INVALIDEZ"/>
    <s v="Nathalia Louiz"/>
    <n v="6273.9"/>
    <s v="Entrada"/>
    <x v="1"/>
  </r>
  <r>
    <x v="185"/>
    <s v="Itaú - Lisboa e Lisboa"/>
    <s v="Comissão Vanessa 70%"/>
    <x v="29"/>
    <x v="7"/>
    <s v="MARIA APARECIDA SILVA ALVES/ IVANILTON ROCHA ALVES"/>
    <s v="MARIA APARECIDA SILVA ALVES/ IVANILTON ROCHA ALVES"/>
    <m/>
    <s v="APOSENTADORIA POR TEMPO DE CONTRIBUIÇAO / PORTADOR DE NESCESSIDADES ESPECIAIS"/>
    <s v="Nathalia Louiz"/>
    <n v="-13574.26"/>
    <s v="Saída"/>
    <x v="0"/>
  </r>
  <r>
    <x v="179"/>
    <s v="Banco do Brasil - Sarah Alves Lisboa"/>
    <s v="Reembolso de Certidão Solicitada"/>
    <x v="38"/>
    <x v="10"/>
    <s v="MARIA DA GLORIA RESENDE PAULA"/>
    <s v="MARIA DA GLORIA RESENDE PAULA"/>
    <m/>
    <s v="EMBARGOS DE TERCEIRO"/>
    <s v="Nathalia Louiz"/>
    <n v="-139.04"/>
    <s v="Saída"/>
    <x v="0"/>
  </r>
  <r>
    <x v="184"/>
    <s v="Banco do Brasil - Sarah Alves Lisboa"/>
    <s v="AJUDA IDA À EDILÂNDIA"/>
    <x v="29"/>
    <x v="7"/>
    <s v="Maria Eduarda"/>
    <s v="Maria Eduarda"/>
    <m/>
    <m/>
    <s v="Thaynara Borges"/>
    <n v="-100"/>
    <s v="Saída"/>
    <x v="0"/>
  </r>
  <r>
    <x v="191"/>
    <s v="Itaú - Lisboa e Lisboa"/>
    <s v="Salário"/>
    <x v="15"/>
    <x v="6"/>
    <s v="MARIA EDUARDA DE SOUZA"/>
    <s v="MARIA EDUARDA DE SOUZA"/>
    <m/>
    <m/>
    <s v="Nathalia Louiz"/>
    <n v="-2339.41"/>
    <s v="Saída"/>
    <x v="0"/>
  </r>
  <r>
    <x v="190"/>
    <s v="Itaú - Lisboa e Lisboa"/>
    <s v="HONORÁRIOS DE SCB"/>
    <x v="2"/>
    <x v="2"/>
    <s v="MARIA JOSE FONSECA ARAUJO MELO ROSETE GOIS"/>
    <s v="MARIA JOSE FONSECA ARAUJO MELO ROSETE GOIS"/>
    <m/>
    <s v="REVISÃO DE BENEFÍCIO"/>
    <s v="Nathalia Louiz"/>
    <n v="54081.919999999998"/>
    <s v="Entrada"/>
    <x v="1"/>
  </r>
  <r>
    <x v="188"/>
    <s v="Banco do Brasil - Sarah Alves Lisboa"/>
    <s v="COMISSÃO POR REUNIÃO - VIAGEM"/>
    <x v="29"/>
    <x v="7"/>
    <s v="MARIA JOSEFA DA CONCEIÇÃO"/>
    <s v="MARIA JOSEFA DA CONCEIÇÃO"/>
    <m/>
    <m/>
    <s v="Nathalia Louiz"/>
    <n v="-200"/>
    <s v="Saída"/>
    <x v="0"/>
  </r>
  <r>
    <x v="189"/>
    <s v="Itaú - Lisboa e Lisboa"/>
    <s v="30% Sob Implantação (2x)"/>
    <x v="2"/>
    <x v="2"/>
    <s v="MARLENE MARIA DOS SANTOS"/>
    <s v="MARLENE MARIA DOS SANTOS"/>
    <m/>
    <s v="BENEFÍCIO POR INCAPACIDADE"/>
    <s v="Nathalia Louiz"/>
    <n v="224.85"/>
    <s v="Entrada"/>
    <x v="1"/>
  </r>
  <r>
    <x v="185"/>
    <s v="Banco do Brasil - Sarah Alves Lisboa"/>
    <s v="Parcelamento 3 BENEFICIOS"/>
    <x v="2"/>
    <x v="2"/>
    <s v="MATHEUS HENRIQUE DE CARVALHO MIRANDA"/>
    <s v="MATHEUS HENRIQUE DE CARVALHO MIRANDA"/>
    <m/>
    <s v="PENSÃO POR MORTE - RETROAÇÃO DA DIP"/>
    <s v="Nathalia Louiz"/>
    <n v="563.5"/>
    <s v="Entrada"/>
    <x v="1"/>
  </r>
  <r>
    <x v="195"/>
    <s v="Banco do Brasil - Sarah Alves Lisboa"/>
    <s v="Parcelamento 3 BENEFICIOS"/>
    <x v="2"/>
    <x v="2"/>
    <s v="MATHEUS HENRIQUE DE CARVALHO MIRANDA"/>
    <s v="MATHEUS HENRIQUE DE CARVALHO MIRANDA"/>
    <m/>
    <s v="PENSÃO POR MORTE - RETROAÇÃO DA DIP"/>
    <s v="Nathalia Louiz"/>
    <n v="563.5"/>
    <s v="Entrada"/>
    <x v="1"/>
  </r>
  <r>
    <x v="197"/>
    <s v="Itaú - Lisboa e Lisboa"/>
    <s v="3 SALÁRIOS DE BENEFICIO (Entrada de 1000,00 + 6x de 492,33 no boleto)"/>
    <x v="2"/>
    <x v="2"/>
    <s v="Maura Cardoso Borges"/>
    <s v="Maura Cardoso Borges"/>
    <m/>
    <s v="APOSENTADORIA POR IDADE"/>
    <s v="Nathalia Louiz"/>
    <n v="489.47999999999996"/>
    <s v="Entrada"/>
    <x v="1"/>
  </r>
  <r>
    <x v="184"/>
    <s v="Itaú - Lisboa e Lisboa"/>
    <s v="3 SALÁRIOS DE BENEFICIO (Entrada de 1000,00 + 6x de 492,33 no boleto)"/>
    <x v="2"/>
    <x v="2"/>
    <s v="Maura Cardoso Borges"/>
    <s v="Maura Cardoso Borges"/>
    <m/>
    <s v="APOSENTADORIA POR IDADE"/>
    <s v="Nathalia Louiz"/>
    <n v="492.33"/>
    <s v="Entrada"/>
    <x v="2"/>
  </r>
  <r>
    <x v="193"/>
    <s v="Banco do Brasil - Sarah Alves Lisboa"/>
    <s v="Comissão por reunião"/>
    <x v="29"/>
    <x v="7"/>
    <s v="Maura Cardoso Borges"/>
    <s v="Maura Cardoso Borges"/>
    <m/>
    <m/>
    <s v="Nathalia Louiz"/>
    <n v="-300"/>
    <s v="Saída"/>
    <x v="0"/>
  </r>
  <r>
    <x v="192"/>
    <s v="Itaú - Lisboa e Lisboa"/>
    <s v="Contrato = 30+20% 30%= 3.945,54 20% está pagando boletos"/>
    <x v="2"/>
    <x v="2"/>
    <s v="NATANNE KELLY REIS DE SOUZA"/>
    <s v="NATANNE KELLY REIS DE SOUZA"/>
    <m/>
    <s v="BENEFÍCIO ASSISTENCIAL"/>
    <s v="Nathalia Louiz"/>
    <n v="3945.54"/>
    <s v="Entrada"/>
    <x v="1"/>
  </r>
  <r>
    <x v="189"/>
    <s v="Itaú - Lisboa e Lisboa"/>
    <s v="3 salários de beneficio"/>
    <x v="2"/>
    <x v="2"/>
    <s v="NATANNE KELLY REIS DE SOUZA"/>
    <s v="NATANNE KELLY REIS DE SOUZA"/>
    <m/>
    <s v="BENEFÍCIO ASSISTENCIAL"/>
    <s v="Nathalia Louiz"/>
    <n v="462.7"/>
    <s v="Entrada"/>
    <x v="1"/>
  </r>
  <r>
    <x v="191"/>
    <s v="Banco do Brasil - Sarah Alves Lisboa"/>
    <s v="3 salários de beneficio (restante)"/>
    <x v="2"/>
    <x v="2"/>
    <s v="NATANNE KELLY REIS DE SOUZA"/>
    <s v="NATANNE KELLY REIS DE SOUZA"/>
    <m/>
    <s v="BENEFÍCIO ASSISTENCIAL"/>
    <s v="Nathalia Louiz"/>
    <n v="3643.2"/>
    <s v="Entrada"/>
    <x v="1"/>
  </r>
  <r>
    <x v="185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191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191"/>
    <s v="Itaú - Lisboa e Lisboa"/>
    <s v="Salário"/>
    <x v="15"/>
    <x v="6"/>
    <s v="Nina Araujo"/>
    <s v="Nina Araujo"/>
    <m/>
    <m/>
    <s v="Thaynara Borges"/>
    <n v="-3231.22"/>
    <s v="Saída"/>
    <x v="0"/>
  </r>
  <r>
    <x v="188"/>
    <s v="Itaú - Lisboa e Lisboa"/>
    <s v="Material para obra"/>
    <x v="14"/>
    <x v="1"/>
    <s v="PORTAL DISTRIBUIDORA"/>
    <s v="PORTAL DISTRIBUIDORA"/>
    <m/>
    <m/>
    <s v="Nathalia Louiz"/>
    <n v="-494.38"/>
    <s v="Saída"/>
    <x v="0"/>
  </r>
  <r>
    <x v="184"/>
    <s v="Banco do Brasil - Sarah Alves Lisboa"/>
    <s v="Combustível - Viagem Sarah"/>
    <x v="27"/>
    <x v="4"/>
    <s v="POSTO ANTONELLI"/>
    <s v="POSTO ANTONELLI"/>
    <m/>
    <m/>
    <s v="Nathalia Louiz"/>
    <n v="-227.71"/>
    <s v="Saída"/>
    <x v="0"/>
  </r>
  <r>
    <x v="188"/>
    <s v="Itaú - Lisboa e Lisboa"/>
    <s v="IPTU - SALA B74"/>
    <x v="30"/>
    <x v="1"/>
    <s v="PREFEITURA MUNICIPAL DE GOIÂNIA"/>
    <s v="PREFEITURA MUNICIPAL DE GOIÂNIA"/>
    <m/>
    <m/>
    <s v="Nathalia Louiz"/>
    <n v="-125.57"/>
    <s v="Saída"/>
    <x v="0"/>
  </r>
  <r>
    <x v="185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192"/>
    <s v="Itaú - Lisboa e Lisboa"/>
    <s v="Contrato 40% - 40%= 2.503,79 Tem parceria com Dr Gustavo (50%)"/>
    <x v="2"/>
    <x v="2"/>
    <s v="RAFAELA DAMASIO DE ALMEIDA"/>
    <s v="RAFAELA DAMASIO DE ALMEIDA"/>
    <m/>
    <s v="SALÁRIO MATERNIDADE"/>
    <s v="Nathalia Louiz"/>
    <n v="2503.79"/>
    <s v="Entrada"/>
    <x v="1"/>
  </r>
  <r>
    <x v="199"/>
    <s v="Banco do Brasil - Sarah Alves Lisboa"/>
    <s v="Parceria 50% DR GUSTAVO"/>
    <x v="29"/>
    <x v="7"/>
    <s v="RAFAELA DAMASIO DE ALMEIDA"/>
    <s v="RAFAELA DAMASIO DE ALMEIDA"/>
    <m/>
    <s v="SALÁRIO MATERNIDADE"/>
    <s v="Nathalia Louiz"/>
    <n v="-1251.8900000000001"/>
    <s v="Saída"/>
    <x v="0"/>
  </r>
  <r>
    <x v="191"/>
    <s v="Banco do Brasil - Sarah Alves Lisboa"/>
    <s v="Salário"/>
    <x v="15"/>
    <x v="6"/>
    <s v="Raffaela Nunes"/>
    <s v="Raffaela Nunes"/>
    <m/>
    <m/>
    <s v="Thaynara Borges"/>
    <n v="-3500"/>
    <s v="Saída"/>
    <x v="0"/>
  </r>
  <r>
    <x v="189"/>
    <s v="Itaú - Lisboa e Lisboa"/>
    <s v="INSS"/>
    <x v="19"/>
    <x v="6"/>
    <s v="RECEITA FEDERAL"/>
    <s v="RECEITA FEDERAL"/>
    <m/>
    <m/>
    <s v="Thaynara Borges"/>
    <n v="-2885.94"/>
    <s v="Saída"/>
    <x v="0"/>
  </r>
  <r>
    <x v="199"/>
    <s v="Banco do Brasil - Sarah Alves Lisboa"/>
    <s v="30% Sob implantação"/>
    <x v="2"/>
    <x v="2"/>
    <s v="REGINA CELIA COLLIENNE"/>
    <s v="REGINA CELIA COLLIENNE"/>
    <m/>
    <s v="BENEFÍCIO POR INCAPACIDADE"/>
    <s v="Nathalia Louiz"/>
    <n v="91.08"/>
    <s v="Entrada"/>
    <x v="1"/>
  </r>
  <r>
    <x v="180"/>
    <s v="Itaú - Lisboa e Lisboa"/>
    <s v="Serviços de TI"/>
    <x v="3"/>
    <x v="1"/>
    <s v="Rhuan Carlos Batista"/>
    <s v="Rhuan Carlos Batista"/>
    <m/>
    <m/>
    <s v="Nathalia Louiz"/>
    <n v="-240"/>
    <s v="Saída"/>
    <x v="0"/>
  </r>
  <r>
    <x v="181"/>
    <s v="Itaú - Lisboa e Lisboa"/>
    <s v="40% Sob precatório"/>
    <x v="2"/>
    <x v="2"/>
    <s v="ROGERIO JOSE DA SILVEIRA"/>
    <s v="ROGERIO JOSE DA SILVEIRA"/>
    <m/>
    <s v="APOSENTADORIA ESPECIAL/ ELETRICISTA"/>
    <s v="Nathalia Louiz"/>
    <n v="120222.73"/>
    <s v="Entrada"/>
    <x v="1"/>
  </r>
  <r>
    <x v="191"/>
    <s v="Itaú - Lisboa e Lisboa"/>
    <s v="Comissão Vanessa"/>
    <x v="29"/>
    <x v="7"/>
    <s v="ROGERIO JOSE DA SILVEIRA"/>
    <s v="ROGERIO JOSE DA SILVEIRA"/>
    <m/>
    <s v="APOSENTADORIA ESPECIAL/ ELETRICISTA"/>
    <s v="Thaynara Borges"/>
    <n v="-74932.41"/>
    <s v="Saída"/>
    <x v="0"/>
  </r>
  <r>
    <x v="191"/>
    <s v="Itaú - Lisboa e Lisboa"/>
    <s v="Salário"/>
    <x v="15"/>
    <x v="6"/>
    <s v="SAMARA ALMEIDA BOGEA"/>
    <s v="SAMARA ALMEIDA BOGEA"/>
    <m/>
    <m/>
    <s v="Nathalia Louiz"/>
    <n v="-2297.77"/>
    <s v="Saída"/>
    <x v="0"/>
  </r>
  <r>
    <x v="188"/>
    <s v="Itaú - Lisboa e Lisboa"/>
    <s v="Água"/>
    <x v="17"/>
    <x v="1"/>
    <s v="SANEAGO GOIAS S/A"/>
    <s v="SANEAGO GOIAS S/A"/>
    <m/>
    <m/>
    <s v="Thaynara Borges"/>
    <n v="-155.75"/>
    <s v="Saída"/>
    <x v="0"/>
  </r>
  <r>
    <x v="184"/>
    <s v="Itaú - Lisboa e Lisboa"/>
    <s v="Distribuição de Lucros"/>
    <x v="22"/>
    <x v="8"/>
    <s v="SARAH ALVES LISBOA"/>
    <s v="SARAH ALVES LISBOA"/>
    <m/>
    <m/>
    <s v="Nathalia Louiz"/>
    <n v="-30000"/>
    <s v="Saída"/>
    <x v="0"/>
  </r>
  <r>
    <x v="183"/>
    <s v="Banco do Brasil - Sarah Alves Lisboa"/>
    <s v="Retirada de Lucros"/>
    <x v="22"/>
    <x v="8"/>
    <s v="SARAH ALVES LISBOA"/>
    <s v="SARAH ALVES LISBOA"/>
    <m/>
    <m/>
    <s v="Nathalia Louiz"/>
    <n v="-12000"/>
    <s v="Saída"/>
    <x v="0"/>
  </r>
  <r>
    <x v="198"/>
    <s v="Itaú - Lisboa e Lisboa"/>
    <s v="Alguel sala - Escritório Girassol"/>
    <x v="44"/>
    <x v="1"/>
    <s v="SARAH ALVES LISBOA"/>
    <s v="SARAH ALVES LISBOA"/>
    <m/>
    <m/>
    <s v="Nathalia Louiz"/>
    <n v="-500"/>
    <s v="Saída"/>
    <x v="0"/>
  </r>
  <r>
    <x v="191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191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184"/>
    <s v="Banco do Brasil - Sarah Alves Lisboa"/>
    <s v="PAGAMENTO DE COMISSÃO E AJUDAS DE CUSTO"/>
    <x v="29"/>
    <x v="7"/>
    <s v="SEBASTIAO PEIXOTO DE OLIVEIRA"/>
    <s v="SEBASTIAO PEIXOTO DE OLIVEIRA"/>
    <m/>
    <m/>
    <s v="Nathalia Louiz"/>
    <n v="-1000"/>
    <s v="Saída"/>
    <x v="0"/>
  </r>
  <r>
    <x v="182"/>
    <s v="Banco do Brasil - Sarah Alves Lisboa"/>
    <s v="Anuidade 13x de 550"/>
    <x v="2"/>
    <x v="2"/>
    <s v="SEBASTIAO RIBEIRO NETO"/>
    <s v="SEBASTIAO RIBEIRO NETO"/>
    <m/>
    <s v="APOSENTADORIA POR TEMPO DE CONTRIBUIÇAO DA PESSOA COM DEFICIENCIA"/>
    <s v="Nathalia Louiz"/>
    <n v="550"/>
    <s v="Entrada"/>
    <x v="1"/>
  </r>
  <r>
    <x v="192"/>
    <s v="Itaú - Lisboa e Lisboa"/>
    <s v="Valor dos honorários R$ 201,999,94 sendo;  20% de R$ 956.857,42 =191.371,48 20% de 1 anuidade sobre as diferenças, R$ 4.087,87 X 13 = R$ 53.142,31 X 20% = R$ 10.628,46."/>
    <x v="2"/>
    <x v="2"/>
    <s v="Selma Regina Gebrim Ribeiro"/>
    <s v="Selma Regina Gebrim Ribeiro"/>
    <m/>
    <s v="Selma Regina Gebrim Ribeiro x INSS"/>
    <s v="Nathalia Louiz"/>
    <n v="201999.94"/>
    <s v="Entrada"/>
    <x v="1"/>
  </r>
  <r>
    <x v="191"/>
    <s v="Itaú - Lisboa e Lisboa"/>
    <s v="Comissão Vanessa"/>
    <x v="29"/>
    <x v="7"/>
    <s v="Selma Regina Gebrim Ribeiro"/>
    <s v="Selma Regina Gebrim Ribeiro"/>
    <m/>
    <s v="CONVERSAO DE APOSENTADORIA POR TEMPO DE CONTRIBUIÇAO EM APOSENTADORIA POR INVALIDEZ"/>
    <s v="Thaynara Borges"/>
    <n v="-125902.51"/>
    <s v="Saída"/>
    <x v="0"/>
  </r>
  <r>
    <x v="180"/>
    <s v="Banco do Brasil - Sarah Alves Lisboa"/>
    <s v="3 BENEFICIOS"/>
    <x v="2"/>
    <x v="2"/>
    <s v="SERGIO HENRIQUE  MOREIRA LOPES"/>
    <s v="SERGIO HENRIQUE  MOREIRA LOPES"/>
    <m/>
    <s v="BENEFÍCIO POR INCAPACIDADE"/>
    <s v="Nathalia Louiz"/>
    <n v="1008"/>
    <s v="Entrada"/>
    <x v="1"/>
  </r>
  <r>
    <x v="192"/>
    <s v="Itaú - Lisboa e Lisboa"/>
    <s v="40% SOB RPV + R$ 6.045,54 (RESTANTE DA ANUIDADE)"/>
    <x v="2"/>
    <x v="2"/>
    <s v="SERGIO HENRIQUE  MOREIRA LOPES"/>
    <s v="SERGIO HENRIQUE  MOREIRA LOPES"/>
    <m/>
    <s v="BENEFÍCIO POR INCAPACIDADE"/>
    <s v="Nathalia Louiz"/>
    <n v="15712.94"/>
    <s v="Entrada"/>
    <x v="1"/>
  </r>
  <r>
    <x v="188"/>
    <s v="Itaú - Lisboa e Lisboa"/>
    <s v="Simples Nacional"/>
    <x v="20"/>
    <x v="7"/>
    <s v="Simples Nacional"/>
    <s v="Simples Nacional"/>
    <m/>
    <m/>
    <s v="Thaynara Borges"/>
    <n v="-2836.64"/>
    <s v="Saída"/>
    <x v="0"/>
  </r>
  <r>
    <x v="191"/>
    <s v="Banco do Brasil - Sarah Alves Lisboa"/>
    <s v="30% sob implantação"/>
    <x v="2"/>
    <x v="2"/>
    <s v="SIRLEY PAULINO DE LIMA"/>
    <s v="SIRLEY PAULINO DE LIMA"/>
    <m/>
    <s v="APOSENTADORIA RURAL"/>
    <s v="Nathalia Louiz"/>
    <n v="910.8"/>
    <s v="Entrada"/>
    <x v="1"/>
  </r>
  <r>
    <x v="182"/>
    <s v="Banco do Brasil - Sarah Alves Lisboa"/>
    <s v="LANCHES ESCRITÓRIO"/>
    <x v="11"/>
    <x v="1"/>
    <s v="SUPERMERCADO MOREIRA"/>
    <s v="SUPERMERCADO MOREIRA"/>
    <m/>
    <m/>
    <s v="Nathalia Louiz"/>
    <n v="-23.7"/>
    <s v="Saída"/>
    <x v="0"/>
  </r>
  <r>
    <x v="188"/>
    <s v="Itaú - Lisboa e Lisboa"/>
    <s v="35% SOB RPV"/>
    <x v="2"/>
    <x v="2"/>
    <s v="TALYTA VASCONCELOS MELO"/>
    <s v="TALYTA VASCONCELOS MELO"/>
    <m/>
    <s v="SALÁRIO MATERNIDADE"/>
    <s v="Nathalia Louiz"/>
    <n v="2418.21"/>
    <s v="Entrada"/>
    <x v="1"/>
  </r>
  <r>
    <x v="191"/>
    <s v="Banco do Brasil - Sarah Alves Lisboa"/>
    <s v="Comissão para Carneiro e Oliveira 50%"/>
    <x v="29"/>
    <x v="7"/>
    <s v="TALYTA VASCONCELOS MELO"/>
    <s v="TALYTA VASCONCELOS MELO"/>
    <m/>
    <s v="SALÁRIO MATERNIDADE"/>
    <s v="Thaynara Borges"/>
    <n v="-1076.58"/>
    <s v="Saída"/>
    <x v="0"/>
  </r>
  <r>
    <x v="181"/>
    <s v="Banco do Brasil - Sarah Alves Lisboa"/>
    <s v="Comissão Vanessa"/>
    <x v="29"/>
    <x v="7"/>
    <s v="TEREZINHA CUSTODIO DE OLIVEIRA"/>
    <s v="TEREZINHA CUSTODIO DE OLIVEIRA"/>
    <m/>
    <s v="PENSÃO POR MORTE"/>
    <s v="Nathalia Louiz"/>
    <n v="-2488.73"/>
    <s v="Saída"/>
    <x v="0"/>
  </r>
  <r>
    <x v="184"/>
    <s v="Itaú - Lisboa e Lisboa"/>
    <s v="Distribuição de Lucros"/>
    <x v="22"/>
    <x v="8"/>
    <s v="Thaynara Borges Pereira"/>
    <s v="Thaynara Borges Pereira"/>
    <m/>
    <m/>
    <s v="Nathalia Louiz"/>
    <n v="-20000"/>
    <s v="Saída"/>
    <x v="0"/>
  </r>
  <r>
    <x v="191"/>
    <s v="Itaú - Lisboa e Lisboa"/>
    <s v="Retirada"/>
    <x v="22"/>
    <x v="8"/>
    <s v="Thaynara Borges Pereira"/>
    <s v="Thaynara Borges Pereira"/>
    <m/>
    <m/>
    <s v="Thaynara Borges"/>
    <n v="-5000"/>
    <s v="Saída"/>
    <x v="0"/>
  </r>
  <r>
    <x v="186"/>
    <s v="Itaú - Lisboa e Lisboa"/>
    <s v="PAGAMENTO DE HONORÁRIOS"/>
    <x v="2"/>
    <x v="2"/>
    <s v="VALDIR DE PAIVA BRASIL"/>
    <s v="VALDIR DE PAIVA BRASIL"/>
    <m/>
    <s v="PENSÃO POR MORTE"/>
    <s v="Nathalia Louiz"/>
    <n v="300"/>
    <s v="Entrada"/>
    <x v="2"/>
  </r>
  <r>
    <x v="190"/>
    <s v="Banco do Brasil - Sarah Alves Lisboa"/>
    <s v="PARCEIRIA DR SILVIO - Honorários de parceria caso VALENTINA SOUSA FONSECA"/>
    <x v="2"/>
    <x v="2"/>
    <s v="VALENTINA SOUSA FONSECA"/>
    <s v="VALENTINA SOUSA FONSECA"/>
    <m/>
    <s v="SOLICITAR PAGAMENTOS NÃO RECEBIDOS"/>
    <s v="Nathalia Louiz"/>
    <n v="153.6"/>
    <s v="Entrada"/>
    <x v="1"/>
  </r>
  <r>
    <x v="194"/>
    <s v="Banco do Brasil - Sarah Alves Lisboa"/>
    <s v="Celular"/>
    <x v="8"/>
    <x v="1"/>
    <s v="VIVO"/>
    <s v="VIVO"/>
    <m/>
    <m/>
    <s v="Thaynara Borges"/>
    <n v="-137.37"/>
    <s v="Saída"/>
    <x v="0"/>
  </r>
  <r>
    <x v="194"/>
    <s v="Itaú - Lisboa e Lisboa"/>
    <s v="CONTRATO 9309114969"/>
    <x v="8"/>
    <x v="1"/>
    <s v="VIVO FIXO"/>
    <s v="VIVO FIXO"/>
    <m/>
    <m/>
    <s v="Thaynara Borges"/>
    <n v="-88.94"/>
    <s v="Saída"/>
    <x v="0"/>
  </r>
  <r>
    <x v="194"/>
    <s v="Itaú - Lisboa e Lisboa"/>
    <s v="CONTRATO 9621661899"/>
    <x v="8"/>
    <x v="1"/>
    <s v="VIVO FIXO"/>
    <s v="VIVO FIXO"/>
    <m/>
    <m/>
    <s v="Thaynara Borges"/>
    <n v="-260.58"/>
    <s v="Saída"/>
    <x v="0"/>
  </r>
  <r>
    <x v="195"/>
    <s v="Itaú - Lisboa e Lisboa"/>
    <s v="REFORMA DO ESCRITÓRIO"/>
    <x v="14"/>
    <x v="1"/>
    <s v="WILLIAM DUARTE DE SOUZA"/>
    <s v="WILLIAM DUARTE DE SOUZA"/>
    <m/>
    <m/>
    <s v="Nathalia Louiz"/>
    <n v="-5201.21"/>
    <s v="Saída"/>
    <x v="0"/>
  </r>
  <r>
    <x v="200"/>
    <s v="Banco do Brasil - Sarah Alves Lisboa"/>
    <s v="Comissão por meta batida setembro/2025"/>
    <x v="29"/>
    <x v="7"/>
    <s v="Sarah Alves Lisboa"/>
    <s v="Sarah Alves Lisboa"/>
    <m/>
    <m/>
    <s v="Thaynara Borges"/>
    <n v="-1000"/>
    <s v="Saída"/>
    <x v="0"/>
  </r>
  <r>
    <x v="200"/>
    <s v="Banco do Brasil - Sarah Alves Lisboa"/>
    <s v="Chocolates para clientes"/>
    <x v="16"/>
    <x v="4"/>
    <s v="MARANATA CHOCOLATERIA"/>
    <s v="MARANATA CHOCOLATERIA"/>
    <m/>
    <m/>
    <s v="Nathalia Louiz"/>
    <n v="-129.80000000000001"/>
    <s v="Saída"/>
    <x v="0"/>
  </r>
  <r>
    <x v="200"/>
    <s v="Banco do Brasil - Sarah Alves Lisboa"/>
    <s v="Vale transporte Controler"/>
    <x v="15"/>
    <x v="6"/>
    <s v="GIOVANNA"/>
    <s v="GIOVANNA"/>
    <m/>
    <m/>
    <s v="Nathalia Louiz"/>
    <n v="-60.2"/>
    <s v="Saída"/>
    <x v="0"/>
  </r>
  <r>
    <x v="200"/>
    <s v="Banco do Brasil - Sarah Alves Lisboa"/>
    <s v="Salário"/>
    <x v="15"/>
    <x v="6"/>
    <s v="Raffaela Nunes"/>
    <s v="Raffaela Nunes"/>
    <m/>
    <m/>
    <s v="Thaynara Borges"/>
    <n v="-3500"/>
    <s v="Saída"/>
    <x v="0"/>
  </r>
  <r>
    <x v="200"/>
    <s v="Banco do Brasil - Sarah Alves Lisboa"/>
    <s v="3 BENEFICIOS - PARCIAL (RESTANTE EM 3X de 759,00)"/>
    <x v="2"/>
    <x v="2"/>
    <s v="GENI MOURA NEVES"/>
    <s v="GENI MOURA NEVES"/>
    <m/>
    <s v="APOSENTADORIA POR IDADE URBANA"/>
    <s v="Nathalia Louiz"/>
    <n v="759"/>
    <s v="Entrada"/>
    <x v="1"/>
  </r>
  <r>
    <x v="200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200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200"/>
    <s v="Banco do Brasil - Sarah Alves Lisboa"/>
    <s v="Exame admissional "/>
    <x v="35"/>
    <x v="6"/>
    <s v="CLINICA PRO-SAUDE"/>
    <s v="CLINICA PRO-SAUDE"/>
    <m/>
    <m/>
    <s v="Nathalia Louiz"/>
    <n v="-48"/>
    <s v="Saída"/>
    <x v="0"/>
  </r>
  <r>
    <x v="200"/>
    <s v="Banco do Brasil - Sarah Alves Lisboa"/>
    <s v="Comissão por meta batida setembro/2025"/>
    <x v="29"/>
    <x v="7"/>
    <s v="Nina Araujo"/>
    <s v="Nina Araujo"/>
    <m/>
    <m/>
    <s v="Thaynara Borges"/>
    <n v="-1000"/>
    <s v="Saída"/>
    <x v="0"/>
  </r>
  <r>
    <x v="200"/>
    <s v="Banco do Brasil - Sarah Alves Lisboa"/>
    <s v="Comissão por meta batida setembro/2025"/>
    <x v="29"/>
    <x v="7"/>
    <s v="SAMARA ALMEIDA BOGEA"/>
    <s v="SAMARA ALMEIDA BOGEA"/>
    <m/>
    <m/>
    <s v="Thaynara Borges"/>
    <n v="-1000"/>
    <s v="Saída"/>
    <x v="0"/>
  </r>
  <r>
    <x v="200"/>
    <s v="Banco do Brasil - Sarah Alves Lisboa"/>
    <s v="Comissão por meta batida setembro/2025"/>
    <x v="29"/>
    <x v="7"/>
    <s v="Maria Eduarda"/>
    <s v="Maria Eduarda"/>
    <m/>
    <m/>
    <s v="Thaynara Borges"/>
    <n v="-1000"/>
    <s v="Saída"/>
    <x v="0"/>
  </r>
  <r>
    <x v="200"/>
    <s v="Banco do Brasil - Sarah Alves Lisboa"/>
    <s v="Comissão por meta batida setembro/2025"/>
    <x v="29"/>
    <x v="7"/>
    <s v="Raffaela Nunes"/>
    <s v="Raffaela Nunes"/>
    <m/>
    <m/>
    <s v="Thaynara Borges"/>
    <n v="-1000"/>
    <s v="Saída"/>
    <x v="0"/>
  </r>
  <r>
    <x v="200"/>
    <s v="Banco do Brasil - Sarah Alves Lisboa"/>
    <s v="PAGAMENTO DE HONORÁRIOS - ACORDO APÓS EXECUÇÃO DO CONTRATO"/>
    <x v="2"/>
    <x v="2"/>
    <s v="MARCOS ANTONIO LOURENÇO DE TOLEDO"/>
    <s v="MARCOS ANTONIO LOURENÇO DE TOLEDO"/>
    <m/>
    <s v="AUXILIO DOENÇA"/>
    <s v="Nathalia Louiz"/>
    <n v="500"/>
    <s v="Entrada"/>
    <x v="1"/>
  </r>
  <r>
    <x v="200"/>
    <s v="Banco do Brasil - Sarah Alves Lisboa"/>
    <s v="Comissão por meta batida setembro/2025"/>
    <x v="29"/>
    <x v="7"/>
    <s v="Thaynara Borges"/>
    <s v="Thaynara Borges"/>
    <m/>
    <m/>
    <s v="Thaynara Borges"/>
    <n v="-1000"/>
    <s v="Saída"/>
    <x v="0"/>
  </r>
  <r>
    <x v="200"/>
    <s v="Itaú - Lisboa e Lisboa"/>
    <s v="ALUGUEL - ESCRITÓRIO GIRASSOIS (DESCONTO DE SINAL)"/>
    <x v="44"/>
    <x v="1"/>
    <s v="HELENA PEREIRA DOS REIS"/>
    <s v="HELENA PEREIRA DOS REIS"/>
    <m/>
    <m/>
    <s v="Nathalia Louiz"/>
    <n v="-500"/>
    <s v="Saída"/>
    <x v="0"/>
  </r>
  <r>
    <x v="201"/>
    <s v="Cartão de Crédito Dr Ivanildo"/>
    <s v="Prévius"/>
    <x v="12"/>
    <x v="1"/>
    <s v="BANCO ITAU"/>
    <s v="BANCO ITAU"/>
    <m/>
    <m/>
    <s v="Thaynara Borges"/>
    <n v="-80.91"/>
    <s v="Saída"/>
    <x v="0"/>
  </r>
  <r>
    <x v="201"/>
    <s v="Itaú - Lisboa e Lisboa"/>
    <s v="Entrada da instalação da FACHADA do escritório (R$1200)"/>
    <x v="14"/>
    <x v="1"/>
    <s v="WANDERSON NERES SOUZA"/>
    <s v="WANDERSON NERES SOUZA"/>
    <m/>
    <m/>
    <s v="Nathalia Louiz"/>
    <n v="-300"/>
    <s v="Saída"/>
    <x v="0"/>
  </r>
  <r>
    <x v="201"/>
    <s v="Itaú - Lisboa e Lisboa"/>
    <s v="Salário Marketing"/>
    <x v="15"/>
    <x v="6"/>
    <s v="ANNA CLARA JARDIM"/>
    <s v="ANNA CLARA JARDIM"/>
    <m/>
    <m/>
    <s v="Nathalia Louiz"/>
    <n v="-1300"/>
    <s v="Saída"/>
    <x v="0"/>
  </r>
  <r>
    <x v="201"/>
    <s v="Cartão de Crédito Dr Ivanildo"/>
    <s v="CANAÃ FRIOS"/>
    <x v="11"/>
    <x v="1"/>
    <s v="BANCO ITAU"/>
    <s v="BANCO ITAU"/>
    <m/>
    <m/>
    <s v="Nathalia Louiz"/>
    <n v="-35.9"/>
    <s v="Saída"/>
    <x v="0"/>
  </r>
  <r>
    <x v="201"/>
    <s v="Banco do Brasil - Sarah Alves Lisboa"/>
    <s v="Anuidade 13x de 550"/>
    <x v="2"/>
    <x v="2"/>
    <s v="SEBASTIAO RIBEIRO NETO"/>
    <s v="SEBASTIAO RIBEIRO NETO"/>
    <m/>
    <s v="APOSENTADORIA POR TEMPO DE CONTRIBUIÇAO DA PESSOA COM DEFICIENCIA"/>
    <s v="Nathalia Louiz"/>
    <n v="557"/>
    <s v="Entrada"/>
    <x v="1"/>
  </r>
  <r>
    <x v="201"/>
    <s v="Cartão de Crédito Dr Ivanildo"/>
    <s v="Google One"/>
    <x v="12"/>
    <x v="1"/>
    <s v="BANCO ITAU"/>
    <s v="BANCO ITAU"/>
    <m/>
    <m/>
    <s v="Thaynara Borges"/>
    <n v="-14.99"/>
    <s v="Saída"/>
    <x v="0"/>
  </r>
  <r>
    <x v="201"/>
    <s v="Cartão de Crédito Dr Ivanildo"/>
    <s v="SAMUA LORENN"/>
    <x v="26"/>
    <x v="1"/>
    <s v="BANCO ITAU"/>
    <s v="BANCO ITAU"/>
    <m/>
    <m/>
    <s v="Nathalia Louiz"/>
    <n v="-203"/>
    <s v="Saída"/>
    <x v="0"/>
  </r>
  <r>
    <x v="201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201"/>
    <s v="Cartão de Crédito Dr Ivanildo"/>
    <s v="SUPERMERCADO MOREIRA"/>
    <x v="11"/>
    <x v="1"/>
    <s v="BANCO ITAU"/>
    <s v="BANCO ITAU"/>
    <m/>
    <m/>
    <s v="Nathalia Louiz"/>
    <n v="-26.94"/>
    <s v="Saída"/>
    <x v="0"/>
  </r>
  <r>
    <x v="201"/>
    <s v="Cartão de Crédito Dr Ivanildo"/>
    <s v="PAPELARIA TRIBUTÁRIA"/>
    <x v="26"/>
    <x v="1"/>
    <s v="BANCO ITAU"/>
    <s v="BANCO ITAU"/>
    <m/>
    <m/>
    <s v="Nathalia Louiz"/>
    <n v="-195.68"/>
    <s v="Saída"/>
    <x v="0"/>
  </r>
  <r>
    <x v="201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201"/>
    <s v="Cartão de Crédito Dr Ivanildo"/>
    <s v="Pagamento Cartão de Crédito Dr Ivanildo"/>
    <x v="6"/>
    <x v="1"/>
    <s v="BANCO ITAU"/>
    <s v="BANCO ITAU"/>
    <m/>
    <m/>
    <s v="Thaynara Borges"/>
    <n v="1811.21"/>
    <s v="Entrada"/>
    <x v="1"/>
  </r>
  <r>
    <x v="201"/>
    <s v="Cartão de Crédito Dr Ivanildo"/>
    <s v="SEBBA MATERIAIS DE CONSTRUÇÃO"/>
    <x v="14"/>
    <x v="1"/>
    <s v="BANCO ITAU"/>
    <s v="BANCO ITAU"/>
    <m/>
    <m/>
    <s v="Nathalia Louiz"/>
    <n v="-553.05999999999995"/>
    <s v="Saída"/>
    <x v="0"/>
  </r>
  <r>
    <x v="201"/>
    <s v="Itaú - Lisboa e Lisboa"/>
    <s v="R$ 4.554,00 em 9x - IMPLANTAÇÃO"/>
    <x v="2"/>
    <x v="2"/>
    <s v="ADERSON CARDOSO SANTANA"/>
    <s v="ADERSON CARDOSO SANTANA"/>
    <m/>
    <s v="PENSÃO POR MORTE"/>
    <s v="Nathalia Louiz"/>
    <n v="502.03"/>
    <s v="Entrada"/>
    <x v="1"/>
  </r>
  <r>
    <x v="201"/>
    <s v="Cartão de Crédito Dr Ivanildo"/>
    <s v="ASA CURSOS"/>
    <x v="34"/>
    <x v="6"/>
    <s v="BANCO ITAU"/>
    <s v="BANCO ITAU"/>
    <m/>
    <m/>
    <s v="Nathalia Louiz"/>
    <n v="-59.9"/>
    <s v="Saída"/>
    <x v="0"/>
  </r>
  <r>
    <x v="201"/>
    <s v="Itaú - Lisboa e Lisboa"/>
    <s v="Honorários R$5000,00 (Parceria com Dr Luciano R$2.500) - 5 parcelas para cada."/>
    <x v="2"/>
    <x v="2"/>
    <s v="LUZIA VIEIRA DE JESUS NASCIMENTO"/>
    <s v="LUZIA VIEIRA DE JESUS NASCIMENTO"/>
    <m/>
    <s v="aposentadoria"/>
    <s v="Nathalia Louiz"/>
    <n v="500"/>
    <s v="Entrada"/>
    <x v="2"/>
  </r>
  <r>
    <x v="201"/>
    <s v="Banco do Brasil - Sarah Alves Lisboa"/>
    <s v="30% sob implantação"/>
    <x v="2"/>
    <x v="2"/>
    <s v="SILVANA FERREIRA DE SOUZA"/>
    <s v="SILVANA FERREIRA DE SOUZA"/>
    <m/>
    <s v="AUXILIO DOENÇA"/>
    <s v="Nathalia Louiz"/>
    <n v="1366.2"/>
    <s v="Entrada"/>
    <x v="1"/>
  </r>
  <r>
    <x v="201"/>
    <s v="Cartão de Crédito Dr Ivanildo"/>
    <s v="Google One"/>
    <x v="12"/>
    <x v="1"/>
    <s v="BANCO ITAU"/>
    <s v="BANCO ITAU"/>
    <m/>
    <m/>
    <s v="Thaynara Borges"/>
    <n v="-49.99"/>
    <s v="Saída"/>
    <x v="0"/>
  </r>
  <r>
    <x v="201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201"/>
    <s v="Cartão de Crédito Dr Ivanildo"/>
    <s v="Jusbrasil"/>
    <x v="12"/>
    <x v="1"/>
    <s v="BANCO ITAU"/>
    <s v="BANCO ITAU"/>
    <m/>
    <m/>
    <s v="Thaynara Borges"/>
    <n v="-58.9"/>
    <s v="Saída"/>
    <x v="0"/>
  </r>
  <r>
    <x v="201"/>
    <s v="Cartão de Crédito Dr Ivanildo"/>
    <s v="Jusbrasil"/>
    <x v="12"/>
    <x v="1"/>
    <s v="BANCO ITAU"/>
    <s v="BANCO ITAU"/>
    <m/>
    <m/>
    <s v="Thaynara Borges"/>
    <n v="-58.9"/>
    <s v="Saída"/>
    <x v="0"/>
  </r>
  <r>
    <x v="201"/>
    <s v="Itaú - Lisboa e Lisboa"/>
    <s v="Taxa de uso PIX"/>
    <x v="4"/>
    <x v="3"/>
    <s v="BANCO ITAÚ S/A"/>
    <s v="BANCO ITAÚ S/A"/>
    <m/>
    <m/>
    <s v="Nathalia Louiz"/>
    <n v="-103.85"/>
    <s v="Saída"/>
    <x v="0"/>
  </r>
  <r>
    <x v="202"/>
    <s v="Itaú - Lisboa e Lisboa"/>
    <s v="3 SALÁRIOS DE BENEFICIO (Entrada de 1000,00 + 6x de 492,33 no boleto)"/>
    <x v="2"/>
    <x v="2"/>
    <s v="Maura Cardoso Borges"/>
    <s v="Maura Cardoso Borges"/>
    <m/>
    <s v="APOSENTADORIA POR IDADE"/>
    <s v="Nathalia Louiz"/>
    <n v="489.47999999999996"/>
    <s v="Entrada"/>
    <x v="1"/>
  </r>
  <r>
    <x v="202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02"/>
    <s v="Itaú - Lisboa e Lisboa"/>
    <s v="ARQUITETA - Projeto Girassois"/>
    <x v="45"/>
    <x v="1"/>
    <s v="AMANDA MONTEIRO DOS SANTOS"/>
    <s v="AMANDA MONTEIRO DOS SANTOS"/>
    <m/>
    <m/>
    <s v="Nathalia Louiz"/>
    <n v="-1500"/>
    <s v="Saída"/>
    <x v="0"/>
  </r>
  <r>
    <x v="202"/>
    <s v="Banco do Brasil - Sarah Alves Lisboa"/>
    <s v="Compras para viagem "/>
    <x v="11"/>
    <x v="1"/>
    <s v="SUPERMERCADO MOREIRA"/>
    <s v="SUPERMERCADO MOREIRA"/>
    <m/>
    <m/>
    <s v="Nathalia Louiz"/>
    <n v="-62.09"/>
    <s v="Saída"/>
    <x v="0"/>
  </r>
  <r>
    <x v="202"/>
    <s v="Banco do Brasil - Sarah Alves Lisboa"/>
    <s v="Confecçao de Peças avulsas "/>
    <x v="43"/>
    <x v="6"/>
    <s v="Dra Raffaela Nunes"/>
    <s v="Dra Raffaela Nunes"/>
    <m/>
    <m/>
    <s v="Nathalia Louiz"/>
    <n v="-350"/>
    <s v="Saída"/>
    <x v="0"/>
  </r>
  <r>
    <x v="203"/>
    <s v="Banco do Brasil - Sarah Alves Lisboa"/>
    <s v="Sedex de entrega dos cartões"/>
    <x v="28"/>
    <x v="4"/>
    <s v="Valuu"/>
    <s v="Valuu"/>
    <m/>
    <m/>
    <s v="Nathalia Louiz"/>
    <n v="-112.6"/>
    <s v="Saída"/>
    <x v="0"/>
  </r>
  <r>
    <x v="203"/>
    <s v="Itaú - Lisboa e Lisboa"/>
    <s v="Taxa de Condomínio Vaga Garagem A-83"/>
    <x v="10"/>
    <x v="1"/>
    <s v="ATON BUSINESS STYLE"/>
    <s v="ATON BUSINESS STYLE"/>
    <m/>
    <m/>
    <s v="Thaynara Borges"/>
    <n v="-66.97"/>
    <s v="Saída"/>
    <x v="0"/>
  </r>
  <r>
    <x v="203"/>
    <s v="Itaú - Lisboa e Lisboa"/>
    <s v="Pagamento Cartão de Crédito Dr Ivanildo"/>
    <x v="6"/>
    <x v="1"/>
    <s v="BANCO ITAU"/>
    <s v="BANCO ITAU"/>
    <m/>
    <m/>
    <s v="Nathalia Louiz"/>
    <n v="-1811.21"/>
    <s v="Saída"/>
    <x v="0"/>
  </r>
  <r>
    <x v="203"/>
    <s v="Itaú - Lisboa e Lisboa"/>
    <s v="Taxa de Condomínio Sala B-74"/>
    <x v="10"/>
    <x v="1"/>
    <s v="ATON BUSINESS STYLE"/>
    <s v="ATON BUSINESS STYLE"/>
    <m/>
    <m/>
    <s v="Thaynara Borges"/>
    <n v="-1221.6400000000001"/>
    <s v="Saída"/>
    <x v="0"/>
  </r>
  <r>
    <x v="203"/>
    <s v="Cartão de Crédito Dra Sarah"/>
    <s v="Cartão de crédito Dra Sarah"/>
    <x v="6"/>
    <x v="1"/>
    <s v="BANCO ITAU"/>
    <s v="BANCO ITAU"/>
    <m/>
    <m/>
    <s v="Nathalia Louiz"/>
    <n v="2358.41"/>
    <s v="Entrada"/>
    <x v="1"/>
  </r>
  <r>
    <x v="203"/>
    <s v="Cartão de Crédito Dra Sarah"/>
    <s v="COMPRA MERCADO LIVRE"/>
    <x v="6"/>
    <x v="1"/>
    <s v="BANCO ITAU"/>
    <s v="BANCO ITAU"/>
    <m/>
    <m/>
    <s v="Nathalia Louiz"/>
    <n v="-224.99"/>
    <s v="Saída"/>
    <x v="0"/>
  </r>
  <r>
    <x v="203"/>
    <s v="Itaú - Lisboa e Lisboa"/>
    <s v="Celular"/>
    <x v="8"/>
    <x v="1"/>
    <s v="VIVO"/>
    <s v="VIVO"/>
    <m/>
    <m/>
    <s v="Thaynara Borges"/>
    <n v="-137.37"/>
    <s v="Saída"/>
    <x v="0"/>
  </r>
  <r>
    <x v="203"/>
    <s v="Cartão de Crédito Dra Sarah"/>
    <s v="CONSULTORIA ESTRATEGIA"/>
    <x v="36"/>
    <x v="1"/>
    <s v="BANCO ITAU"/>
    <s v="BANCO ITAU"/>
    <m/>
    <m/>
    <s v="Nathalia Louiz"/>
    <n v="-300.05"/>
    <s v="Saída"/>
    <x v="0"/>
  </r>
  <r>
    <x v="203"/>
    <s v="Cartão de Crédito Dra Sarah"/>
    <s v="Hotel"/>
    <x v="5"/>
    <x v="4"/>
    <s v="BANCO ITAU"/>
    <s v="BANCO ITAU"/>
    <m/>
    <m/>
    <s v="Nathalia Louiz"/>
    <n v="-319.41000000000003"/>
    <s v="Saída"/>
    <x v="0"/>
  </r>
  <r>
    <x v="203"/>
    <s v="Cartão de Crédito Dra Sarah"/>
    <s v="Agencia de Viagens"/>
    <x v="5"/>
    <x v="4"/>
    <s v="BANCO ITAÚ S/A"/>
    <s v="BANCO ITAÚ S/A"/>
    <m/>
    <m/>
    <s v="Nathalia Louiz"/>
    <n v="-420"/>
    <s v="Saída"/>
    <x v="0"/>
  </r>
  <r>
    <x v="203"/>
    <s v="Itaú - Lisboa e Lisboa"/>
    <s v="Taxa de Condomínio Sala B-73"/>
    <x v="10"/>
    <x v="1"/>
    <s v="ATON BUSINESS STYLE"/>
    <s v="ATON BUSINESS STYLE"/>
    <m/>
    <m/>
    <s v="Thaynara Borges"/>
    <n v="-1221.04"/>
    <s v="Saída"/>
    <x v="0"/>
  </r>
  <r>
    <x v="203"/>
    <s v="Cartão de Crédito Dra Sarah"/>
    <s v="Agencia de viagens (Premio Águia)"/>
    <x v="5"/>
    <x v="4"/>
    <s v="BANCO ITAÚ S/A"/>
    <s v="BANCO ITAÚ S/A"/>
    <m/>
    <m/>
    <s v="Nathalia Louiz"/>
    <n v="-271.8"/>
    <s v="Saída"/>
    <x v="0"/>
  </r>
  <r>
    <x v="203"/>
    <s v="Cartão de Crédito Dra Sarah"/>
    <s v="LATAM (Premio Águia)"/>
    <x v="5"/>
    <x v="4"/>
    <s v="BANCO ITAU"/>
    <s v="BANCO ITAU"/>
    <m/>
    <m/>
    <s v="Nathalia Louiz"/>
    <n v="-242.06"/>
    <s v="Saída"/>
    <x v="0"/>
  </r>
  <r>
    <x v="203"/>
    <s v="Itaú - Lisboa e Lisboa"/>
    <s v="Taxa de Condomínio Vaga Garagem A-78"/>
    <x v="10"/>
    <x v="1"/>
    <s v="ATON BUSINESS STYLE"/>
    <s v="ATON BUSINESS STYLE"/>
    <m/>
    <m/>
    <s v="Thaynara Borges"/>
    <n v="-66.97"/>
    <s v="Saída"/>
    <x v="0"/>
  </r>
  <r>
    <x v="203"/>
    <s v="Banco do Brasil - Sarah Alves Lisboa"/>
    <s v="Combustível de reunião"/>
    <x v="27"/>
    <x v="4"/>
    <s v="Posto 2824 GOIÂNIA"/>
    <s v="Posto 2824 GOIÂNIA"/>
    <m/>
    <m/>
    <s v="Nathalia Louiz"/>
    <n v="-50"/>
    <s v="Saída"/>
    <x v="0"/>
  </r>
  <r>
    <x v="203"/>
    <s v="Itaú - Lisboa e Lisboa"/>
    <s v="Taxa de Condomínio Vaga Garagem A-81"/>
    <x v="10"/>
    <x v="1"/>
    <s v="ATON BUSINESS STYLE"/>
    <s v="ATON BUSINESS STYLE"/>
    <m/>
    <m/>
    <s v="Thaynara Borges"/>
    <n v="-66.97"/>
    <s v="Saída"/>
    <x v="0"/>
  </r>
  <r>
    <x v="203"/>
    <s v="Cartão de Crédito Dra Sarah"/>
    <s v="GOL (Premio Águia)"/>
    <x v="5"/>
    <x v="4"/>
    <s v="BANCO ITAU"/>
    <s v="BANCO ITAU"/>
    <m/>
    <m/>
    <s v="Nathalia Louiz"/>
    <n v="-236.1"/>
    <s v="Saída"/>
    <x v="0"/>
  </r>
  <r>
    <x v="203"/>
    <s v="Banco do Brasil - Sarah Alves Lisboa"/>
    <s v="Lanches para escritório"/>
    <x v="11"/>
    <x v="1"/>
    <s v="SUPERMERCADO MOREIRA"/>
    <s v="SUPERMERCADO MOREIRA"/>
    <m/>
    <m/>
    <s v="Nathalia Louiz"/>
    <n v="-19.899999999999999"/>
    <s v="Saída"/>
    <x v="0"/>
  </r>
  <r>
    <x v="203"/>
    <s v="Cartão de Crédito Dra Sarah"/>
    <s v="Agencia de Viagens"/>
    <x v="5"/>
    <x v="4"/>
    <s v="BANCO ITAÚ S/A"/>
    <s v="BANCO ITAÚ S/A"/>
    <m/>
    <m/>
    <s v="Nathalia Louiz"/>
    <n v="-344"/>
    <s v="Saída"/>
    <x v="0"/>
  </r>
  <r>
    <x v="203"/>
    <s v="Itaú - Lisboa e Lisboa"/>
    <s v="Taxa de Condomínio Vaga Garagem A-82"/>
    <x v="10"/>
    <x v="1"/>
    <s v="ATON BUSINESS STYLE"/>
    <s v="ATON BUSINESS STYLE"/>
    <m/>
    <m/>
    <s v="Thaynara Borges"/>
    <n v="-66.97"/>
    <s v="Saída"/>
    <x v="0"/>
  </r>
  <r>
    <x v="203"/>
    <s v="Itaú - Lisboa e Lisboa"/>
    <s v="Taxa de Condomínio Vaga Garagem A-88"/>
    <x v="10"/>
    <x v="1"/>
    <s v="ATON BUSINESS STYLE"/>
    <s v="ATON BUSINESS STYLE"/>
    <m/>
    <m/>
    <s v="Thaynara Borges"/>
    <n v="-66.97"/>
    <s v="Saída"/>
    <x v="0"/>
  </r>
  <r>
    <x v="204"/>
    <s v="Banco do Brasil - Sarah Alves Lisboa"/>
    <s v="COMISSÃO REUNIÕES"/>
    <x v="29"/>
    <x v="7"/>
    <s v="GIOVANNA G RODRIGUES"/>
    <s v="GIOVANNA G RODRIGUES"/>
    <m/>
    <m/>
    <s v="Nathalia Louiz"/>
    <n v="-100"/>
    <s v="Saída"/>
    <x v="0"/>
  </r>
  <r>
    <x v="204"/>
    <s v="Banco do Brasil - Sarah Alves Lisboa"/>
    <s v="COMISSÃO REUMIÃO"/>
    <x v="29"/>
    <x v="7"/>
    <s v="IVONETE MONTEIRO CARTAXO"/>
    <s v="IVONETE MONTEIRO CARTAXO"/>
    <m/>
    <m/>
    <s v="Nathalia Louiz"/>
    <n v="-300"/>
    <s v="Saída"/>
    <x v="0"/>
  </r>
  <r>
    <x v="204"/>
    <s v="Banco do Brasil - Sarah Alves Lisboa"/>
    <s v="Comissão de reuniões"/>
    <x v="29"/>
    <x v="7"/>
    <s v="LEONICE LEITE DE OLIVEIRA"/>
    <s v="LEONICE LEITE DE OLIVEIRA"/>
    <m/>
    <m/>
    <s v="Nathalia Louiz"/>
    <n v="-300"/>
    <s v="Saída"/>
    <x v="0"/>
  </r>
  <r>
    <x v="204"/>
    <s v="Banco do Brasil - Sarah Alves Lisboa"/>
    <s v="COMISSÃO DE REUNIÃO"/>
    <x v="29"/>
    <x v="7"/>
    <s v="JOAO PAULO SOUZA SILVA"/>
    <s v="JOAO PAULO SOUZA SILVA"/>
    <m/>
    <m/>
    <s v="Nathalia Louiz"/>
    <n v="-100"/>
    <s v="Saída"/>
    <x v="0"/>
  </r>
  <r>
    <x v="205"/>
    <s v="Itaú - Lisboa e Lisboa"/>
    <s v="CONTRATO 9621661899"/>
    <x v="8"/>
    <x v="1"/>
    <s v="VIVO FIXO"/>
    <s v="VIVO FIXO"/>
    <m/>
    <m/>
    <s v="Thaynara Borges"/>
    <n v="-260.58"/>
    <s v="Saída"/>
    <x v="0"/>
  </r>
  <r>
    <x v="205"/>
    <s v="Itaú - Lisboa e Lisboa"/>
    <s v="2/2 de cortinas + adicional por mudança"/>
    <x v="14"/>
    <x v="1"/>
    <s v="CENTERFLEX PERSIANAS E CORTINAS"/>
    <s v="CENTERFLEX PERSIANAS E CORTINAS"/>
    <m/>
    <m/>
    <s v="Nathalia Louiz"/>
    <n v="-3300"/>
    <s v="Saída"/>
    <x v="0"/>
  </r>
  <r>
    <x v="205"/>
    <s v="Itaú - Lisboa e Lisboa"/>
    <s v="Manutenção de cortinas"/>
    <x v="14"/>
    <x v="1"/>
    <s v="CENTERFLEX PERSIANAS E CORTINAS"/>
    <s v="CENTERFLEX PERSIANAS E CORTINAS"/>
    <m/>
    <m/>
    <s v="Nathalia Louiz"/>
    <n v="-700"/>
    <s v="Saída"/>
    <x v="0"/>
  </r>
  <r>
    <x v="206"/>
    <s v="Itaú - Lisboa e Lisboa"/>
    <s v="Beneficio de VT - Proporcional"/>
    <x v="37"/>
    <x v="6"/>
    <s v="Valuu"/>
    <s v="Valuu"/>
    <m/>
    <m/>
    <s v="Nathalia Louiz"/>
    <n v="-131.5"/>
    <s v="Saída"/>
    <x v="0"/>
  </r>
  <r>
    <x v="206"/>
    <s v="Banco do Brasil - Sarah Alves Lisboa"/>
    <s v="Reembolso de compra de lanches para escritório"/>
    <x v="38"/>
    <x v="10"/>
    <s v="Dra Raffaela Nunes"/>
    <s v="Dra Raffaela Nunes"/>
    <m/>
    <m/>
    <s v="Nathalia Louiz"/>
    <n v="-34.799999999999997"/>
    <s v="Saída"/>
    <x v="0"/>
  </r>
  <r>
    <x v="206"/>
    <s v="Banco do Brasil - Sarah Alves Lisboa"/>
    <s v="PAGAMENTO DA GUIA DA PREVIDÊNCIA SOCIAL - GPS"/>
    <x v="7"/>
    <x v="5"/>
    <s v="MARCELO BATISTA DA SILVA"/>
    <s v="MARCELO BATISTA DA SILVA"/>
    <m/>
    <s v="BENEFÍCIO POR INCAPACIDADE"/>
    <s v="Nathalia Louiz"/>
    <n v="-166.98"/>
    <s v="Saída"/>
    <x v="0"/>
  </r>
  <r>
    <x v="206"/>
    <s v="Itaú - Lisboa e Lisboa"/>
    <s v="Benefícios de colaboradores"/>
    <x v="37"/>
    <x v="6"/>
    <s v="Valuu"/>
    <s v="Valuu"/>
    <m/>
    <m/>
    <s v="Nathalia Louiz"/>
    <n v="-1200"/>
    <s v="Saída"/>
    <x v="0"/>
  </r>
  <r>
    <x v="206"/>
    <s v="Itaú - Lisboa e Lisboa"/>
    <s v="Pagamento Cartão de Crédito Dra Sarah Lisboa"/>
    <x v="6"/>
    <x v="1"/>
    <s v="BANCO ITAU"/>
    <s v="BANCO ITAU"/>
    <m/>
    <m/>
    <s v="Nathalia Louiz"/>
    <n v="-2358.41"/>
    <s v="Saída"/>
    <x v="0"/>
  </r>
  <r>
    <x v="206"/>
    <s v="Itaú - Lisboa e Lisboa"/>
    <s v="Taxa administrativa para depósito de beneficios"/>
    <x v="31"/>
    <x v="9"/>
    <s v="Valuu"/>
    <s v="Valuu"/>
    <m/>
    <m/>
    <s v="Nathalia Louiz"/>
    <n v="-2.5"/>
    <s v="Saída"/>
    <x v="0"/>
  </r>
  <r>
    <x v="206"/>
    <s v="Banco do Brasil - Sarah Alves Lisboa"/>
    <s v="Serviços de contabilidade (Empresa Dra Raffaela)"/>
    <x v="1"/>
    <x v="1"/>
    <s v="ELLEN BORGES PEREIRA GOULARTE"/>
    <s v="ELLEN BORGES PEREIRA GOULARTE"/>
    <m/>
    <m/>
    <s v="Nathalia Louiz"/>
    <n v="-759"/>
    <s v="Saída"/>
    <x v="0"/>
  </r>
  <r>
    <x v="207"/>
    <s v="Banco do Brasil - Sarah Alves Lisboa"/>
    <s v="Peças avulsas"/>
    <x v="43"/>
    <x v="6"/>
    <s v="Dra Raffaela Nunes"/>
    <s v="Dra Raffaela Nunes"/>
    <m/>
    <m/>
    <s v="Nathalia Louiz"/>
    <n v="-550"/>
    <s v="Saída"/>
    <x v="0"/>
  </r>
  <r>
    <x v="207"/>
    <s v="Banco do Brasil - Sarah Alves Lisboa"/>
    <s v="Tarifa Bancária"/>
    <x v="4"/>
    <x v="3"/>
    <s v="BANCO DO BRASIL S/A"/>
    <s v="BANCO DO BRASIL S/A"/>
    <m/>
    <m/>
    <s v="Thaynara Borges"/>
    <n v="-7.95"/>
    <s v="Saída"/>
    <x v="0"/>
  </r>
  <r>
    <x v="207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07"/>
    <s v="Itaú - Lisboa e Lisboa"/>
    <s v="3 SALÁRIOS DE BENEFICIOS (R$ 8.269,50 em 8 vezes)"/>
    <x v="2"/>
    <x v="2"/>
    <s v="COSME DOS SANTOS VAZ"/>
    <s v="COSME DOS SANTOS VAZ"/>
    <m/>
    <s v="APOSENTADORIA POR TEMPO DE CONTRIBUIÇÃO"/>
    <s v="Nathalia Louiz"/>
    <n v="1030.8400000000001"/>
    <s v="Entrada"/>
    <x v="1"/>
  </r>
  <r>
    <x v="207"/>
    <s v="Itaú - Lisboa e Lisboa"/>
    <s v="IEL Estagiárias"/>
    <x v="13"/>
    <x v="6"/>
    <s v="IEL"/>
    <s v="IEL"/>
    <m/>
    <m/>
    <s v="Thaynara Borges"/>
    <n v="-106.73"/>
    <s v="Saída"/>
    <x v="0"/>
  </r>
  <r>
    <x v="207"/>
    <s v="Banco do Brasil - Sarah Alves Lisboa"/>
    <s v="Honorários (3x1500,00) 50% DR GUSTAVO"/>
    <x v="2"/>
    <x v="2"/>
    <s v="ELISEU FRADIQUE MARÇAL"/>
    <s v="ELISEU FRADIQUE MARÇAL"/>
    <m/>
    <s v="RECISÃO DE CONTRATO"/>
    <s v="Nathalia Louiz"/>
    <n v="1500"/>
    <s v="Entrada"/>
    <x v="1"/>
  </r>
  <r>
    <x v="208"/>
    <s v="Cartão de Crédito Dra Thaynara"/>
    <s v="Pagamento Cartão de Crédito Dra Thaynara"/>
    <x v="6"/>
    <x v="1"/>
    <s v="C6"/>
    <s v="C6"/>
    <m/>
    <m/>
    <s v="Nathalia Louiz"/>
    <n v="1116.07"/>
    <s v="Entrada"/>
    <x v="1"/>
  </r>
  <r>
    <x v="208"/>
    <s v="Itaú - Lisboa e Lisboa"/>
    <s v="3 SALÁRIOS DE BENEFICIO (1000,00 + 5X 710,80)"/>
    <x v="2"/>
    <x v="2"/>
    <s v="ALDENY TELES DE OLIVEIRA NUNES"/>
    <s v="ALDENY TELES DE OLIVEIRA NUNES"/>
    <m/>
    <s v="APOSENTADORIA POR IDADE"/>
    <s v="Nathalia Louiz"/>
    <n v="707.94999999999993"/>
    <s v="Entrada"/>
    <x v="1"/>
  </r>
  <r>
    <x v="208"/>
    <s v="Cartão de Crédito Dra Thaynara"/>
    <s v="Pós Thaynara"/>
    <x v="34"/>
    <x v="6"/>
    <s v="ASA*CURSOSESPECCIALJUS"/>
    <s v="ASA*CURSOSESPECCIALJUS"/>
    <m/>
    <m/>
    <s v="Nathalia Louiz"/>
    <n v="-229"/>
    <s v="Saída"/>
    <x v="0"/>
  </r>
  <r>
    <x v="208"/>
    <s v="Cartão de Crédito Dra Thaynara"/>
    <s v="ASTREA"/>
    <x v="12"/>
    <x v="1"/>
    <s v="C6"/>
    <s v="C6"/>
    <m/>
    <m/>
    <s v="Thaynara Borges"/>
    <n v="-653.29999999999995"/>
    <s v="Saída"/>
    <x v="0"/>
  </r>
  <r>
    <x v="208"/>
    <s v="Cartão de Crédito Dra Thaynara"/>
    <s v="CHAT GPT"/>
    <x v="12"/>
    <x v="1"/>
    <s v="OPENAI *CHATGPT SUBSCR SA"/>
    <s v="OPENAI *CHATGPT SUBSCR SA"/>
    <m/>
    <m/>
    <s v="Nathalia Louiz"/>
    <n v="-111.57"/>
    <s v="Saída"/>
    <x v="0"/>
  </r>
  <r>
    <x v="208"/>
    <s v="Banco do Brasil - Sarah Alves Lisboa"/>
    <s v="Repasse de porcentagem 50% - Parceria"/>
    <x v="29"/>
    <x v="7"/>
    <s v="ELISEU FRADIQUE MARÇAL"/>
    <s v="ELISEU FRADIQUE MARÇAL"/>
    <m/>
    <s v="RECISÃO DE CONTRATO"/>
    <s v="Nathalia Louiz"/>
    <n v="-750"/>
    <s v="Saída"/>
    <x v="0"/>
  </r>
  <r>
    <x v="208"/>
    <s v="Cartão de Crédito Dra Thaynara"/>
    <s v="Cálculo Jurídico"/>
    <x v="36"/>
    <x v="1"/>
    <s v="VINDI *CALCULOJURIDIC"/>
    <s v="VINDI *CALCULOJURIDIC"/>
    <m/>
    <m/>
    <s v="Nathalia Louiz"/>
    <n v="-118.3"/>
    <s v="Saída"/>
    <x v="0"/>
  </r>
  <r>
    <x v="208"/>
    <s v="Cartão de Crédito Dra Thaynara"/>
    <s v="CHAT GPT"/>
    <x v="12"/>
    <x v="1"/>
    <s v="OPENAI *CHATGPT SUBSCR SA"/>
    <s v="OPENAI *CHATGPT SUBSCR SA"/>
    <m/>
    <m/>
    <s v="Nathalia Louiz"/>
    <n v="-3.9"/>
    <s v="Saída"/>
    <x v="0"/>
  </r>
  <r>
    <x v="209"/>
    <s v="Itaú - Lisboa e Lisboa"/>
    <s v="Pagamento restante da fechada."/>
    <x v="14"/>
    <x v="1"/>
    <s v="WANDERSON NERES SOUZA"/>
    <s v="WANDERSON NERES SOUZA"/>
    <m/>
    <m/>
    <s v="Nathalia Louiz"/>
    <n v="-900"/>
    <s v="Saída"/>
    <x v="0"/>
  </r>
  <r>
    <x v="209"/>
    <s v="Banco do Brasil - Sarah Alves Lisboa"/>
    <s v="40% Sob implantação"/>
    <x v="2"/>
    <x v="2"/>
    <s v="JULIANA VILELA DA PAIXÃO"/>
    <s v="JULIANA VILELA DA PAIXÃO"/>
    <m/>
    <s v="BENEFÍCIO POR INCAPACIDADE"/>
    <s v="Nathalia Louiz"/>
    <n v="2154.7800000000002"/>
    <s v="Entrada"/>
    <x v="1"/>
  </r>
  <r>
    <x v="210"/>
    <s v="Banco do Brasil - Sarah Alves Lisboa"/>
    <s v="Lanche de viagem"/>
    <x v="11"/>
    <x v="1"/>
    <s v="PD PÃES DE DELICIAS"/>
    <s v="PD PÃES DE DELICIAS"/>
    <m/>
    <m/>
    <s v="Nathalia Louiz"/>
    <n v="-23.58"/>
    <s v="Saída"/>
    <x v="0"/>
  </r>
  <r>
    <x v="210"/>
    <s v="Banco do Brasil - Sarah Alves Lisboa"/>
    <s v="Pedágio viagem"/>
    <x v="5"/>
    <x v="4"/>
    <s v="CONCEBRA - PEDÁGIO"/>
    <s v="CONCEBRA - PEDÁGIO"/>
    <m/>
    <m/>
    <s v="Nathalia Louiz"/>
    <n v="-7.4"/>
    <s v="Saída"/>
    <x v="0"/>
  </r>
  <r>
    <x v="210"/>
    <s v="Banco do Brasil - Sarah Alves Lisboa"/>
    <s v="Pedágio - viagem"/>
    <x v="5"/>
    <x v="4"/>
    <s v="CONCEBRA - PEDÁGIO"/>
    <s v="CONCEBRA - PEDÁGIO"/>
    <m/>
    <m/>
    <s v="Nathalia Louiz"/>
    <n v="-5.4"/>
    <s v="Saída"/>
    <x v="0"/>
  </r>
  <r>
    <x v="210"/>
    <s v="Itaú - Lisboa e Lisboa"/>
    <s v="Anuidade R$ 8.967,07 (2.000 + 12x R$580,59)"/>
    <x v="2"/>
    <x v="2"/>
    <s v="ISAEL MARCULINO DOS SANTOS"/>
    <s v="ISAEL MARCULINO DOS SANTOS"/>
    <m/>
    <s v="APOSENTADORIA POR TEMPO DE CONTRIBUIÇAO/ PORTADOR DE NECESSIDADES ESPECIAIS"/>
    <s v="Nathalia Louiz"/>
    <n v="577.74"/>
    <s v="Entrada"/>
    <x v="1"/>
  </r>
  <r>
    <x v="210"/>
    <s v="Itaú - Lisboa e Lisboa"/>
    <s v="40% Sob recebimento de RPV"/>
    <x v="2"/>
    <x v="2"/>
    <s v="PATRICIA DE GODOI MACHADO"/>
    <s v="PATRICIA DE GODOI MACHADO"/>
    <m/>
    <s v="BENEFÍCIO POR INCAPACIDADE"/>
    <s v="Nathalia Louiz"/>
    <n v="18060.349999999999"/>
    <s v="Entrada"/>
    <x v="1"/>
  </r>
  <r>
    <x v="210"/>
    <s v="Banco do Brasil - Sarah Alves Lisboa"/>
    <s v="Pedágio viagem"/>
    <x v="5"/>
    <x v="4"/>
    <s v="[$empty$]"/>
    <s v="[$empty$]"/>
    <m/>
    <m/>
    <s v="Nathalia Louiz"/>
    <n v="-14.3"/>
    <s v="Saída"/>
    <x v="0"/>
  </r>
  <r>
    <x v="210"/>
    <s v="Itaú - Lisboa e Lisboa"/>
    <s v="30% sobre os atrasados RPV"/>
    <x v="2"/>
    <x v="2"/>
    <s v="DALILA DE JESUS MORAES ROCHA"/>
    <s v="DALILA DE JESUS MORAES ROCHA"/>
    <m/>
    <s v="AUXILIO DOENÇA"/>
    <s v="Thaynara Borges"/>
    <n v="3898.01"/>
    <s v="Entrada"/>
    <x v="1"/>
  </r>
  <r>
    <x v="210"/>
    <s v="Banco do Brasil - Sarah Alves Lisboa"/>
    <s v="Cartão de Crédito Dra Thaynara"/>
    <x v="6"/>
    <x v="1"/>
    <s v="C6"/>
    <s v="C6"/>
    <m/>
    <m/>
    <s v="Thaynara Borges"/>
    <n v="-1116.07"/>
    <s v="Saída"/>
    <x v="0"/>
  </r>
  <r>
    <x v="210"/>
    <s v="Banco do Brasil - Sarah Alves Lisboa"/>
    <s v="Pedágio de viagem"/>
    <x v="5"/>
    <x v="4"/>
    <s v="CONCEBRA - PEDÁGIO"/>
    <s v="CONCEBRA - PEDÁGIO"/>
    <m/>
    <m/>
    <s v="Nathalia Louiz"/>
    <n v="-5.4"/>
    <s v="Saída"/>
    <x v="0"/>
  </r>
  <r>
    <x v="211"/>
    <s v="Itaú - Lisboa e Lisboa"/>
    <s v="30% sob implantação"/>
    <x v="2"/>
    <x v="2"/>
    <s v="MARLENE MARIA DOS SANTOS"/>
    <s v="MARLENE MARIA DOS SANTOS"/>
    <m/>
    <s v="BENEFÍCIO POR INCAPACIDADE"/>
    <s v="Nathalia Louiz"/>
    <n v="224.85"/>
    <s v="Entrada"/>
    <x v="1"/>
  </r>
  <r>
    <x v="211"/>
    <s v="Banco do Brasil - Sarah Alves Lisboa"/>
    <s v="Serviços de chaveiro"/>
    <x v="14"/>
    <x v="1"/>
    <s v="CHAVEIRO BOUGANVILLE"/>
    <s v="CHAVEIRO BOUGANVILLE"/>
    <m/>
    <m/>
    <s v="Nathalia Louiz"/>
    <n v="-30"/>
    <s v="Saída"/>
    <x v="0"/>
  </r>
  <r>
    <x v="211"/>
    <s v="Banco do Brasil - Sarah Alves Lisboa"/>
    <s v="30% sobre a implantação da revisão"/>
    <x v="2"/>
    <x v="2"/>
    <s v="ANA CLARA CARDOSO FERNANDES"/>
    <s v="ANA CLARA CARDOSO FERNANDES"/>
    <m/>
    <s v="REVISÃO"/>
    <s v="Nathalia Louiz"/>
    <n v="167.7"/>
    <s v="Entrada"/>
    <x v="1"/>
  </r>
  <r>
    <x v="211"/>
    <s v="Banco do Brasil - Sarah Alves Lisboa"/>
    <s v="20% para Maria de Lourdes: Honorários: 4.554,00 Honorários líquidos (-10,96%) R$ 4.054,88 20% Lourdes= R$ 810,97"/>
    <x v="29"/>
    <x v="7"/>
    <s v="ADERSON CARDOSO SANTANA"/>
    <s v="ADERSON CARDOSO SANTANA"/>
    <m/>
    <s v="PENSÃO POR MORTE"/>
    <s v="Thaynara Borges"/>
    <n v="-810.97"/>
    <s v="Saída"/>
    <x v="0"/>
  </r>
  <r>
    <x v="212"/>
    <s v="Itaú - Lisboa e Lisboa"/>
    <s v="Honorários 30% LEONARDO"/>
    <x v="2"/>
    <x v="2"/>
    <s v="MARIA APARECIDA SILVA ALVES/ IVANILTON ROCHA ALVES"/>
    <s v="MARIA APARECIDA SILVA ALVES/ IVANILTON ROCHA ALVES"/>
    <m/>
    <s v="APOSENTADORIA POR TEMPO DE CONTRIBUIÇAO / PORTADOR DE NESCESSIDADES ESPECIAIS"/>
    <s v="Thaynara Borges"/>
    <n v="20740.59"/>
    <s v="Entrada"/>
    <x v="1"/>
  </r>
  <r>
    <x v="212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13"/>
    <s v="Itaú - Lisboa e Lisboa"/>
    <s v="Simples Nacional"/>
    <x v="20"/>
    <x v="7"/>
    <s v="Simples Nacional"/>
    <s v="Simples Nacional"/>
    <m/>
    <m/>
    <s v="Thaynara Borges"/>
    <n v="-61350.26"/>
    <s v="Saída"/>
    <x v="0"/>
  </r>
  <r>
    <x v="213"/>
    <s v="Banco do Brasil - Sarah Alves Lisboa"/>
    <s v="Combustível de viagem"/>
    <x v="27"/>
    <x v="4"/>
    <s v="POSTO SHUKRAN"/>
    <s v="POSTO SHUKRAN"/>
    <m/>
    <m/>
    <s v="Nathalia Louiz"/>
    <n v="-416.34"/>
    <s v="Saída"/>
    <x v="0"/>
  </r>
  <r>
    <x v="213"/>
    <s v="Itaú - Lisboa e Lisboa"/>
    <s v="30% sobre os atrasados RPV"/>
    <x v="2"/>
    <x v="2"/>
    <s v="AVENIR RODRIGUES GOMES SOBRINHO"/>
    <s v="AVENIR RODRIGUES GOMES SOBRINHO"/>
    <m/>
    <s v="BENEFÍCIO POR INCAPACIDADE"/>
    <s v="Thaynara Borges"/>
    <n v="2521.27"/>
    <s v="Entrada"/>
    <x v="1"/>
  </r>
  <r>
    <x v="213"/>
    <s v="Itaú - Lisboa e Lisboa"/>
    <s v="Água"/>
    <x v="17"/>
    <x v="1"/>
    <s v="SANEAGO GOIAS S/A"/>
    <s v="SANEAGO GOIAS S/A"/>
    <m/>
    <m/>
    <s v="Thaynara Borges"/>
    <n v="-155.75"/>
    <s v="Saída"/>
    <x v="0"/>
  </r>
  <r>
    <x v="213"/>
    <s v="Banco do Brasil - Sarah Alves Lisboa"/>
    <s v="PARCEIRIA DR SILVIO - Honorários de parceria caso VALENTINA SOUSA FONSECA"/>
    <x v="2"/>
    <x v="2"/>
    <s v="VALENTINA SOUSA FONSECA"/>
    <s v="VALENTINA SOUSA FONSECA"/>
    <m/>
    <s v="SOLICITAR PAGAMENTOS NÃO RECEBIDOS"/>
    <s v="Nathalia Louiz"/>
    <n v="168"/>
    <s v="Entrada"/>
    <x v="1"/>
  </r>
  <r>
    <x v="213"/>
    <s v="Itaú - Lisboa e Lisboa"/>
    <s v="INSS"/>
    <x v="19"/>
    <x v="6"/>
    <s v="RECEITA FEDERAL"/>
    <s v="RECEITA FEDERAL"/>
    <m/>
    <m/>
    <s v="Thaynara Borges"/>
    <n v="-3107.19"/>
    <s v="Saída"/>
    <x v="0"/>
  </r>
  <r>
    <x v="213"/>
    <s v="Itaú - Lisboa e Lisboa"/>
    <s v="FGTS"/>
    <x v="18"/>
    <x v="6"/>
    <s v="FGTS"/>
    <s v="FGTS"/>
    <m/>
    <m/>
    <s v="Thaynara Borges"/>
    <n v="-858.17"/>
    <s v="Saída"/>
    <x v="0"/>
  </r>
  <r>
    <x v="213"/>
    <s v="Banco do Brasil - Sarah Alves Lisboa"/>
    <s v="Comissão de reunião"/>
    <x v="29"/>
    <x v="7"/>
    <s v="JOAO BATISTA PEREIRA DE SOUZA"/>
    <s v="JOAO BATISTA PEREIRA DE SOUZA"/>
    <m/>
    <m/>
    <s v="Nathalia Louiz"/>
    <n v="-100"/>
    <s v="Saída"/>
    <x v="0"/>
  </r>
  <r>
    <x v="213"/>
    <s v="Itaú - Lisboa e Lisboa"/>
    <s v="IPTU - SALA B74"/>
    <x v="30"/>
    <x v="1"/>
    <s v="PREFEITURA MUNICIPAL DE GOIÂNIA"/>
    <s v="PREFEITURA MUNICIPAL DE GOIÂNIA"/>
    <m/>
    <m/>
    <s v="Nathalia Louiz"/>
    <n v="-125.52"/>
    <s v="Saída"/>
    <x v="0"/>
  </r>
  <r>
    <x v="214"/>
    <s v="Banco do Brasil - Sarah Alves Lisboa"/>
    <s v="Compras para escritório"/>
    <x v="26"/>
    <x v="1"/>
    <s v="ASSAI ATACADISTA"/>
    <s v="ASSAI ATACADISTA"/>
    <m/>
    <m/>
    <s v="Nathalia Louiz"/>
    <n v="-306.13"/>
    <s v="Saída"/>
    <x v="0"/>
  </r>
  <r>
    <x v="214"/>
    <s v="Itaú - Lisboa e Lisboa"/>
    <s v="30% sob implantação"/>
    <x v="2"/>
    <x v="2"/>
    <s v="ROSA NUNES LOPES"/>
    <s v="ROSA NUNES LOPES"/>
    <m/>
    <s v="BENEFÍCIO POR INCAPACIDADE"/>
    <s v="Nathalia Louiz"/>
    <n v="60.72"/>
    <s v="Entrada"/>
    <x v="2"/>
  </r>
  <r>
    <x v="215"/>
    <s v="Banco do Brasil - Sarah Alves Lisboa"/>
    <s v="Pagamentos de pecas avulsas"/>
    <x v="43"/>
    <x v="6"/>
    <s v="Dra Raffaela Nunes"/>
    <s v="Dra Raffaela Nunes"/>
    <m/>
    <m/>
    <s v="Nathalia Louiz"/>
    <n v="-550"/>
    <s v="Saída"/>
    <x v="0"/>
  </r>
  <r>
    <x v="215"/>
    <s v="Itaú - Lisboa e Lisboa"/>
    <s v="100% de honorários"/>
    <x v="2"/>
    <x v="2"/>
    <s v="MARIA APARECIDA SILVA ALVES/ IVANILTON ROCHA ALVES"/>
    <s v="MARIA APARECIDA SILVA ALVES/ IVANILTON ROCHA ALVES"/>
    <m/>
    <s v="APOSENTADORIA POR TEMPO DE CONTRIBUIÇAO / PORTADOR DE NESCESSIDADES ESPECIAIS"/>
    <s v="Nathalia Louiz"/>
    <n v="41527.919999999998"/>
    <s v="Entrada"/>
    <x v="1"/>
  </r>
  <r>
    <x v="216"/>
    <s v="Banco do Brasil - Sarah Alves Lisboa"/>
    <s v="Bolos e lanches para viagem"/>
    <x v="11"/>
    <x v="1"/>
    <s v="EMPORIO WL BOLOS"/>
    <s v="EMPORIO WL BOLOS"/>
    <m/>
    <m/>
    <s v="Nathalia Louiz"/>
    <n v="-86.82"/>
    <s v="Saída"/>
    <x v="0"/>
  </r>
  <r>
    <x v="216"/>
    <s v="Banco do Brasil - Sarah Alves Lisboa"/>
    <s v="Pedágio"/>
    <x v="5"/>
    <x v="4"/>
    <s v="CONCEBRA - PEDÁGIO"/>
    <s v="CONCEBRA - PEDÁGIO"/>
    <m/>
    <m/>
    <s v="Nathalia Louiz"/>
    <n v="-7.9"/>
    <s v="Saída"/>
    <x v="0"/>
  </r>
  <r>
    <x v="216"/>
    <s v="Banco do Brasil - 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216"/>
    <s v="Banco do Brasil - Sarah Alves Lisboa"/>
    <s v="Lanches para viagem"/>
    <x v="11"/>
    <x v="1"/>
    <s v="SUPERMERCADO MOREIRA"/>
    <s v="SUPERMERCADO MOREIRA"/>
    <m/>
    <m/>
    <s v="Nathalia Louiz"/>
    <n v="-43.86"/>
    <s v="Saída"/>
    <x v="0"/>
  </r>
  <r>
    <x v="216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16"/>
    <s v="Banco do Brasil - Sarah Alves Lisboa"/>
    <s v="Comissão por viagem "/>
    <x v="29"/>
    <x v="7"/>
    <s v="Giovanna Victoria"/>
    <s v="Giovanna Victoria"/>
    <m/>
    <m/>
    <s v="Nathalia Louiz"/>
    <n v="-100"/>
    <s v="Saída"/>
    <x v="0"/>
  </r>
  <r>
    <x v="216"/>
    <s v="Banco do Brasil - Sarah Alves Lisboa"/>
    <s v="3 BENEFÍCIOS COM RMI DE R$ 3.470,20 (10.410,60)_x000a_Pagará 5.000,00 e posteriormente o restante."/>
    <x v="2"/>
    <x v="2"/>
    <s v="FRANCISCO DO NASCIMENTO"/>
    <s v="FRANCISCO DO NASCIMENTO"/>
    <m/>
    <s v="APOSENTADORIA POR TEMPO DE CONTRIBUIÇÃO"/>
    <s v="Thaynara Borges"/>
    <n v="5000"/>
    <s v="Entrada"/>
    <x v="1"/>
  </r>
  <r>
    <x v="216"/>
    <s v="Banco do Brasil - Sarah Alves Lisboa"/>
    <s v="Compras viagem"/>
    <x v="11"/>
    <x v="1"/>
    <s v="SUPERMERCADO BARATEX"/>
    <s v="SUPERMERCADO BARATEX"/>
    <m/>
    <m/>
    <s v="Nathalia Louiz"/>
    <n v="-22.47"/>
    <s v="Saída"/>
    <x v="0"/>
  </r>
  <r>
    <x v="217"/>
    <s v="Banco do Brasil - Sarah Alves Lisboa"/>
    <s v="Comissão, parceiria Dr Silvio"/>
    <x v="29"/>
    <x v="7"/>
    <s v="CHRISYA  MATOS AZEVEDO"/>
    <s v="CHRISYA  MATOS AZEVEDO"/>
    <m/>
    <s v="DEFESA DIVÓRCIO"/>
    <s v="Nathalia Louiz"/>
    <n v="-250"/>
    <s v="Saída"/>
    <x v="0"/>
  </r>
  <r>
    <x v="217"/>
    <s v="Itaú - Lisboa e Lisboa"/>
    <s v="Prêmio São Paulo"/>
    <x v="33"/>
    <x v="4"/>
    <s v="INQS - Instituto Nacional da Qualidade Social"/>
    <s v="INQS - Instituto Nacional da Qualidade Social"/>
    <m/>
    <m/>
    <s v="Nathalia Louiz"/>
    <n v="-925"/>
    <s v="Saída"/>
    <x v="0"/>
  </r>
  <r>
    <x v="217"/>
    <s v="Banco do Brasil - Sarah Alves Lisboa"/>
    <s v="Compras para escritório"/>
    <x v="26"/>
    <x v="1"/>
    <s v="ASSAI ATACADISTA"/>
    <s v="ASSAI ATACADISTA"/>
    <m/>
    <m/>
    <s v="Nathalia Louiz"/>
    <n v="-76.95"/>
    <s v="Saída"/>
    <x v="0"/>
  </r>
  <r>
    <x v="217"/>
    <s v="Banco do Brasil - Sarah Alves Lisboa"/>
    <s v="Honorários de 2.500 (500 + 500 + 3x500)"/>
    <x v="2"/>
    <x v="2"/>
    <s v="CHRISYA  MATOS AZEVEDO"/>
    <s v="CHRISYA  MATOS AZEVEDO"/>
    <m/>
    <s v="DEFESA DIVÓRCIO"/>
    <s v="Nathalia Louiz"/>
    <n v="500"/>
    <s v="Entrada"/>
    <x v="1"/>
  </r>
  <r>
    <x v="218"/>
    <s v="Itaú - Lisboa e Lisboa"/>
    <s v="Retirada"/>
    <x v="22"/>
    <x v="8"/>
    <s v="Thaynara Borges Pereira"/>
    <s v="Thaynara Borges Pereira"/>
    <m/>
    <m/>
    <s v="Thaynara Borges"/>
    <n v="-7000"/>
    <s v="Saída"/>
    <x v="0"/>
  </r>
  <r>
    <x v="218"/>
    <s v="Banco do Brasil - Sarah Alves Lisboa"/>
    <s v="40% SOB IMPLANTAÇÃO"/>
    <x v="2"/>
    <x v="2"/>
    <s v="FRANCISCA PEREIRA DA SILVA"/>
    <s v="FRANCISCA PEREIRA DA SILVA"/>
    <m/>
    <s v="BENEFÍCIO POR INCAPACIDADE"/>
    <s v="Nathalia Louiz"/>
    <n v="1826.86"/>
    <s v="Entrada"/>
    <x v="1"/>
  </r>
  <r>
    <x v="218"/>
    <s v="Banco do Brasil - Sarah Alves Lisboa"/>
    <s v="Parcelamento 3 Ben"/>
    <x v="2"/>
    <x v="2"/>
    <s v="MATHEUS HENRIQUE DE CARVALHO MIRANDA"/>
    <s v="MATHEUS HENRIQUE DE CARVALHO MIRANDA"/>
    <m/>
    <s v="PENSÃO POR MORTE - RETROAÇÃO DA DIP"/>
    <s v="Nathalia Louiz"/>
    <n v="563.5"/>
    <s v="Entrada"/>
    <x v="1"/>
  </r>
  <r>
    <x v="219"/>
    <s v="Banco do Brasil - Sarah Alves Lisboa"/>
    <s v="30% sob implantação"/>
    <x v="2"/>
    <x v="2"/>
    <s v="DIVINA CEZARIA DA SILVA FERREIRA"/>
    <s v="DIVINA CEZARIA DA SILVA FERREIRA"/>
    <m/>
    <s v="APOSENTADORIA POR IDADE"/>
    <s v="Nathalia Louiz"/>
    <n v="561.9"/>
    <s v="Entrada"/>
    <x v="1"/>
  </r>
  <r>
    <x v="219"/>
    <s v="Banco do Brasil - Sarah Alves Lisboa"/>
    <s v="Combustível de viagem"/>
    <x v="27"/>
    <x v="4"/>
    <s v="Posto 2824 GOIÂNIA"/>
    <s v="Posto 2824 GOIÂNIA"/>
    <m/>
    <m/>
    <s v="Nathalia Louiz"/>
    <n v="-100"/>
    <s v="Saída"/>
    <x v="0"/>
  </r>
  <r>
    <x v="219"/>
    <s v="Itaú - Lisboa e Lisboa"/>
    <s v="Energia contrato 0067122663"/>
    <x v="21"/>
    <x v="1"/>
    <s v="EQUATORIAL GOIAS 0067122663"/>
    <s v="EQUATORIAL GOIAS 0067122663"/>
    <m/>
    <m/>
    <s v="Thaynara Borges"/>
    <n v="-782.01"/>
    <s v="Saída"/>
    <x v="0"/>
  </r>
  <r>
    <x v="219"/>
    <s v="Banco do Brasil - Sarah Alves Lisboa"/>
    <s v="2 PARCELA DA ENTRADA"/>
    <x v="2"/>
    <x v="2"/>
    <s v="CHRISYA  MATOS AZEVEDO"/>
    <s v="CHRISYA  MATOS AZEVEDO"/>
    <m/>
    <s v="DEFESA DIVÓRCIO"/>
    <s v="Nathalia Louiz"/>
    <n v="500"/>
    <s v="Entrada"/>
    <x v="1"/>
  </r>
  <r>
    <x v="219"/>
    <s v="Itaú - Lisboa e Lisboa"/>
    <s v="Energia contrato 0067122721"/>
    <x v="21"/>
    <x v="1"/>
    <s v="EQUATORIAL GOIAS 0067122721"/>
    <s v="EQUATORIAL GOIAS 0067122721"/>
    <m/>
    <m/>
    <s v="Thaynara Borges"/>
    <n v="-521.5"/>
    <s v="Saída"/>
    <x v="0"/>
  </r>
  <r>
    <x v="219"/>
    <s v="Banco do Brasil - Sarah Alves Lisboa"/>
    <s v="30% Sob atrasados"/>
    <x v="2"/>
    <x v="2"/>
    <s v="ELIANA MARIA DE CASTRO"/>
    <s v="ELIANA MARIA DE CASTRO"/>
    <m/>
    <s v="BENEFÍCIO POR INCAPACIDADE"/>
    <s v="Nathalia Louiz"/>
    <n v="910.8"/>
    <s v="Entrada"/>
    <x v="1"/>
  </r>
  <r>
    <x v="219"/>
    <s v="Banco do Brasil - Sarah Alves Lisboa"/>
    <s v="Comissão por parceria 50%"/>
    <x v="29"/>
    <x v="7"/>
    <s v="CHRISYA  MATOS AZEVEDO"/>
    <s v="CHRISYA  MATOS AZEVEDO"/>
    <m/>
    <s v="DEFESA DIVÓRCIO"/>
    <s v="Nathalia Louiz"/>
    <n v="-250"/>
    <s v="Saída"/>
    <x v="0"/>
  </r>
  <r>
    <x v="220"/>
    <s v="Banco do Brasil - Sarah Alves Lisboa"/>
    <s v="HONORÁRIOS DE SCB"/>
    <x v="2"/>
    <x v="2"/>
    <s v="JAQUELINE BIZIACH BARBOSA DA SILVEIRA"/>
    <s v="JAQUELINE BIZIACH BARBOSA DA SILVEIRA"/>
    <m/>
    <s v="AÇÃO DE RESTABELECIMENTO DO BENEFÍCIO PREVIDENCIÁRIO POR INCAPACIDADE TEMPORÁRIA POR ACIDENTE DO TRA"/>
    <s v="Nathalia Louiz"/>
    <n v="8269.99"/>
    <s v="Entrada"/>
    <x v="1"/>
  </r>
  <r>
    <x v="220"/>
    <s v="Banco do Brasil - Sarah Alves Lisboa"/>
    <s v="30 sob atrasados"/>
    <x v="2"/>
    <x v="2"/>
    <s v="JAQUELINE BIZIACH BARBOSA DA SILVEIRA"/>
    <s v="JAQUELINE BIZIACH BARBOSA DA SILVEIRA"/>
    <m/>
    <s v="AÇÃO DE RESTABELECIMENTO DO BENEFÍCIO PREVIDENCIÁRIO POR INCAPACIDADE TEMPORÁRIA POR ACIDENTE DO TRA"/>
    <s v="Nathalia Louiz"/>
    <n v="24809.99"/>
    <s v="Entrada"/>
    <x v="1"/>
  </r>
  <r>
    <x v="220"/>
    <s v="Itaú - Lisboa e Lisboa"/>
    <s v="Pagamento de procuração -  Cartório"/>
    <x v="7"/>
    <x v="5"/>
    <s v="JALES ROBERTO MANSE"/>
    <s v="JALES ROBERTO MANSE"/>
    <m/>
    <s v="JALES ROBERTO MANSE x INSS"/>
    <s v="Nathalia Louiz"/>
    <n v="-200"/>
    <s v="Saída"/>
    <x v="0"/>
  </r>
  <r>
    <x v="221"/>
    <s v="Banco do Brasil - Sarah Alves Lisboa"/>
    <s v="PAGAMENTO DE HONORÁRIOS - ACORDO APÓS EXECUÇÃO DO CONTRATO"/>
    <x v="2"/>
    <x v="2"/>
    <s v="MARCOS ANTONIO LOURENÇO DE TOLEDO"/>
    <s v="MARCOS ANTONIO LOURENÇO DE TOLEDO"/>
    <m/>
    <s v="AUXILIO DOENÇA"/>
    <s v="Nathalia Louiz"/>
    <n v="500"/>
    <s v="Entrada"/>
    <x v="1"/>
  </r>
  <r>
    <x v="221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221"/>
    <s v="Itaú - Lisboa e Lisboa"/>
    <s v="Salário"/>
    <x v="15"/>
    <x v="6"/>
    <s v="SAMARA ALMEIDA BOGEA"/>
    <s v="SAMARA ALMEIDA BOGEA"/>
    <m/>
    <m/>
    <s v="Nathalia Louiz"/>
    <n v="-2296.77"/>
    <s v="Saída"/>
    <x v="0"/>
  </r>
  <r>
    <x v="221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221"/>
    <s v="Itaú - Lisboa e Lisboa"/>
    <s v="Transferência de SCB cliente JAQUELINE BIZIACH BARBOSA DA SILVEIRA"/>
    <x v="41"/>
    <x v="11"/>
    <s v="Itaú - Lisboa e Lisboa"/>
    <s v="Itaú - Lisboa e Lisboa"/>
    <m/>
    <m/>
    <s v="Nathalia Louiz"/>
    <n v="8269.99"/>
    <s v="Entrada"/>
    <x v="1"/>
  </r>
  <r>
    <x v="221"/>
    <s v="Itaú - Lisboa e Lisboa"/>
    <s v="Curso Dra Thaynara"/>
    <x v="34"/>
    <x v="6"/>
    <s v="EMPRESA BLINDADA TREINAMENTOS"/>
    <s v="EMPRESA BLINDADA TREINAMENTOS"/>
    <m/>
    <m/>
    <s v="Nathalia Louiz"/>
    <n v="-197"/>
    <s v="Saída"/>
    <x v="0"/>
  </r>
  <r>
    <x v="221"/>
    <s v="Itaú - Lisboa e Lisboa"/>
    <s v="Benefícios - GIOVANNA VICTORIA GOMES RODRIGUES (163,00 - 19 DIAS - Vale transporte) + 2,50 Taxas Valuu"/>
    <x v="37"/>
    <x v="6"/>
    <s v="NAAMA MENDES JUNIOR - VALUU"/>
    <s v="NAAMA MENDES JUNIOR - VALUU"/>
    <m/>
    <m/>
    <s v="Nathalia Louiz"/>
    <n v="-165.9"/>
    <s v="Saída"/>
    <x v="0"/>
  </r>
  <r>
    <x v="221"/>
    <s v="Itaú - Lisboa e Lisboa"/>
    <s v="Comissão Vanessa"/>
    <x v="29"/>
    <x v="7"/>
    <s v="SHIRLEY PEREIRA DE REZENDE/ RAFAELA"/>
    <s v="SHIRLEY PEREIRA DE REZENDE/ RAFAELA"/>
    <m/>
    <s v="INVENTÁRIO"/>
    <s v="Thaynara Borges"/>
    <n v="-3164"/>
    <s v="Saída"/>
    <x v="0"/>
  </r>
  <r>
    <x v="221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221"/>
    <s v="Itaú - Lisboa e Lisboa"/>
    <s v="Salário"/>
    <x v="15"/>
    <x v="6"/>
    <s v="MARIA EDUARDA DE SOUZA"/>
    <s v="MARIA EDUARDA DE SOUZA"/>
    <m/>
    <m/>
    <s v="Nathalia Louiz"/>
    <n v="-2338.41"/>
    <s v="Saída"/>
    <x v="0"/>
  </r>
  <r>
    <x v="221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21"/>
    <s v="Banco do Brasil - Sarah Alves Lisboa"/>
    <s v="Salário"/>
    <x v="15"/>
    <x v="6"/>
    <s v="Raffaela Nunes"/>
    <s v="Raffaela Nunes"/>
    <m/>
    <m/>
    <s v="Thaynara Borges"/>
    <n v="-3500"/>
    <s v="Saída"/>
    <x v="0"/>
  </r>
  <r>
    <x v="221"/>
    <s v="Itaú - Lisboa e Lisboa"/>
    <s v="Pagamento de benefícios: SAMARA ALMEIDA BOGEA (300,00) - MARIA EDUARDA DE SOUZA (300,00) - RAFFAELA NUNES SANTANA (300,00) - NINA ARAUJO (300,00) + Taxas da VALUU (2,50)"/>
    <x v="37"/>
    <x v="6"/>
    <s v="NAAMA MENDES JUNIOR - VALUU"/>
    <s v="NAAMA MENDES JUNIOR - VALUU"/>
    <m/>
    <m/>
    <s v="Nathalia Louiz"/>
    <n v="-1202.5"/>
    <s v="Saída"/>
    <x v="0"/>
  </r>
  <r>
    <x v="221"/>
    <s v="Itaú - Lisboa e Lisboa"/>
    <s v="Salário"/>
    <x v="15"/>
    <x v="6"/>
    <s v="GIOVANNA VICTORIA GOMES RODRIGUES"/>
    <s v="GIOVANNA VICTORIA GOMES RODRIGUES"/>
    <m/>
    <m/>
    <s v="Nathalia Louiz"/>
    <n v="-1502.42"/>
    <s v="Saída"/>
    <x v="0"/>
  </r>
  <r>
    <x v="221"/>
    <s v="Itaú - Lisboa e Lisboa"/>
    <s v="Salário"/>
    <x v="15"/>
    <x v="6"/>
    <s v="Nina Araujo"/>
    <s v="Nina Araujo"/>
    <m/>
    <m/>
    <s v="Thaynara Borges"/>
    <n v="-3230.22"/>
    <s v="Saída"/>
    <x v="0"/>
  </r>
  <r>
    <x v="221"/>
    <s v="Itaú - Lisboa e Lisboa"/>
    <s v="Transferência de Honorários 30% - cliente: JAQUELINE BIZIACH BARBOSA DA SILVEIRA"/>
    <x v="41"/>
    <x v="11"/>
    <s v="Itaú - Lisboa e Lisboa"/>
    <s v="Itaú - Lisboa e Lisboa"/>
    <m/>
    <m/>
    <s v="Nathalia Louiz"/>
    <n v="24809.99"/>
    <s v="Entrada"/>
    <x v="1"/>
  </r>
  <r>
    <x v="221"/>
    <s v="Itaú - Lisboa e Lisboa"/>
    <s v="Comissão para Vanessa"/>
    <x v="29"/>
    <x v="7"/>
    <s v="MARIA APARECIDA SILVA ALVES/ IVANILTON ROCHA ALVES"/>
    <s v="MARIA APARECIDA SILVA ALVES/ IVANILTON ROCHA ALVES"/>
    <m/>
    <s v="APOSENTADORIA POR TEMPO DE CONTRIBUIÇAO / PORTADOR DE NESCESSIDADES ESPECIAIS"/>
    <s v="Thaynara Borges"/>
    <n v="-26278.86"/>
    <s v="Saída"/>
    <x v="0"/>
  </r>
  <r>
    <x v="221"/>
    <s v="Banco do Brasil - Sarah Alves Lisboa"/>
    <s v="Transferência de SCB cliente JAQUELINE BIZIACH BARBOSA DA SILVEIRA"/>
    <x v="41"/>
    <x v="11"/>
    <s v="Banco do Brasil - Sarah Alves Lisboa"/>
    <s v="Banco do Brasil - Sarah Alves Lisboa"/>
    <m/>
    <m/>
    <s v="Nathalia Louiz"/>
    <n v="-8269.99"/>
    <s v="Saída"/>
    <x v="0"/>
  </r>
  <r>
    <x v="221"/>
    <s v="Itaú - Lisboa e Lisboa"/>
    <s v="Honorários contratuais - inventário"/>
    <x v="2"/>
    <x v="2"/>
    <s v="SHIRLEY PEREIRA DE REZENDE/ RAFAELA"/>
    <s v="SHIRLEY PEREIRA DE REZENDE/ RAFAELA"/>
    <m/>
    <s v="INVENTÁRIO"/>
    <s v="Thaynara Borges"/>
    <n v="5000"/>
    <s v="Entrada"/>
    <x v="1"/>
  </r>
  <r>
    <x v="221"/>
    <s v="Itaú - Lisboa e Lisboa"/>
    <s v="Comissão para Vanessa"/>
    <x v="29"/>
    <x v="7"/>
    <s v="MARIA APARECIDA SILVA ALVES/ IVANILTON ROCHA ALVES"/>
    <s v="MARIA APARECIDA SILVA ALVES/ IVANILTON ROCHA ALVES"/>
    <m/>
    <s v="APOSENTADORIA POR TEMPO DE CONTRIBUIÇAO / PORTADOR DE NESCESSIDADES ESPECIAIS"/>
    <s v="Thaynara Borges"/>
    <n v="-13124.64"/>
    <s v="Saída"/>
    <x v="0"/>
  </r>
  <r>
    <x v="221"/>
    <s v="Itaú - Lisboa e Lisboa"/>
    <s v="Comissão para Vanessa"/>
    <x v="29"/>
    <x v="7"/>
    <s v="ISAEL MARCULINO DOS SANTOS"/>
    <s v="ISAEL MARCULINO DOS SANTOS"/>
    <m/>
    <s v="APOSENTADORIA POR TEMPO DE CONTRIBUIÇAO/ PORTADOR DE NECESSIDADES ESPECIAIS"/>
    <s v="Thaynara Borges"/>
    <n v="-365.58"/>
    <s v="Saída"/>
    <x v="0"/>
  </r>
  <r>
    <x v="221"/>
    <s v="Itaú - Lisboa e Lisboa"/>
    <s v="Retirada de Lucros"/>
    <x v="22"/>
    <x v="8"/>
    <s v="Thaynara Borges Pereira"/>
    <s v="Thaynara Borges Pereira"/>
    <m/>
    <m/>
    <s v="Nathalia Louiz"/>
    <n v="-3964.21"/>
    <s v="Saída"/>
    <x v="0"/>
  </r>
  <r>
    <x v="221"/>
    <s v="Itaú - Lisboa e Lisboa"/>
    <s v="PRÓ-LABORE"/>
    <x v="23"/>
    <x v="8"/>
    <s v="Thaynara Borges Pereira"/>
    <s v="Thaynara Borges Pereira"/>
    <m/>
    <m/>
    <s v="Thaynara Borges"/>
    <n v="-1035.79"/>
    <s v="Saída"/>
    <x v="0"/>
  </r>
  <r>
    <x v="221"/>
    <s v="Banco do Brasil - Sarah Alves Lisboa"/>
    <s v="Transferência de Honorários 30% - cliente: JAQUELINE BIZIACH BARBOSA DA SILVEIRA"/>
    <x v="41"/>
    <x v="11"/>
    <s v="Banco do Brasil - Sarah Alves Lisboa"/>
    <s v="Banco do Brasil - Sarah Alves Lisboa"/>
    <m/>
    <m/>
    <s v="Nathalia Louiz"/>
    <n v="-24809.99"/>
    <s v="Saída"/>
    <x v="0"/>
  </r>
  <r>
    <x v="222"/>
    <s v="Itaú - Lisboa e Lisboa"/>
    <s v="Honorários R$5000,00 (Parceria com Dr Luciano R$2.500) - 5 parcelas para cada."/>
    <x v="2"/>
    <x v="2"/>
    <s v="LUZIA VIEIRA DE JESUS NASCIMENTO"/>
    <s v="LUZIA VIEIRA DE JESUS NASCIMENTO"/>
    <m/>
    <s v="aposentadoria"/>
    <s v="Nathalia Louiz"/>
    <n v="500"/>
    <s v="Entrada"/>
    <x v="2"/>
  </r>
  <r>
    <x v="223"/>
    <s v="Itaú - Lisboa e Lisboa"/>
    <s v="Salário Marketing"/>
    <x v="15"/>
    <x v="6"/>
    <s v="ANNA CLARA JARDIM"/>
    <s v="ANNA CLARA JARDIM"/>
    <m/>
    <m/>
    <s v="Nathalia Louiz"/>
    <n v="-1300"/>
    <s v="Saída"/>
    <x v="0"/>
  </r>
  <r>
    <x v="223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223"/>
    <s v="Banco do Brasil - Sarah Alves Lisboa"/>
    <s v="Compras para escritório"/>
    <x v="11"/>
    <x v="1"/>
    <s v="ASSAI ATACADISTA"/>
    <s v="ASSAI ATACADISTA"/>
    <m/>
    <m/>
    <s v="Nathalia Louiz"/>
    <n v="-60.7"/>
    <s v="Saída"/>
    <x v="0"/>
  </r>
  <r>
    <x v="223"/>
    <s v="Itaú - Lisboa e Lisboa"/>
    <s v="ALUGUEL - ESCRITÓRIO GIRASSOIS"/>
    <x v="44"/>
    <x v="1"/>
    <s v="HELENA PEREIRA DOS REIS"/>
    <s v="HELENA PEREIRA DOS REIS"/>
    <m/>
    <m/>
    <s v="Nathalia Louiz"/>
    <n v="-1000"/>
    <s v="Saída"/>
    <x v="0"/>
  </r>
  <r>
    <x v="223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223"/>
    <s v="Banco do Brasil - Sarah Alves Lisboa"/>
    <s v="Comissão por indicação de cliente"/>
    <x v="29"/>
    <x v="7"/>
    <s v="LEONICE LEITE DE OLIVEIRA"/>
    <s v="LEONICE LEITE DE OLIVEIRA"/>
    <m/>
    <m/>
    <s v="Nathalia Louiz"/>
    <n v="-100"/>
    <s v="Saída"/>
    <x v="0"/>
  </r>
  <r>
    <x v="224"/>
    <s v="Cartão de Crédito Dr Ivanildo"/>
    <s v="ASA CURSOS"/>
    <x v="34"/>
    <x v="6"/>
    <s v="BANCO ITAU"/>
    <s v="BANCO ITAU"/>
    <m/>
    <m/>
    <s v="Nathalia Louiz"/>
    <n v="-59.9"/>
    <s v="Saída"/>
    <x v="0"/>
  </r>
  <r>
    <x v="224"/>
    <s v="Cartão de Crédito Dr Ivanildo"/>
    <s v="Prévius"/>
    <x v="12"/>
    <x v="1"/>
    <s v="BANCO ITAU"/>
    <s v="BANCO ITAU"/>
    <m/>
    <m/>
    <s v="Thaynara Borges"/>
    <n v="-80.91"/>
    <s v="Saída"/>
    <x v="0"/>
  </r>
  <r>
    <x v="224"/>
    <s v="Cartão de Crédito Dr Ivanildo"/>
    <s v="MANTIMENTOS PARA ESCRITÓRIO"/>
    <x v="14"/>
    <x v="1"/>
    <s v="BANCO ITAU"/>
    <s v="BANCO ITAU"/>
    <m/>
    <m/>
    <s v="Nathalia Louiz"/>
    <n v="-177.97"/>
    <s v="Saída"/>
    <x v="0"/>
  </r>
  <r>
    <x v="224"/>
    <s v="Cartão de Crédito Dr Ivanildo"/>
    <s v="Jusbrasil"/>
    <x v="12"/>
    <x v="1"/>
    <s v="BANCO ITAU"/>
    <s v="BANCO ITAU"/>
    <m/>
    <m/>
    <s v="Thaynara Borges"/>
    <n v="-58.9"/>
    <s v="Saída"/>
    <x v="0"/>
  </r>
  <r>
    <x v="224"/>
    <s v="Cartão de Crédito Dr Ivanildo"/>
    <s v="SUPERMERCADO MOREIRA"/>
    <x v="11"/>
    <x v="1"/>
    <s v="BANCO ITAU"/>
    <s v="BANCO ITAU"/>
    <m/>
    <m/>
    <s v="Nathalia Louiz"/>
    <n v="-79.599999999999994"/>
    <s v="Saída"/>
    <x v="0"/>
  </r>
  <r>
    <x v="224"/>
    <s v="Cartão de Crédito Dr Ivanildo"/>
    <s v="POTENCIA FRIOS"/>
    <x v="11"/>
    <x v="1"/>
    <s v="BANCO ITAU"/>
    <s v="BANCO ITAU"/>
    <m/>
    <m/>
    <s v="Nathalia Louiz"/>
    <n v="-26.68"/>
    <s v="Saída"/>
    <x v="0"/>
  </r>
  <r>
    <x v="224"/>
    <s v="Banco do Brasil - Sarah Alves Lisboa"/>
    <s v="Anuidade 13x de 550"/>
    <x v="2"/>
    <x v="2"/>
    <s v="SEBASTIAO RIBEIRO NETO"/>
    <s v="SEBASTIAO RIBEIRO NETO"/>
    <m/>
    <s v="APOSENTADORIA POR TEMPO DE CONTRIBUIÇAO DA PESSOA COM DEFICIENCIA"/>
    <s v="Nathalia Louiz"/>
    <n v="557"/>
    <s v="Entrada"/>
    <x v="1"/>
  </r>
  <r>
    <x v="224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224"/>
    <s v="Cartão de Crédito Dr Ivanildo"/>
    <s v="Pagamento Cartão de Crédito Dr Ivanildo"/>
    <x v="6"/>
    <x v="1"/>
    <s v="BANCO ITAU"/>
    <s v="BANCO ITAU"/>
    <m/>
    <m/>
    <s v="Thaynara Borges"/>
    <n v="1504.82"/>
    <s v="Entrada"/>
    <x v="1"/>
  </r>
  <r>
    <x v="224"/>
    <s v="Itaú - Lisboa e Lisboa"/>
    <s v="Cestas e Panetones de parceiros"/>
    <x v="16"/>
    <x v="4"/>
    <s v="CASA CAFE"/>
    <s v="CASA CAFE"/>
    <m/>
    <m/>
    <s v="Nathalia Louiz"/>
    <n v="-2347.11"/>
    <s v="Saída"/>
    <x v="0"/>
  </r>
  <r>
    <x v="224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224"/>
    <s v="Cartão de Crédito Dr Ivanildo"/>
    <s v="ALMOÇO MENSAL DE METAS"/>
    <x v="11"/>
    <x v="1"/>
    <s v="BANCO ITAU"/>
    <s v="BANCO ITAU"/>
    <m/>
    <m/>
    <s v="Nathalia Louiz"/>
    <n v="-390.3"/>
    <s v="Saída"/>
    <x v="0"/>
  </r>
  <r>
    <x v="224"/>
    <s v="Cartão de Crédito Dr Ivanildo"/>
    <s v="Jusbrasil"/>
    <x v="12"/>
    <x v="1"/>
    <s v="BANCO ITAU"/>
    <s v="BANCO ITAU"/>
    <m/>
    <m/>
    <s v="Thaynara Borges"/>
    <n v="-58.9"/>
    <s v="Saída"/>
    <x v="0"/>
  </r>
  <r>
    <x v="224"/>
    <s v="Cartão de Crédito Dr Ivanildo"/>
    <s v="CANAÃ FRIOS"/>
    <x v="11"/>
    <x v="1"/>
    <s v="BANCO ITAÚ S/A"/>
    <s v="BANCO ITAÚ S/A"/>
    <m/>
    <m/>
    <s v="Nathalia Louiz"/>
    <n v="-26.73"/>
    <s v="Saída"/>
    <x v="0"/>
  </r>
  <r>
    <x v="224"/>
    <s v="Cartão de Crédito Dr Ivanildo"/>
    <s v="PAPELARIA BA"/>
    <x v="26"/>
    <x v="1"/>
    <s v="BANCO ITAU"/>
    <s v="BANCO ITAU"/>
    <m/>
    <m/>
    <s v="Nathalia Louiz"/>
    <n v="-21.9"/>
    <s v="Saída"/>
    <x v="0"/>
  </r>
  <r>
    <x v="224"/>
    <s v="Banco do Brasil - Sarah Alves Lisboa"/>
    <s v="30% Sob implantação"/>
    <x v="2"/>
    <x v="2"/>
    <s v="LUCIA ALVES DA SILVA"/>
    <s v="LUCIA ALVES DA SILVA"/>
    <m/>
    <s v="BENEFÍCIO POR INCAPACIDADE"/>
    <s v="Nathalia Louiz"/>
    <n v="759"/>
    <s v="Entrada"/>
    <x v="1"/>
  </r>
  <r>
    <x v="224"/>
    <s v="Cartão de Crédito Dr Ivanildo"/>
    <s v="Google One"/>
    <x v="12"/>
    <x v="1"/>
    <s v="BANCO ITAU"/>
    <s v="BANCO ITAU"/>
    <m/>
    <m/>
    <s v="Thaynara Borges"/>
    <n v="-49.99"/>
    <s v="Saída"/>
    <x v="0"/>
  </r>
  <r>
    <x v="224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225"/>
    <s v="Banco do Brasil - Sarah Alves Lisboa"/>
    <s v="Cartões de visita"/>
    <x v="28"/>
    <x v="4"/>
    <s v="ODORICO CANASSA BIANCHINI JUNIOR"/>
    <s v="ODORICO CANASSA BIANCHINI JUNIOR"/>
    <m/>
    <m/>
    <s v="Nathalia Louiz"/>
    <n v="-290"/>
    <s v="Saída"/>
    <x v="0"/>
  </r>
  <r>
    <x v="225"/>
    <s v="Itaú - Lisboa e Lisboa"/>
    <s v="Pagamento Cartão de Crédito Dr Ivanildo"/>
    <x v="6"/>
    <x v="1"/>
    <s v="BANCO ITAU"/>
    <s v="BANCO ITAU"/>
    <m/>
    <m/>
    <s v="Nathalia Louiz"/>
    <n v="-1504.82"/>
    <s v="Saída"/>
    <x v="0"/>
  </r>
  <r>
    <x v="225"/>
    <s v="Itaú - Lisboa e Lisboa"/>
    <s v="Taxa de Condomínio Vaga Garagem A-81"/>
    <x v="10"/>
    <x v="1"/>
    <s v="ATON BUSINESS STYLE"/>
    <s v="ATON BUSINESS STYLE"/>
    <m/>
    <m/>
    <s v="Thaynara Borges"/>
    <n v="-61.65"/>
    <s v="Saída"/>
    <x v="0"/>
  </r>
  <r>
    <x v="225"/>
    <s v="Itaú - Lisboa e Lisboa"/>
    <s v="Taxa de Condomínio Sala B-73"/>
    <x v="10"/>
    <x v="1"/>
    <s v="ATON BUSINESS STYLE"/>
    <s v="ATON BUSINESS STYLE"/>
    <m/>
    <m/>
    <s v="Thaynara Borges"/>
    <n v="-1291.57"/>
    <s v="Saída"/>
    <x v="0"/>
  </r>
  <r>
    <x v="225"/>
    <s v="Itaú - Lisboa e Lisboa"/>
    <s v="Taxa de Condomínio Vaga Garagem A-78"/>
    <x v="10"/>
    <x v="1"/>
    <s v="ATON BUSINESS STYLE"/>
    <s v="ATON BUSINESS STYLE"/>
    <m/>
    <m/>
    <s v="Thaynara Borges"/>
    <n v="-61.65"/>
    <s v="Saída"/>
    <x v="0"/>
  </r>
  <r>
    <x v="225"/>
    <s v="Itaú - Lisboa e Lisboa"/>
    <s v="Taxa de Condomínio Vaga Garagem A-88"/>
    <x v="10"/>
    <x v="1"/>
    <s v="ATON BUSINESS STYLE"/>
    <s v="ATON BUSINESS STYLE"/>
    <m/>
    <m/>
    <s v="Thaynara Borges"/>
    <n v="-61.65"/>
    <s v="Saída"/>
    <x v="0"/>
  </r>
  <r>
    <x v="225"/>
    <s v="Itaú - Lisboa e Lisboa"/>
    <s v="Taxa de Condomínio Vaga Garagem A-82"/>
    <x v="10"/>
    <x v="1"/>
    <s v="ATON BUSINESS STYLE"/>
    <s v="ATON BUSINESS STYLE"/>
    <m/>
    <m/>
    <s v="Thaynara Borges"/>
    <n v="-61.65"/>
    <s v="Saída"/>
    <x v="0"/>
  </r>
  <r>
    <x v="225"/>
    <s v="Itaú - Lisboa e Lisboa"/>
    <s v="Taxa de Condomínio Vaga Garagem A-83"/>
    <x v="10"/>
    <x v="1"/>
    <s v="ATON BUSINESS STYLE"/>
    <s v="ATON BUSINESS STYLE"/>
    <m/>
    <m/>
    <s v="Thaynara Borges"/>
    <n v="-61.65"/>
    <s v="Saída"/>
    <x v="0"/>
  </r>
  <r>
    <x v="225"/>
    <s v="Itaú - Lisboa e Lisboa"/>
    <s v="Taxa de Condomínio Sala B-74"/>
    <x v="10"/>
    <x v="1"/>
    <s v="ATON BUSINESS STYLE"/>
    <s v="ATON BUSINESS STYLE"/>
    <m/>
    <m/>
    <s v="Thaynara Borges"/>
    <n v="-1292.2"/>
    <s v="Saída"/>
    <x v="0"/>
  </r>
  <r>
    <x v="225"/>
    <s v="Banco do Brasil - Sarah Alves Lisboa"/>
    <s v="Honorários de Sucumbência"/>
    <x v="2"/>
    <x v="2"/>
    <s v="MARIA ISMENIA FURTADO SILVA"/>
    <s v="MARIA ISMENIA FURTADO SILVA"/>
    <m/>
    <s v="APOSENTADORIA"/>
    <s v="Nathalia Louiz"/>
    <n v="1824.25"/>
    <s v="Entrada"/>
    <x v="1"/>
  </r>
  <r>
    <x v="226"/>
    <s v="Itaú - Lisboa e Lisboa"/>
    <s v="Celular"/>
    <x v="8"/>
    <x v="1"/>
    <s v="VIVO"/>
    <s v="VIVO"/>
    <m/>
    <m/>
    <s v="Thaynara Borges"/>
    <n v="-137.37"/>
    <s v="Saída"/>
    <x v="0"/>
  </r>
  <r>
    <x v="226"/>
    <s v="Itaú - Lisboa e Lisboa"/>
    <s v="3 SALÁRIOS DE BENEFICIO (Entrada de 1000,00 + 6x de 492,33 no boleto)"/>
    <x v="2"/>
    <x v="2"/>
    <s v="Maura Cardoso Borges"/>
    <s v="Maura Cardoso Borges"/>
    <m/>
    <s v="APOSENTADORIA POR IDADE"/>
    <s v="Nathalia Louiz"/>
    <n v="489.47999999999996"/>
    <s v="Entrada"/>
    <x v="1"/>
  </r>
  <r>
    <x v="227"/>
    <s v="Banco do Brasil - Sarah Alves Lisboa"/>
    <s v="Peças avulsas"/>
    <x v="43"/>
    <x v="6"/>
    <s v="Dra Raffaela Nunes"/>
    <s v="Dra Raffaela Nunes"/>
    <m/>
    <m/>
    <s v="Nathalia Louiz"/>
    <n v="-400"/>
    <s v="Saída"/>
    <x v="0"/>
  </r>
  <r>
    <x v="227"/>
    <s v="Banco do Brasil - Sarah Alves Lisboa"/>
    <s v="Compras para viagem"/>
    <x v="5"/>
    <x v="4"/>
    <s v="Marcelo Pereira de"/>
    <s v="Marcelo Pereira de"/>
    <m/>
    <m/>
    <s v="Nathalia Louiz"/>
    <n v="-96"/>
    <s v="Saída"/>
    <x v="0"/>
  </r>
  <r>
    <x v="227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27"/>
    <s v="Banco do Brasil - Sarah Alves Lisboa"/>
    <s v="COMPRAS PARA VIAGEM"/>
    <x v="11"/>
    <x v="1"/>
    <s v="SUPERMERCADO MOREIRA"/>
    <s v="SUPERMERCADO MOREIRA"/>
    <m/>
    <m/>
    <s v="Nathalia Louiz"/>
    <n v="-271.07"/>
    <s v="Saída"/>
    <x v="0"/>
  </r>
  <r>
    <x v="227"/>
    <s v="Banco do Brasil - Sarah Alves Lisboa"/>
    <s v="Combustível - Viagem"/>
    <x v="27"/>
    <x v="4"/>
    <s v="POSTO SÃO ROQUE"/>
    <s v="POSTO SÃO ROQUE"/>
    <m/>
    <m/>
    <s v="Nathalia Louiz"/>
    <n v="-50.08"/>
    <s v="Saída"/>
    <x v="0"/>
  </r>
  <r>
    <x v="227"/>
    <s v="Banco do Brasil - Sarah Alves Lisboa"/>
    <s v="PEDÁGIO"/>
    <x v="5"/>
    <x v="4"/>
    <s v="CORUMBA CONCESSOES LTDA"/>
    <s v="CORUMBA CONCESSOES LTDA"/>
    <m/>
    <m/>
    <s v="Nathalia Louiz"/>
    <n v="-14.3"/>
    <s v="Saída"/>
    <x v="0"/>
  </r>
  <r>
    <x v="227"/>
    <s v="Banco do Brasil - Sarah Alves Lisboa"/>
    <s v="PEDÁGIO"/>
    <x v="5"/>
    <x v="4"/>
    <s v="CORUMBA CONCESSOES LTDA"/>
    <s v="CORUMBA CONCESSOES LTDA"/>
    <m/>
    <m/>
    <s v="Nathalia Louiz"/>
    <n v="-14.3"/>
    <s v="Saída"/>
    <x v="0"/>
  </r>
  <r>
    <x v="227"/>
    <s v="Banco do Brasil - Sarah Alves Lisboa"/>
    <s v="PEDÁGIO"/>
    <x v="5"/>
    <x v="4"/>
    <s v="CONCEBRA - PEDÁGIO"/>
    <s v="CONCEBRA - PEDÁGIO"/>
    <m/>
    <m/>
    <s v="Nathalia Louiz"/>
    <n v="-5.4"/>
    <s v="Saída"/>
    <x v="0"/>
  </r>
  <r>
    <x v="228"/>
    <s v="Cartão de Crédito Dra Sarah"/>
    <s v="LATAM (Premio Águia)"/>
    <x v="5"/>
    <x v="4"/>
    <s v="BANCO ITAU"/>
    <s v="BANCO ITAU"/>
    <m/>
    <m/>
    <s v="Nathalia Louiz"/>
    <n v="-242.06"/>
    <s v="Saída"/>
    <x v="0"/>
  </r>
  <r>
    <x v="228"/>
    <s v="Cartão de Crédito Dra Sarah"/>
    <s v="AG DE TURISMO"/>
    <x v="5"/>
    <x v="4"/>
    <s v="BANCO ITAU"/>
    <s v="BANCO ITAU"/>
    <m/>
    <m/>
    <s v="Nathalia Louiz"/>
    <n v="-271.8"/>
    <s v="Saída"/>
    <x v="0"/>
  </r>
  <r>
    <x v="228"/>
    <s v="Cartão de Crédito Dra Sarah"/>
    <s v="COMPRA MERCADO LIVRE"/>
    <x v="6"/>
    <x v="1"/>
    <s v="BANCO ITAU"/>
    <s v="BANCO ITAU"/>
    <m/>
    <m/>
    <s v="Nathalia Louiz"/>
    <n v="-224.99"/>
    <s v="Saída"/>
    <x v="0"/>
  </r>
  <r>
    <x v="228"/>
    <s v="Cartão de Crédito Dra Thaynara - Itaú"/>
    <s v="Cartão de Crédito Dra Thaynara - Itaú"/>
    <x v="46"/>
    <x v="12"/>
    <s v=""/>
    <s v=""/>
    <m/>
    <m/>
    <m/>
    <n v="0"/>
    <s v="Entrada"/>
    <x v="1"/>
  </r>
  <r>
    <x v="228"/>
    <s v="Cartão de Crédito Dra Sarah"/>
    <s v="Hotel"/>
    <x v="5"/>
    <x v="4"/>
    <s v="BANCO ITAU"/>
    <s v="BANCO ITAU"/>
    <m/>
    <m/>
    <s v="Nathalia Louiz"/>
    <n v="-319.32"/>
    <s v="Saída"/>
    <x v="0"/>
  </r>
  <r>
    <x v="228"/>
    <s v="Cartão de Crédito Dra Thaynara - Itaú"/>
    <s v="CANAÃ FRIOS"/>
    <x v="11"/>
    <x v="1"/>
    <s v="BANCO ITAU"/>
    <s v="BANCO ITAU"/>
    <m/>
    <m/>
    <s v="Nathalia Louiz"/>
    <n v="-18.87"/>
    <s v="Saída"/>
    <x v="0"/>
  </r>
  <r>
    <x v="228"/>
    <s v="Cartão de Crédito Dra Thaynara - Itaú"/>
    <s v="AMAZON BR - SITE"/>
    <x v="26"/>
    <x v="1"/>
    <s v="BANCO ITAU"/>
    <s v="BANCO ITAU"/>
    <m/>
    <m/>
    <s v="Nathalia Louiz"/>
    <n v="-85.87"/>
    <s v="Saída"/>
    <x v="0"/>
  </r>
  <r>
    <x v="228"/>
    <s v="Cartão de Crédito Dra Thaynara - Itaú"/>
    <s v="AMAZON BR - SITE"/>
    <x v="26"/>
    <x v="1"/>
    <s v="BANCO ITAU"/>
    <s v="BANCO ITAU"/>
    <m/>
    <m/>
    <s v="Nathalia Louiz"/>
    <n v="-53.71"/>
    <s v="Saída"/>
    <x v="0"/>
  </r>
  <r>
    <x v="228"/>
    <s v="Cartão de Crédito Dra Sarah"/>
    <s v="Cartão de crédito Dra Sarah"/>
    <x v="6"/>
    <x v="1"/>
    <s v="BANCO ITAU"/>
    <s v="BANCO ITAU"/>
    <m/>
    <m/>
    <s v="Nathalia Louiz"/>
    <n v="1594.32"/>
    <s v="Entrada"/>
    <x v="1"/>
  </r>
  <r>
    <x v="228"/>
    <s v="Cartão de Crédito Dra Thaynara - Itaú"/>
    <s v="Pagamento Cartão de Crédito Dra Thaynara - Itaú"/>
    <x v="6"/>
    <x v="1"/>
    <s v="BANCO ITAU"/>
    <s v="BANCO ITAU"/>
    <m/>
    <m/>
    <s v="Nathalia Louiz"/>
    <n v="272.38"/>
    <s v="Entrada"/>
    <x v="1"/>
  </r>
  <r>
    <x v="228"/>
    <s v="Cartão de Crédito Dra Thaynara - Itaú"/>
    <s v="KABUM KABUM"/>
    <x v="26"/>
    <x v="1"/>
    <s v="BANCO ITAU"/>
    <s v="BANCO ITAU"/>
    <m/>
    <m/>
    <s v="Nathalia Louiz"/>
    <n v="-94.04"/>
    <s v="Saída"/>
    <x v="0"/>
  </r>
  <r>
    <x v="228"/>
    <s v="Cartão de Crédito Dra Sarah"/>
    <s v="CONSULTORIA ESTRATEGIA"/>
    <x v="36"/>
    <x v="1"/>
    <s v="BANCO ITAU"/>
    <s v="BANCO ITAU"/>
    <m/>
    <m/>
    <s v="Nathalia Louiz"/>
    <n v="-300.05"/>
    <s v="Saída"/>
    <x v="0"/>
  </r>
  <r>
    <x v="228"/>
    <s v="Cartão de Crédito Dra Thaynara - Itaú"/>
    <s v="AMAZON BR - SITE"/>
    <x v="26"/>
    <x v="1"/>
    <s v="BANCO ITAU"/>
    <s v="BANCO ITAU"/>
    <m/>
    <m/>
    <s v="Nathalia Louiz"/>
    <n v="-19.89"/>
    <s v="Saída"/>
    <x v="0"/>
  </r>
  <r>
    <x v="228"/>
    <s v="Cartão de Crédito Dra Sarah"/>
    <s v="GOL (Premio Águia)"/>
    <x v="5"/>
    <x v="4"/>
    <s v="BANCO ITAU"/>
    <s v="BANCO ITAU"/>
    <m/>
    <m/>
    <s v="Nathalia Louiz"/>
    <n v="-236.1"/>
    <s v="Saída"/>
    <x v="0"/>
  </r>
  <r>
    <x v="229"/>
    <s v="Banco do Brasil - Sarah Alves Lisboa"/>
    <s v="Combustível - Viagem"/>
    <x v="27"/>
    <x v="4"/>
    <s v="POSTO 2824"/>
    <s v="POSTO 2824"/>
    <m/>
    <m/>
    <s v="Nathalia Louiz"/>
    <n v="-385.1"/>
    <s v="Saída"/>
    <x v="0"/>
  </r>
  <r>
    <x v="229"/>
    <s v="Banco do Brasil - Sarah Alves Lisboa"/>
    <s v="Repasse de comissão por reunião"/>
    <x v="29"/>
    <x v="7"/>
    <s v="GIOVANNA G RODRIGUES"/>
    <s v="GIOVANNA G RODRIGUES"/>
    <m/>
    <m/>
    <s v="Nathalia Louiz"/>
    <n v="-100"/>
    <s v="Saída"/>
    <x v="0"/>
  </r>
  <r>
    <x v="229"/>
    <s v="Itaú - Lisboa e Lisboa"/>
    <s v="CONTRATO 9621661899"/>
    <x v="8"/>
    <x v="1"/>
    <s v="VIVO FIXO"/>
    <s v="VIVO FIXO"/>
    <m/>
    <m/>
    <s v="Thaynara Borges"/>
    <n v="-260.58"/>
    <s v="Saída"/>
    <x v="0"/>
  </r>
  <r>
    <x v="229"/>
    <s v="Itaú - Lisboa e Lisboa"/>
    <s v="Pagamento Cartão de Crédito Dra Sarah Lisboa"/>
    <x v="6"/>
    <x v="1"/>
    <s v="BANCO ITAU"/>
    <s v="BANCO ITAU"/>
    <m/>
    <m/>
    <s v="Nathalia Louiz"/>
    <n v="-1594.32"/>
    <s v="Saída"/>
    <x v="0"/>
  </r>
  <r>
    <x v="229"/>
    <s v="Itaú - Lisboa e Lisboa"/>
    <s v="Marketing"/>
    <x v="45"/>
    <x v="1"/>
    <s v="ANNA CLARA JARDIM"/>
    <s v="ANNA CLARA JARDIM"/>
    <m/>
    <m/>
    <s v="Nathalia Louiz"/>
    <n v="-700"/>
    <s v="Saída"/>
    <x v="0"/>
  </r>
  <r>
    <x v="229"/>
    <s v="Itaú - Lisboa e Lisboa"/>
    <s v="R$ 4.554,00 em 9x - IMPLANTAÇÃO"/>
    <x v="2"/>
    <x v="2"/>
    <s v="ADERSON CARDOSO SANTANA"/>
    <s v="ADERSON CARDOSO SANTANA"/>
    <m/>
    <s v="PENSÃO POR MORTE"/>
    <s v="Nathalia Louiz"/>
    <n v="504.88"/>
    <s v="Entrada"/>
    <x v="2"/>
  </r>
  <r>
    <x v="229"/>
    <s v="Itaú - Lisboa e Lisboa"/>
    <s v="3 SALÁRIOS DE BENEFICIO (1000,00 + 5X 710,80)"/>
    <x v="2"/>
    <x v="2"/>
    <s v="ALDENY TELES DE OLIVEIRA NUNES"/>
    <s v="ALDENY TELES DE OLIVEIRA NUNES"/>
    <m/>
    <s v="APOSENTADORIA POR IDADE"/>
    <s v="Nathalia Louiz"/>
    <n v="707.94999999999993"/>
    <s v="Entrada"/>
    <x v="1"/>
  </r>
  <r>
    <x v="229"/>
    <s v="Itaú - Lisboa e Lisboa"/>
    <s v="30% SOB RPV"/>
    <x v="2"/>
    <x v="2"/>
    <s v="GENILDO JANUARIO LEITE"/>
    <s v="GENILDO JANUARIO LEITE"/>
    <m/>
    <s v="BENEFICIO POR INCAPACIDADE"/>
    <s v="Nathalia Louiz"/>
    <n v="3272.57"/>
    <s v="Entrada"/>
    <x v="1"/>
  </r>
  <r>
    <x v="229"/>
    <s v="Itaú - Lisboa e Lisboa"/>
    <s v="Pagamento cartão de crédito Dra Thaynara - Itaú"/>
    <x v="6"/>
    <x v="1"/>
    <s v="BANCO ITAU"/>
    <s v="BANCO ITAU"/>
    <m/>
    <m/>
    <s v="Nathalia Louiz"/>
    <n v="-272.38"/>
    <s v="Saída"/>
    <x v="0"/>
  </r>
  <r>
    <x v="229"/>
    <s v="Banco do Brasil - Sarah Alves Lisboa"/>
    <s v="Lanches de viagem"/>
    <x v="11"/>
    <x v="1"/>
    <s v="MAURICIO HENRIQUE MARTINS"/>
    <s v="MAURICIO HENRIQUE MARTINS"/>
    <m/>
    <m/>
    <s v="Nathalia Louiz"/>
    <n v="-18"/>
    <s v="Saída"/>
    <x v="0"/>
  </r>
  <r>
    <x v="229"/>
    <s v="Itaú - Lisboa e Lisboa"/>
    <s v="PAGAMENTO DE HONORÁRIOS"/>
    <x v="2"/>
    <x v="2"/>
    <s v="VALDIR DE PAIVA BRASIL"/>
    <s v="VALDIR DE PAIVA BRASIL"/>
    <m/>
    <s v="PENSÃO POR MORTE"/>
    <s v="Nathalia Louiz"/>
    <n v="300"/>
    <s v="Entrada"/>
    <x v="2"/>
  </r>
  <r>
    <x v="229"/>
    <s v="Banco do Brasil - Sarah Alves Lisboa"/>
    <s v="Honorários (3x1500,00) 50% DR GUSTAVO"/>
    <x v="2"/>
    <x v="2"/>
    <s v="ELISEU FRADIQUE MARÇAL"/>
    <s v="ELISEU FRADIQUE MARÇAL"/>
    <m/>
    <s v="RECISÃO DE CONTRATO"/>
    <s v="Nathalia Louiz"/>
    <n v="1500"/>
    <s v="Entrada"/>
    <x v="1"/>
  </r>
  <r>
    <x v="229"/>
    <s v="Itaú - Lisboa e Lisboa"/>
    <s v="40% sob RPV"/>
    <x v="2"/>
    <x v="2"/>
    <s v="IVANESSA ADRIANA SILVA DE SOUSA"/>
    <s v="IVANESSA ADRIANA SILVA DE SOUSA"/>
    <m/>
    <s v="SALÁRIO MATERNIDADE"/>
    <s v="Nathalia Louiz"/>
    <n v="2693.78"/>
    <s v="Entrada"/>
    <x v="1"/>
  </r>
  <r>
    <x v="229"/>
    <s v="Banco do Brasil - Sarah Alves Lisboa"/>
    <s v="Tarifa Bancária"/>
    <x v="4"/>
    <x v="3"/>
    <s v="BANCO DO BRASIL S/A"/>
    <s v="BANCO DO BRASIL S/A"/>
    <m/>
    <m/>
    <s v="Thaynara Borges"/>
    <n v="-15.9"/>
    <s v="Saída"/>
    <x v="0"/>
  </r>
  <r>
    <x v="229"/>
    <s v="Itaú - Lisboa e Lisboa"/>
    <s v="30% sob RPV"/>
    <x v="2"/>
    <x v="2"/>
    <s v="MARCOS HENRIQUE SILVA SANTOS"/>
    <s v="MARCOS HENRIQUE SILVA SANTOS"/>
    <m/>
    <s v="BENEFÍCIO POR INCAPACIDADE"/>
    <s v="Nathalia Louiz"/>
    <n v="1396.26"/>
    <s v="Entrada"/>
    <x v="1"/>
  </r>
  <r>
    <x v="230"/>
    <s v="Banco do Brasil - Sarah Alves Lisboa"/>
    <s v="40% SOB IMPLANTAÇÃO"/>
    <x v="2"/>
    <x v="2"/>
    <s v="WELLINGTON FERREIRA DE ALMEIDA"/>
    <s v="WELLINGTON FERREIRA DE ALMEIDA"/>
    <m/>
    <s v="AUXILIO DOENÇA"/>
    <s v="Nathalia Louiz"/>
    <n v="1214.4000000000001"/>
    <s v="Entrada"/>
    <x v="1"/>
  </r>
  <r>
    <x v="230"/>
    <s v="Banco do Brasil - Sarah Alves Lisboa"/>
    <s v="30% sob implantação"/>
    <x v="2"/>
    <x v="2"/>
    <s v="JOEL ANDRADE FERREIRA"/>
    <s v="JOEL ANDRADE FERREIRA"/>
    <m/>
    <s v="APOSENTADORIA POR IDADE"/>
    <s v="Nathalia Louiz"/>
    <n v="953.1"/>
    <s v="Entrada"/>
    <x v="1"/>
  </r>
  <r>
    <x v="230"/>
    <s v="Itaú - Lisboa e Lisboa"/>
    <s v="30% + 20% honorários"/>
    <x v="2"/>
    <x v="2"/>
    <s v="MARIA APARECIDA QUEIROZ BARROS MONTEIRO"/>
    <s v="MARIA APARECIDA QUEIROZ BARROS MONTEIRO"/>
    <m/>
    <s v="AUXILIO DOENÇA"/>
    <s v="Nathalia Louiz"/>
    <n v="11079.36"/>
    <s v="Entrada"/>
    <x v="1"/>
  </r>
  <r>
    <x v="230"/>
    <s v="Itaú - Lisboa e Lisboa"/>
    <s v="40% SOB RPV"/>
    <x v="2"/>
    <x v="2"/>
    <s v="ADILSON GOMES GUIMARAES"/>
    <s v="ADILSON GOMES GUIMARAES"/>
    <m/>
    <s v="BENEFICIO POR INCAPACIDADE"/>
    <s v="Nathalia Louiz"/>
    <n v="16656.64"/>
    <s v="Entrada"/>
    <x v="1"/>
  </r>
  <r>
    <x v="230"/>
    <s v="Itaú - Lisboa e Lisboa"/>
    <s v="30  % Sob recebimento de RPV + Anuidade"/>
    <x v="2"/>
    <x v="2"/>
    <s v="SIRLEY PAULINO DE LIMA"/>
    <s v="SIRLEY PAULINO DE LIMA"/>
    <m/>
    <s v="APOSENTADORIA RURAL"/>
    <s v="Nathalia Louiz"/>
    <n v="8538.6200000000008"/>
    <s v="Entrada"/>
    <x v="1"/>
  </r>
  <r>
    <x v="231"/>
    <s v="Itaú - Lisboa e Lisboa"/>
    <s v="3 SALÁRIOS DE BENEFICIOS (R$ 8.269,50 em 8 vezes)"/>
    <x v="2"/>
    <x v="2"/>
    <s v="COSME DOS SANTOS VAZ"/>
    <s v="COSME DOS SANTOS VAZ"/>
    <m/>
    <s v="APOSENTADORIA POR TEMPO DE CONTRIBUIÇÃO"/>
    <s v="Nathalia Louiz"/>
    <n v="1030.8400000000001"/>
    <s v="Entrada"/>
    <x v="1"/>
  </r>
  <r>
    <x v="231"/>
    <s v="Banco do Brasil - Sarah Alves Lisboa"/>
    <s v="Adiantamento para procuração em cartório"/>
    <x v="7"/>
    <x v="5"/>
    <s v="JACINTO ALVES FALCÃO"/>
    <s v="JACINTO ALVES FALCÃO"/>
    <m/>
    <s v="AMPARO AO IDOSO"/>
    <s v="Nathalia Louiz"/>
    <n v="-110.98"/>
    <s v="Saída"/>
    <x v="0"/>
  </r>
  <r>
    <x v="231"/>
    <s v="Banco do Brasil - Sarah Alves Lisboa"/>
    <s v="Comissão por indicação"/>
    <x v="29"/>
    <x v="7"/>
    <s v="BRENNO VICTOR CASSIMIRO"/>
    <s v="BRENNO VICTOR CASSIMIRO"/>
    <m/>
    <m/>
    <s v="Nathalia Louiz"/>
    <n v="-100"/>
    <s v="Saída"/>
    <x v="0"/>
  </r>
  <r>
    <x v="231"/>
    <s v="Itaú - Lisboa e Lisboa"/>
    <s v="SUPRIMENTOS PARA ESCRITÓRIO"/>
    <x v="26"/>
    <x v="1"/>
    <s v="R3 SUPRIMENTOS CORPORATIVOS LTDA"/>
    <s v="R3 SUPRIMENTOS CORPORATIVOS LTDA"/>
    <m/>
    <m/>
    <s v="Nathalia Louiz"/>
    <n v="-384.5"/>
    <s v="Saída"/>
    <x v="0"/>
  </r>
  <r>
    <x v="231"/>
    <s v="Itaú - Lisboa e Lisboa"/>
    <s v="Transferência de honorários da cliente SIRLEY PAULINO (NFE)"/>
    <x v="41"/>
    <x v="11"/>
    <s v="Itaú - Lisboa e Lisboa"/>
    <s v="Itaú - Lisboa e Lisboa"/>
    <m/>
    <m/>
    <s v="Nathalia Louiz"/>
    <n v="910.8"/>
    <s v="Entrada"/>
    <x v="1"/>
  </r>
  <r>
    <x v="231"/>
    <s v="Banco do Brasil - Sarah Alves Lisboa"/>
    <s v="Gratificação por reuniões"/>
    <x v="29"/>
    <x v="7"/>
    <s v="Maria Lourdes Feitosa do Nascimento"/>
    <s v="Maria Lourdes Feitosa do Nascimento"/>
    <m/>
    <m/>
    <s v="Nathalia Louiz"/>
    <n v="-1500"/>
    <s v="Saída"/>
    <x v="0"/>
  </r>
  <r>
    <x v="231"/>
    <s v="Banco do Brasil - Sarah Alves Lisboa"/>
    <s v="Pagamento de 50% DR SILVIO/GUSTAVO"/>
    <x v="29"/>
    <x v="7"/>
    <s v="ELISEU FRADIQUE MARÇAL"/>
    <s v="ELISEU FRADIQUE MARÇAL"/>
    <m/>
    <s v="RECISÃO DE CONTRATO"/>
    <s v="Nathalia Louiz"/>
    <n v="-750"/>
    <s v="Saída"/>
    <x v="0"/>
  </r>
  <r>
    <x v="231"/>
    <s v="Itaú - Lisboa e Lisboa"/>
    <s v="CESTAS E PRESENTES PARA DOAÇÃO"/>
    <x v="16"/>
    <x v="4"/>
    <s v="THIAGO SILVA AGUIAR"/>
    <s v="THIAGO SILVA AGUIAR"/>
    <m/>
    <m/>
    <s v="Nathalia Louiz"/>
    <n v="-3992"/>
    <s v="Saída"/>
    <x v="0"/>
  </r>
  <r>
    <x v="231"/>
    <s v="Itaú - Lisboa e Lisboa"/>
    <s v="Custas finais do processo"/>
    <x v="7"/>
    <x v="5"/>
    <s v="GERALDINA CANDIDA DA SILVA"/>
    <s v="GERALDINA CANDIDA DA SILVA"/>
    <m/>
    <s v="INEXIGIBILIDADE DE DÉBITO C/C REPETIÇÃO DE INDÉBITO C/C DANOS MORAIS"/>
    <s v="Nathalia Louiz"/>
    <n v="-1674.43"/>
    <s v="Saída"/>
    <x v="0"/>
  </r>
  <r>
    <x v="231"/>
    <s v="Banco do Brasil - Sarah Alves Lisboa"/>
    <s v="PARCEIRIA DR SILVIO - Honorários de parceria caso VALENTINA SOUSA FONSECA"/>
    <x v="2"/>
    <x v="2"/>
    <s v="VALENTINA SOUSA FONSECA"/>
    <s v="VALENTINA SOUSA FONSECA"/>
    <m/>
    <s v="SOLICITAR PAGAMENTOS NÃO RECEBIDOS"/>
    <s v="Nathalia Louiz"/>
    <n v="168"/>
    <s v="Entrada"/>
    <x v="1"/>
  </r>
  <r>
    <x v="231"/>
    <s v="Banco do Brasil - Sarah Alves Lisboa"/>
    <s v="Mantimentos para escritório"/>
    <x v="11"/>
    <x v="1"/>
    <s v="ASSAI ATACADISTA"/>
    <s v="ASSAI ATACADISTA"/>
    <m/>
    <m/>
    <s v="Nathalia Louiz"/>
    <n v="-63.85"/>
    <s v="Saída"/>
    <x v="0"/>
  </r>
  <r>
    <x v="231"/>
    <s v="Banco do Brasil - Sarah Alves Lisboa"/>
    <s v="Transferência de honorários da cliente SIRLEY PAULINO (NFE)"/>
    <x v="41"/>
    <x v="11"/>
    <s v="Banco do Brasil - Sarah Alves Lisboa"/>
    <s v="Banco do Brasil - Sarah Alves Lisboa"/>
    <m/>
    <m/>
    <s v="Nathalia Louiz"/>
    <n v="-910.8"/>
    <s v="Saída"/>
    <x v="0"/>
  </r>
  <r>
    <x v="232"/>
    <s v="Banco do Brasil - Sarah Alves Lisboa"/>
    <s v="Mantimentos para escritório"/>
    <x v="11"/>
    <x v="1"/>
    <s v="SUPERMERCADO MOREIRA"/>
    <s v="SUPERMERCADO MOREIRA"/>
    <m/>
    <m/>
    <s v="Nathalia Louiz"/>
    <n v="-23.65"/>
    <s v="Saída"/>
    <x v="0"/>
  </r>
  <r>
    <x v="233"/>
    <s v="Banco do Brasil - Sarah Alves Lisboa"/>
    <s v="Pagamento de uber"/>
    <x v="7"/>
    <x v="5"/>
    <s v="SILMARA ALVES ROSA"/>
    <s v="SILMARA ALVES ROSA"/>
    <m/>
    <s v="BENEFÍCIO POR INCAPACIDADE"/>
    <s v="Nathalia Louiz"/>
    <n v="-17.18"/>
    <s v="Saída"/>
    <x v="0"/>
  </r>
  <r>
    <x v="233"/>
    <s v="Banco do Brasil - Sarah Alves Lisboa"/>
    <s v="Pagamento de Uber para comparecimento de INSS"/>
    <x v="7"/>
    <x v="5"/>
    <s v="SILMARA ALVES ROSA"/>
    <s v="SILMARA ALVES ROSA"/>
    <m/>
    <s v="BENEFÍCIO POR INCAPACIDADE"/>
    <s v="Nathalia Louiz"/>
    <n v="-13.98"/>
    <s v="Saída"/>
    <x v="0"/>
  </r>
  <r>
    <x v="233"/>
    <s v="Itaú - Lisboa e Lisboa"/>
    <s v="Anuidade R$ 8.967,07 (2.000 + 12x R$580,59)"/>
    <x v="2"/>
    <x v="2"/>
    <s v="ISAEL MARCULINO DOS SANTOS"/>
    <s v="ISAEL MARCULINO DOS SANTOS"/>
    <m/>
    <s v="APOSENTADORIA POR TEMPO DE CONTRIBUIÇAO/ PORTADOR DE NECESSIDADES ESPECIAIS"/>
    <s v="Nathalia Louiz"/>
    <n v="589.54"/>
    <s v="Entrada"/>
    <x v="1"/>
  </r>
  <r>
    <x v="233"/>
    <s v="Banco do Brasil - Sarah Alves Lisboa"/>
    <s v="Peças a vulsas"/>
    <x v="29"/>
    <x v="7"/>
    <s v="Dra Raffaela Nunes"/>
    <s v="Dra Raffaela Nunes"/>
    <m/>
    <m/>
    <s v="Nathalia Louiz"/>
    <n v="-600"/>
    <s v="Saída"/>
    <x v="0"/>
  </r>
  <r>
    <x v="233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33"/>
    <s v="Itaú - Lisboa e Lisboa"/>
    <s v="R$ 10.410,60 (ENTRADA DE 5.000,00 + 3X DE 1.803,53)"/>
    <x v="2"/>
    <x v="2"/>
    <s v="FRANCISCO DO NASCIMENTO"/>
    <s v="FRANCISCO DO NASCIMENTO"/>
    <m/>
    <s v="APOSENTADORIA POR TEMPO DE CONTRIBUIÇÃO"/>
    <s v="Nathalia Louiz"/>
    <n v="1800.68"/>
    <s v="Entrada"/>
    <x v="1"/>
  </r>
  <r>
    <x v="233"/>
    <s v="Banco do Brasil - Sarah Alves Lisboa"/>
    <s v="Parceria com Dr (Consultas e Laudos)"/>
    <x v="29"/>
    <x v="7"/>
    <s v="RODOLFO CARVALHO CUNHA"/>
    <s v="RODOLFO CARVALHO CUNHA"/>
    <m/>
    <m/>
    <s v="Nathalia Louiz"/>
    <n v="-400"/>
    <s v="Saída"/>
    <x v="0"/>
  </r>
  <r>
    <x v="233"/>
    <s v="Banco do Brasil - Sarah Alves Lisboa"/>
    <s v="Comissão por indicação"/>
    <x v="29"/>
    <x v="7"/>
    <s v="MARIA NIELIA EVANGELISTA GOMES"/>
    <s v="MARIA NIELIA EVANGELISTA GOMES"/>
    <m/>
    <m/>
    <s v="Nathalia Louiz"/>
    <n v="-100"/>
    <s v="Saída"/>
    <x v="0"/>
  </r>
  <r>
    <x v="234"/>
    <s v="Cartão de Crédito Dra Thaynara - C6"/>
    <s v="CHAT GPT"/>
    <x v="12"/>
    <x v="1"/>
    <s v="C6"/>
    <s v="C6"/>
    <m/>
    <m/>
    <s v="Nathalia Louiz"/>
    <n v="-117.14"/>
    <s v="Saída"/>
    <x v="0"/>
  </r>
  <r>
    <x v="234"/>
    <s v="Cartão de Crédito Dra Thaynara - C6"/>
    <s v="BIGLAR - PORTA RETRATOS"/>
    <x v="26"/>
    <x v="1"/>
    <s v="C6"/>
    <s v="C6"/>
    <m/>
    <m/>
    <s v="Nathalia Louiz"/>
    <n v="-59.97"/>
    <s v="Saída"/>
    <x v="0"/>
  </r>
  <r>
    <x v="234"/>
    <s v="Cartão de Crédito Dra Thaynara - C6"/>
    <s v="ASTREA"/>
    <x v="12"/>
    <x v="1"/>
    <s v="C6"/>
    <s v="C6"/>
    <m/>
    <m/>
    <s v="Thaynara Borges"/>
    <n v="-653.29999999999995"/>
    <s v="Saída"/>
    <x v="0"/>
  </r>
  <r>
    <x v="234"/>
    <s v="Cartão de Crédito Dra Thaynara - C6"/>
    <s v="GOOGLE ONE"/>
    <x v="12"/>
    <x v="1"/>
    <s v="C6"/>
    <s v="C6"/>
    <m/>
    <m/>
    <s v="Nathalia Louiz"/>
    <n v="-4.5"/>
    <s v="Saída"/>
    <x v="0"/>
  </r>
  <r>
    <x v="234"/>
    <s v="Cartão de Crédito Dra Thaynara - C6"/>
    <s v="CALCULO JURIDICO"/>
    <x v="12"/>
    <x v="1"/>
    <s v="C6"/>
    <s v="C6"/>
    <m/>
    <m/>
    <s v="Nathalia Louiz"/>
    <n v="-118.3"/>
    <s v="Saída"/>
    <x v="0"/>
  </r>
  <r>
    <x v="234"/>
    <s v="Cartão de Crédito Dra Thaynara - C6"/>
    <s v="Pagamento Cartão de Crédito Dra Thaynara"/>
    <x v="6"/>
    <x v="1"/>
    <s v="C6"/>
    <s v="C6"/>
    <m/>
    <m/>
    <s v="Nathalia Louiz"/>
    <n v="1311.6"/>
    <s v="Entrada"/>
    <x v="1"/>
  </r>
  <r>
    <x v="234"/>
    <s v="Cartão de Crédito Dra Thaynara - C6"/>
    <s v="GOOGLE ONE"/>
    <x v="12"/>
    <x v="1"/>
    <s v="C6"/>
    <s v="C6"/>
    <m/>
    <m/>
    <s v="Nathalia Louiz"/>
    <n v="-14.99"/>
    <s v="Saída"/>
    <x v="0"/>
  </r>
  <r>
    <x v="234"/>
    <s v="Cartão de Crédito Dra Thaynara - C6"/>
    <s v="GOOGLE WHATSAPP BUSINESS"/>
    <x v="12"/>
    <x v="1"/>
    <s v="C6"/>
    <s v="C6"/>
    <m/>
    <m/>
    <s v="Nathalia Louiz"/>
    <n v="-109.9"/>
    <s v="Saída"/>
    <x v="0"/>
  </r>
  <r>
    <x v="234"/>
    <s v="Cartão de Crédito Dra Thaynara - C6"/>
    <s v="POS THAYNARA"/>
    <x v="34"/>
    <x v="6"/>
    <s v="C6"/>
    <s v="C6"/>
    <m/>
    <m/>
    <s v="Nathalia Louiz"/>
    <n v="-229"/>
    <s v="Saída"/>
    <x v="0"/>
  </r>
  <r>
    <x v="234"/>
    <s v="Cartão de Crédito Dra Thaynara - C6"/>
    <s v="GOOGLE ONE"/>
    <x v="12"/>
    <x v="1"/>
    <s v="C6"/>
    <s v="C6"/>
    <m/>
    <m/>
    <s v="Nathalia Louiz"/>
    <n v="-4.5"/>
    <s v="Saída"/>
    <x v="0"/>
  </r>
  <r>
    <x v="235"/>
    <s v="Banco do Brasil - Sarah Alves Lisboa"/>
    <s v="Cartão de Crédito Dra Thaynara"/>
    <x v="6"/>
    <x v="1"/>
    <s v="C6"/>
    <s v="C6"/>
    <m/>
    <m/>
    <s v="Thaynara Borges"/>
    <n v="-1311.6"/>
    <s v="Saída"/>
    <x v="0"/>
  </r>
  <r>
    <x v="235"/>
    <s v="Banco do Brasil - Sarah Alves Lisboa"/>
    <s v="Mantimentos para escritório"/>
    <x v="11"/>
    <x v="1"/>
    <s v="ASSAI ATACADISTA"/>
    <s v="ASSAI ATACADISTA"/>
    <m/>
    <m/>
    <s v="Nathalia Louiz"/>
    <n v="-95.64"/>
    <s v="Saída"/>
    <x v="0"/>
  </r>
  <r>
    <x v="236"/>
    <s v="Itaú - Lisboa e Lisboa"/>
    <s v="Simples Nacional"/>
    <x v="20"/>
    <x v="7"/>
    <s v="Simples Nacional"/>
    <s v="Simples Nacional"/>
    <m/>
    <m/>
    <s v="Thaynara Borges"/>
    <n v="-13727.09"/>
    <s v="Saída"/>
    <x v="0"/>
  </r>
  <r>
    <x v="236"/>
    <s v="Itaú - Lisboa e Lisboa"/>
    <s v="AÇÃO SOCIAL"/>
    <x v="16"/>
    <x v="4"/>
    <s v="CAPPTA"/>
    <s v="CAPPTA"/>
    <m/>
    <m/>
    <s v="Nathalia Louiz"/>
    <n v="-450"/>
    <s v="Saída"/>
    <x v="0"/>
  </r>
  <r>
    <x v="236"/>
    <s v="Itaú - Lisboa e Lisboa"/>
    <s v="INSS"/>
    <x v="19"/>
    <x v="6"/>
    <s v="RECEITA FEDERAL"/>
    <s v="RECEITA FEDERAL"/>
    <m/>
    <m/>
    <s v="Thaynara Borges"/>
    <n v="-3959.05"/>
    <s v="Saída"/>
    <x v="0"/>
  </r>
  <r>
    <x v="236"/>
    <s v="Banco do Brasil - Sarah Alves Lisboa"/>
    <s v="LIMPEZA"/>
    <x v="9"/>
    <x v="1"/>
    <s v="ELIZANGELA FERREIRA DA SILVA"/>
    <s v="ELIZANGELA FERREIRA DA SILVA"/>
    <m/>
    <m/>
    <s v="Nathalia Louiz"/>
    <n v="-170"/>
    <s v="Saída"/>
    <x v="0"/>
  </r>
  <r>
    <x v="236"/>
    <s v="Banco do Brasil - Sarah Alves Lisboa"/>
    <s v="30% sob implantação"/>
    <x v="2"/>
    <x v="2"/>
    <s v="DOMINGOS DA TRINDADE SILVA"/>
    <s v="DOMINGOS DA TRINDADE SILVA"/>
    <m/>
    <s v="BENEFÍCIO POR INCAPACIDADE"/>
    <s v="Nathalia Louiz"/>
    <n v="1177.79"/>
    <s v="Entrada"/>
    <x v="1"/>
  </r>
  <r>
    <x v="236"/>
    <s v="Itaú - Lisboa e Lisboa"/>
    <s v="30% sob RPV"/>
    <x v="2"/>
    <x v="2"/>
    <s v="JOSE BATISTA DE ANDRADE"/>
    <s v="JOSE BATISTA DE ANDRADE"/>
    <m/>
    <s v="AUXILIO ACIDENTE"/>
    <s v="Nathalia Louiz"/>
    <n v="27682.06"/>
    <s v="Entrada"/>
    <x v="1"/>
  </r>
  <r>
    <x v="236"/>
    <s v="Itaú - Lisboa e Lisboa"/>
    <s v="100% sob recebimento de sucumbência"/>
    <x v="2"/>
    <x v="2"/>
    <s v="JOSE BATISTA DE ANDRADE"/>
    <s v="JOSE BATISTA DE ANDRADE"/>
    <m/>
    <s v="AUXILIO ACIDENTE"/>
    <s v="Nathalia Louiz"/>
    <n v="10257.68"/>
    <s v="Entrada"/>
    <x v="1"/>
  </r>
  <r>
    <x v="236"/>
    <s v="Itaú - Lisboa e Lisboa"/>
    <s v="FGTS"/>
    <x v="18"/>
    <x v="6"/>
    <s v="FGTS"/>
    <s v="FGTS"/>
    <m/>
    <m/>
    <s v="Thaynara Borges"/>
    <n v="-997.52"/>
    <s v="Saída"/>
    <x v="0"/>
  </r>
  <r>
    <x v="236"/>
    <s v="Banco do Brasil - Sarah Alves Lisboa"/>
    <s v="Comissões de indicações"/>
    <x v="29"/>
    <x v="7"/>
    <s v="GEZIEL SANTOS"/>
    <s v="GEZIEL SANTOS"/>
    <m/>
    <m/>
    <s v="Nathalia Louiz"/>
    <n v="-595"/>
    <s v="Saída"/>
    <x v="0"/>
  </r>
  <r>
    <x v="237"/>
    <s v="Itaú - Lisboa e Lisboa"/>
    <s v="Água"/>
    <x v="17"/>
    <x v="1"/>
    <s v="SANEAGO GOIAS S/A"/>
    <s v="SANEAGO GOIAS S/A"/>
    <m/>
    <m/>
    <s v="Thaynara Borges"/>
    <n v="-179.27"/>
    <s v="Saída"/>
    <x v="0"/>
  </r>
  <r>
    <x v="237"/>
    <s v="Itaú - Lisboa e Lisboa"/>
    <s v="IPTU - SALA B74"/>
    <x v="30"/>
    <x v="1"/>
    <s v="PREFEITURA MUNICIPAL DE GOIÂNIA"/>
    <s v="PREFEITURA MUNICIPAL DE GOIÂNIA"/>
    <m/>
    <m/>
    <s v="Nathalia Louiz"/>
    <n v="-125.52"/>
    <s v="Saída"/>
    <x v="0"/>
  </r>
  <r>
    <x v="237"/>
    <s v="Banco do Brasil - Sarah Alves Lisboa"/>
    <s v="Combustível viagem"/>
    <x v="27"/>
    <x v="4"/>
    <s v="POSTO SHUKRAN"/>
    <s v="POSTO SHUKRAN"/>
    <m/>
    <m/>
    <s v="Nathalia Louiz"/>
    <n v="-100"/>
    <s v="Saída"/>
    <x v="0"/>
  </r>
  <r>
    <x v="238"/>
    <s v="Banco do Brasil - Sarah Alves Lisboa"/>
    <s v="Honorários de implantação (655,4 em 2x)"/>
    <x v="2"/>
    <x v="2"/>
    <s v="JALES ROBERTO MANSE"/>
    <s v="JALES ROBERTO MANSE"/>
    <m/>
    <s v="JALES ROBERTO MANSE x INSS"/>
    <s v="Nathalia Louiz"/>
    <n v="327.7"/>
    <s v="Entrada"/>
    <x v="1"/>
  </r>
  <r>
    <x v="238"/>
    <s v="Banco do Brasil - Sarah Alves Lisboa"/>
    <s v="Comissão para Vanessa"/>
    <x v="29"/>
    <x v="7"/>
    <s v="MARIA ISMENIA FURTADO SILVA"/>
    <s v="MARIA ISMENIA FURTADO SILVA"/>
    <m/>
    <s v="APOSENTADORIA"/>
    <s v="Thaynara Borges"/>
    <n v="-1276.97"/>
    <s v="Saída"/>
    <x v="0"/>
  </r>
  <r>
    <x v="238"/>
    <s v="Banco do Brasil - Sarah Alves Lisboa"/>
    <s v="Peças avulsas"/>
    <x v="43"/>
    <x v="6"/>
    <s v="Dra Raffaela Nunes"/>
    <s v="Dra Raffaela Nunes"/>
    <m/>
    <m/>
    <s v="Nathalia Louiz"/>
    <n v="-800"/>
    <s v="Saída"/>
    <x v="0"/>
  </r>
  <r>
    <x v="238"/>
    <s v="Banco do Brasil - Sarah Alves Lisboa"/>
    <s v="1.000,00 no pix e R$ 3.000,00 em 12 vezes no boleto"/>
    <x v="2"/>
    <x v="2"/>
    <s v="ANGELA FULGENCIA DOS SANTOS"/>
    <s v="ANGELA FULGENCIA DOS SANTOS"/>
    <m/>
    <s v="PENSÃO POR MORTE"/>
    <s v="Nathalia Louiz"/>
    <n v="1000"/>
    <s v="Entrada"/>
    <x v="1"/>
  </r>
  <r>
    <x v="239"/>
    <s v="Itaú - Lisboa e Lisboa"/>
    <s v="Prêmio São Paulo"/>
    <x v="33"/>
    <x v="4"/>
    <s v="INQS - Instituto Nacional da Qualidade Social"/>
    <s v="INQS - Instituto Nacional da Qualidade Social"/>
    <m/>
    <m/>
    <s v="Nathalia Louiz"/>
    <n v="-925"/>
    <s v="Saída"/>
    <x v="0"/>
  </r>
  <r>
    <x v="239"/>
    <s v="Itaú - Lisboa e Lisboa"/>
    <s v="Comissão à Vanessa sobre honorários contratuais"/>
    <x v="29"/>
    <x v="7"/>
    <s v="JOSE BATISTA DE ANDRADE"/>
    <s v="JOSE BATISTA DE ANDRADE"/>
    <m/>
    <s v="AUXILIO ACIDENTE"/>
    <s v="Thaynara Borges"/>
    <n v="-13300.24"/>
    <s v="Saída"/>
    <x v="0"/>
  </r>
  <r>
    <x v="239"/>
    <s v="Itaú - Lisboa e Lisboa"/>
    <s v="Comissao a Giuliano sobre honorário contratual"/>
    <x v="29"/>
    <x v="7"/>
    <s v="JOSE BATISTA DE ANDRADE"/>
    <s v="JOSE BATISTA DE ANDRADE"/>
    <m/>
    <s v="AUXILIO ACIDENTE"/>
    <s v="Thaynara Borges"/>
    <n v="-5675.42"/>
    <s v="Saída"/>
    <x v="0"/>
  </r>
  <r>
    <x v="239"/>
    <s v="Itaú - Lisboa e Lisboa"/>
    <s v="Comissão à Vanessa sobre honorários de sucumbência"/>
    <x v="29"/>
    <x v="7"/>
    <s v="JOSE BATISTA DE ANDRADE"/>
    <s v="JOSE BATISTA DE ANDRADE"/>
    <m/>
    <s v="AUXILIO ACIDENTE"/>
    <s v="Thaynara Borges"/>
    <n v="-4928.4399999999996"/>
    <s v="Saída"/>
    <x v="0"/>
  </r>
  <r>
    <x v="239"/>
    <s v="Itaú - Lisboa e Lisboa"/>
    <s v="Comissão ao Giuliano sobre honorário de sucumbencia"/>
    <x v="29"/>
    <x v="7"/>
    <s v="JOSE BATISTA DE ANDRADE"/>
    <s v="JOSE BATISTA DE ANDRADE"/>
    <m/>
    <s v="AUXILIO ACIDENTE"/>
    <s v="Thaynara Borges"/>
    <n v="-2103.04"/>
    <s v="Saída"/>
    <x v="0"/>
  </r>
  <r>
    <x v="240"/>
    <s v="Itaú - Lisboa e Lisboa"/>
    <s v="Pagamento de benefícios: SAMARA ALMEIDA BOGEA (300,00) - MARIA EDUARDA DE SOUZA (300,00) - GIOVANNA VICTORIA GOMES RODRIGUES (300,00) - NINA ARAUJO (300,00) + Taxas da VALUU (2,50)"/>
    <x v="37"/>
    <x v="6"/>
    <s v="NAAMA MENDES JUNIOR - VALUU"/>
    <s v="NAAMA MENDES JUNIOR - VALUU"/>
    <m/>
    <m/>
    <s v="Nathalia Louiz"/>
    <n v="-1202.5"/>
    <s v="Saída"/>
    <x v="0"/>
  </r>
  <r>
    <x v="240"/>
    <s v="Itaú - Lisboa e Lisboa"/>
    <s v="Recarga de Cartão"/>
    <x v="37"/>
    <x v="6"/>
    <s v="NAAMA MENDES JUNIOR - VALUU"/>
    <s v="NAAMA MENDES JUNIOR - VALUU"/>
    <m/>
    <m/>
    <s v="Nathalia Louiz"/>
    <n v="-131.5"/>
    <s v="Saída"/>
    <x v="0"/>
  </r>
  <r>
    <x v="240"/>
    <s v="Itaú - Lisboa e Lisboa"/>
    <s v="30% + 20% sob RPV"/>
    <x v="2"/>
    <x v="2"/>
    <s v="JOAQUIM DE QUEIROZ MONTEIRO"/>
    <s v="JOAQUIM DE QUEIROZ MONTEIRO"/>
    <m/>
    <s v="APOSENTADORIA POR TEMPO DE CONTRIBUIÇÃO"/>
    <s v="Nathalia Louiz"/>
    <n v="15469.47"/>
    <s v="Entrada"/>
    <x v="1"/>
  </r>
  <r>
    <x v="241"/>
    <s v="Itaú - Lisboa e Lisboa"/>
    <s v="Honorários de 2.500 (500 + 500 + 3x500)"/>
    <x v="2"/>
    <x v="2"/>
    <s v="CHRISYA  MATOS AZEVEDO"/>
    <s v="CHRISYA  MATOS AZEVEDO"/>
    <m/>
    <s v="DEFESA DIVÓRCIO"/>
    <s v="Nathalia Louiz"/>
    <n v="500"/>
    <s v="Entrada"/>
    <x v="2"/>
  </r>
  <r>
    <x v="242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42"/>
    <s v="Itaú - Lisboa e Lisboa"/>
    <s v="Retirada"/>
    <x v="22"/>
    <x v="8"/>
    <s v="Thaynara Borges Pereira"/>
    <s v="Thaynara Borges Pereira"/>
    <m/>
    <m/>
    <s v="Thaynara Borges"/>
    <n v="-3648.98"/>
    <s v="Saída"/>
    <x v="0"/>
  </r>
  <r>
    <x v="242"/>
    <s v="Banco do Brasil - Sarah Alves Lisboa"/>
    <s v="Salário"/>
    <x v="15"/>
    <x v="6"/>
    <s v="Raffaela Nunes"/>
    <s v="Raffaela Nunes"/>
    <m/>
    <m/>
    <s v="Thaynara Borges"/>
    <n v="-3500"/>
    <s v="Saída"/>
    <x v="0"/>
  </r>
  <r>
    <x v="242"/>
    <s v="Itaú - Lisboa e Lisboa"/>
    <s v="PRÓ-LABORE"/>
    <x v="23"/>
    <x v="8"/>
    <s v="Thaynara Borges Pereira"/>
    <s v="Thaynara Borges Pereira"/>
    <m/>
    <m/>
    <s v="Thaynara Borges"/>
    <n v="-1351.02"/>
    <s v="Saída"/>
    <x v="0"/>
  </r>
  <r>
    <x v="242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242"/>
    <s v="Banco do Brasil - Sarah Alves Lisboa"/>
    <s v="Reembolso de Pedágios - Viagem SP"/>
    <x v="5"/>
    <x v="4"/>
    <s v="Thaynara Borges Pereira"/>
    <s v="Thaynara Borges Pereira"/>
    <m/>
    <m/>
    <s v="Nathalia Louiz"/>
    <n v="-55.1"/>
    <s v="Saída"/>
    <x v="0"/>
  </r>
  <r>
    <x v="242"/>
    <s v="Itaú - Lisboa e Lisboa"/>
    <s v="Pagamento do 13° salário"/>
    <x v="15"/>
    <x v="6"/>
    <s v="SAMARA ALMEIDA BOGEA"/>
    <s v="SAMARA ALMEIDA BOGEA"/>
    <m/>
    <m/>
    <s v="Nathalia Louiz"/>
    <n v="-963.55"/>
    <s v="Saída"/>
    <x v="0"/>
  </r>
  <r>
    <x v="242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242"/>
    <s v="Itaú - Lisboa e Lisboa"/>
    <s v="Salário"/>
    <x v="15"/>
    <x v="6"/>
    <s v="SAMARA ALMEIDA BOGEA"/>
    <s v="SAMARA ALMEIDA BOGEA"/>
    <m/>
    <m/>
    <s v="Nathalia Louiz"/>
    <n v="-2296.77"/>
    <s v="Saída"/>
    <x v="0"/>
  </r>
  <r>
    <x v="242"/>
    <s v="Itaú - Lisboa e Lisboa"/>
    <s v="Salário"/>
    <x v="15"/>
    <x v="6"/>
    <s v="GIOVANNA VICTORIA GOMES RODRIGUES"/>
    <s v="GIOVANNA VICTORIA GOMES RODRIGUES"/>
    <m/>
    <m/>
    <s v="Nathalia Louiz"/>
    <n v="-1551.77"/>
    <s v="Saída"/>
    <x v="0"/>
  </r>
  <r>
    <x v="242"/>
    <s v="Itaú - Lisboa e Lisboa"/>
    <s v="Energia contrato 0067122721"/>
    <x v="21"/>
    <x v="1"/>
    <s v="EQUATORIAL GOIAS 0067122721"/>
    <s v="EQUATORIAL GOIAS 0067122721"/>
    <m/>
    <m/>
    <s v="Thaynara Borges"/>
    <n v="-627.22"/>
    <s v="Saída"/>
    <x v="0"/>
  </r>
  <r>
    <x v="242"/>
    <s v="Itaú - Lisboa e Lisboa"/>
    <s v="Energia contrato 0067122663"/>
    <x v="21"/>
    <x v="1"/>
    <s v="EQUATORIAL GOIAS 0067122663"/>
    <s v="EQUATORIAL GOIAS 0067122663"/>
    <m/>
    <m/>
    <s v="Thaynara Borges"/>
    <n v="-380.75"/>
    <s v="Saída"/>
    <x v="0"/>
  </r>
  <r>
    <x v="242"/>
    <s v="Itaú - Lisboa e Lisboa"/>
    <s v="Pagamento do 13° salário"/>
    <x v="15"/>
    <x v="6"/>
    <s v="Nina Araujo"/>
    <s v="Nina Araujo"/>
    <m/>
    <m/>
    <s v="Nathalia Louiz"/>
    <n v="-3381.96"/>
    <s v="Saída"/>
    <x v="0"/>
  </r>
  <r>
    <x v="242"/>
    <s v="Itaú - Lisboa e Lisboa"/>
    <s v="Retirada"/>
    <x v="22"/>
    <x v="8"/>
    <s v="Sarah Alves Lisboa"/>
    <s v="Sarah Alves Lisboa"/>
    <m/>
    <m/>
    <s v="Thaynara Borges"/>
    <n v="-6148.98"/>
    <s v="Saída"/>
    <x v="0"/>
  </r>
  <r>
    <x v="242"/>
    <s v="Itaú - Lisboa e Lisboa"/>
    <s v="Salário"/>
    <x v="15"/>
    <x v="6"/>
    <s v="Nina Araujo"/>
    <s v="Nina Araujo"/>
    <m/>
    <m/>
    <s v="Thaynara Borges"/>
    <n v="-3230.22"/>
    <s v="Saída"/>
    <x v="0"/>
  </r>
  <r>
    <x v="242"/>
    <s v="Banco do Brasil - Sarah Alves Lisboa"/>
    <s v="Pagamentos de peças avulsas"/>
    <x v="43"/>
    <x v="6"/>
    <s v="Dra Raffaela Nunes"/>
    <s v="Dra Raffaela Nunes"/>
    <m/>
    <m/>
    <s v="Nathalia Louiz"/>
    <n v="-200"/>
    <s v="Saída"/>
    <x v="0"/>
  </r>
  <r>
    <x v="242"/>
    <s v="Itaú - Lisboa e Lisboa"/>
    <s v="Pagamento do 13° salário"/>
    <x v="15"/>
    <x v="6"/>
    <s v="GIOVANNA VICTORIA GOMES RODRIGUES"/>
    <s v="GIOVANNA VICTORIA GOMES RODRIGUES"/>
    <m/>
    <m/>
    <s v="Nathalia Louiz"/>
    <n v="-416.25"/>
    <s v="Saída"/>
    <x v="0"/>
  </r>
  <r>
    <x v="242"/>
    <s v="Itaú - Lisboa e Lisboa"/>
    <s v="Pagamento do 13° salário"/>
    <x v="15"/>
    <x v="6"/>
    <s v="MARIA EDUARDA DE SOUZA"/>
    <s v="MARIA EDUARDA DE SOUZA"/>
    <m/>
    <m/>
    <s v="Nathalia Louiz"/>
    <n v="-1373.65"/>
    <s v="Saída"/>
    <x v="0"/>
  </r>
  <r>
    <x v="242"/>
    <s v="Itaú - Lisboa e Lisboa"/>
    <s v="Salário"/>
    <x v="15"/>
    <x v="6"/>
    <s v="MARIA EDUARDA DE SOUZA"/>
    <s v="MARIA EDUARDA DE SOUZA"/>
    <m/>
    <m/>
    <s v="Nathalia Louiz"/>
    <n v="-2338.41"/>
    <s v="Saída"/>
    <x v="0"/>
  </r>
  <r>
    <x v="243"/>
    <s v="Itaú - Lisboa e Lisboa"/>
    <s v="R$ 4.554,00 em 9x - IMPLANTAÇÃO"/>
    <x v="2"/>
    <x v="2"/>
    <s v="ADERSON CARDOSO SANTANA"/>
    <s v="ADERSON CARDOSO SANTANA"/>
    <m/>
    <s v="PENSÃO POR MORTE"/>
    <s v="Nathalia Louiz"/>
    <n v="504.88"/>
    <s v="Entrada"/>
    <x v="2"/>
  </r>
  <r>
    <x v="244"/>
    <s v="Banco do Brasil - Sarah Alves Lisboa"/>
    <s v="30% Sob implantação"/>
    <x v="2"/>
    <x v="2"/>
    <s v="ADNALIA MARIA RIBEIRO PRATEADO"/>
    <s v="ADNALIA MARIA RIBEIRO PRATEADO"/>
    <m/>
    <s v="BENEFÍCIO POR INCAPACIDADE"/>
    <s v="Nathalia Louiz"/>
    <n v="1569"/>
    <s v="Entrada"/>
    <x v="1"/>
  </r>
  <r>
    <x v="243"/>
    <s v="Banco do Brasil - Sarah Alves Lisboa"/>
    <s v="Comissão Nina. Cliente Adnalia Maria Ribeiro Prateado."/>
    <x v="29"/>
    <x v="7"/>
    <s v="ADNALIA MARIA RIBEIRO PRATEADO"/>
    <s v="ADNALIA MARIA RIBEIRO PRATEADO"/>
    <m/>
    <s v="BENEFÍCIO POR INCAPACIDADE"/>
    <s v="Nathalia Louiz"/>
    <n v="-156.9"/>
    <s v="Saída"/>
    <x v="0"/>
  </r>
  <r>
    <x v="245"/>
    <s v="Itaú - Lisboa e Lisboa"/>
    <s v="3 SALÁRIOS DE BENEFICIO (1000,00 + 5X 710,80)"/>
    <x v="2"/>
    <x v="2"/>
    <s v="ALDENY TELES DE OLIVEIRA NUNES"/>
    <s v="ALDENY TELES DE OLIVEIRA NUNES"/>
    <m/>
    <s v="APOSENTADORIA POR IDADE"/>
    <s v="Nathalia Louiz"/>
    <n v="707.94999999999993"/>
    <s v="Entrada"/>
    <x v="1"/>
  </r>
  <r>
    <x v="246"/>
    <s v="Itaú - Lisboa e Lisboa"/>
    <s v="Salário Marketing"/>
    <x v="15"/>
    <x v="6"/>
    <s v="ANNA CLARA JARDIM"/>
    <s v="ANNA CLARA JARDIM"/>
    <m/>
    <m/>
    <s v="Nathalia Louiz"/>
    <n v="-1300"/>
    <s v="Saída"/>
    <x v="0"/>
  </r>
  <r>
    <x v="244"/>
    <s v="Banco do Brasil - Sarah Alves Lisboa"/>
    <s v="REEMBOLSO UBER - VIAGEM"/>
    <x v="27"/>
    <x v="4"/>
    <s v="ANNA CLARA JARDIM"/>
    <s v="ANNA CLARA JARDIM"/>
    <m/>
    <m/>
    <s v="Nathalia Louiz"/>
    <n v="-43.9"/>
    <s v="Saída"/>
    <x v="0"/>
  </r>
  <r>
    <x v="247"/>
    <s v="Banco do Brasil - Sarah Alves Lisboa"/>
    <s v="Exame asmssional"/>
    <x v="35"/>
    <x v="6"/>
    <s v="Anna Luiza Estanislau"/>
    <s v="Anna Luiza Estanislau"/>
    <m/>
    <m/>
    <s v="Nathalia Louiz"/>
    <n v="-60"/>
    <s v="Saída"/>
    <x v="0"/>
  </r>
  <r>
    <x v="246"/>
    <s v="Banco do Brasil - Sarah Alves Lisboa"/>
    <s v="Compras para escritório"/>
    <x v="11"/>
    <x v="1"/>
    <s v="ASSAI ATACADISTA"/>
    <s v="ASSAI ATACADISTA"/>
    <m/>
    <m/>
    <s v="Nathalia Louiz"/>
    <n v="-132.04"/>
    <s v="Saída"/>
    <x v="0"/>
  </r>
  <r>
    <x v="248"/>
    <s v="Banco do Brasil - Sarah Alves Lisboa"/>
    <s v="Compras para escritório"/>
    <x v="11"/>
    <x v="1"/>
    <s v="ASSAI ATACADISTA"/>
    <s v="ASSAI ATACADISTA"/>
    <m/>
    <m/>
    <s v="Nathalia Louiz"/>
    <n v="-410.4"/>
    <s v="Saída"/>
    <x v="0"/>
  </r>
  <r>
    <x v="249"/>
    <s v="Itaú - Lisboa e Lisboa"/>
    <s v="Taxa de Condomínio Vaga Garagem A-82"/>
    <x v="10"/>
    <x v="1"/>
    <s v="ATON BUSINESS STYLE"/>
    <s v="ATON BUSINESS STYLE"/>
    <m/>
    <m/>
    <s v="Thaynara Borges"/>
    <n v="-69.150000000000006"/>
    <s v="Saída"/>
    <x v="0"/>
  </r>
  <r>
    <x v="249"/>
    <s v="Itaú - Lisboa e Lisboa"/>
    <s v="Taxa de Condomínio Sala B-73"/>
    <x v="10"/>
    <x v="1"/>
    <s v="ATON BUSINESS STYLE"/>
    <s v="ATON BUSINESS STYLE"/>
    <m/>
    <m/>
    <s v="Thaynara Borges"/>
    <n v="-1217.74"/>
    <s v="Saída"/>
    <x v="0"/>
  </r>
  <r>
    <x v="249"/>
    <s v="Itaú - Lisboa e Lisboa"/>
    <s v="Taxa de Condomínio Vaga Garagem A-83"/>
    <x v="10"/>
    <x v="1"/>
    <s v="ATON BUSINESS STYLE"/>
    <s v="ATON BUSINESS STYLE"/>
    <m/>
    <m/>
    <s v="Thaynara Borges"/>
    <n v="-69.150000000000006"/>
    <s v="Saída"/>
    <x v="0"/>
  </r>
  <r>
    <x v="249"/>
    <s v="Itaú - Lisboa e Lisboa"/>
    <s v="Taxa de Condomínio Vaga Garagem A-81"/>
    <x v="10"/>
    <x v="1"/>
    <s v="ATON BUSINESS STYLE"/>
    <s v="ATON BUSINESS STYLE"/>
    <m/>
    <m/>
    <s v="Thaynara Borges"/>
    <n v="-69.150000000000006"/>
    <s v="Saída"/>
    <x v="0"/>
  </r>
  <r>
    <x v="249"/>
    <s v="Itaú - Lisboa e Lisboa"/>
    <s v="Taxa de Condomínio Vaga Garagem A-78"/>
    <x v="10"/>
    <x v="1"/>
    <s v="ATON BUSINESS STYLE"/>
    <s v="ATON BUSINESS STYLE"/>
    <m/>
    <m/>
    <s v="Thaynara Borges"/>
    <n v="-69.150000000000006"/>
    <s v="Saída"/>
    <x v="0"/>
  </r>
  <r>
    <x v="249"/>
    <s v="Itaú - Lisboa e Lisboa"/>
    <s v="Taxa de Condomínio Vaga Garagem A-88"/>
    <x v="10"/>
    <x v="1"/>
    <s v="ATON BUSINESS STYLE"/>
    <s v="ATON BUSINESS STYLE"/>
    <m/>
    <m/>
    <s v="Thaynara Borges"/>
    <n v="-69.150000000000006"/>
    <s v="Saída"/>
    <x v="0"/>
  </r>
  <r>
    <x v="249"/>
    <s v="Itaú - Lisboa e Lisboa"/>
    <s v="Taxa de Condomínio Sala B-74"/>
    <x v="10"/>
    <x v="1"/>
    <s v="ATON BUSINESS STYLE"/>
    <s v="ATON BUSINESS STYLE"/>
    <m/>
    <m/>
    <s v="Thaynara Borges"/>
    <n v="-1218.33"/>
    <s v="Saída"/>
    <x v="0"/>
  </r>
  <r>
    <x v="243"/>
    <s v="Banco do Brasil - Sarah Alves Lisboa"/>
    <s v="Tarifa Bancária"/>
    <x v="4"/>
    <x v="3"/>
    <s v="BANCO DO BRASIL S/A"/>
    <s v="BANCO DO BRASIL S/A"/>
    <m/>
    <m/>
    <s v="Thaynara Borges"/>
    <n v="-15.9"/>
    <s v="Saída"/>
    <x v="0"/>
  </r>
  <r>
    <x v="250"/>
    <s v="Cartão de Crédito Dr Ivanildo"/>
    <s v="ROYELETRONIC"/>
    <x v="12"/>
    <x v="1"/>
    <s v="BANCO ITAU"/>
    <s v="BANCO ITAU"/>
    <m/>
    <m/>
    <s v="Nathalia Louiz"/>
    <n v="-45"/>
    <s v="Saída"/>
    <x v="4"/>
  </r>
  <r>
    <x v="250"/>
    <s v="Cartão de Crédito Dr Ivanildo"/>
    <s v="GOOGLE ONE"/>
    <x v="12"/>
    <x v="1"/>
    <s v="BANCO ITAU"/>
    <s v="BANCO ITAU"/>
    <m/>
    <m/>
    <s v="Nathalia Louiz"/>
    <n v="-49.99"/>
    <s v="Saída"/>
    <x v="4"/>
  </r>
  <r>
    <x v="250"/>
    <s v="Cartão de Crédito Dr Ivanildo"/>
    <s v="PG* ZAPSIGN"/>
    <x v="12"/>
    <x v="1"/>
    <s v="BANCO ITAU"/>
    <s v="BANCO ITAU"/>
    <m/>
    <m/>
    <s v="Nathalia Louiz"/>
    <n v="-32.9"/>
    <s v="Saída"/>
    <x v="4"/>
  </r>
  <r>
    <x v="250"/>
    <s v="Cartão de Crédito Dr Ivanildo"/>
    <s v="MERCADO CENTRAL"/>
    <x v="26"/>
    <x v="1"/>
    <s v="BANCO ITAU"/>
    <s v="BANCO ITAU"/>
    <m/>
    <m/>
    <s v="Nathalia Louiz"/>
    <n v="-395.42"/>
    <s v="Saída"/>
    <x v="4"/>
  </r>
  <r>
    <x v="246"/>
    <s v="Cartão de Crédito Dr Ivanildo"/>
    <s v="Jusbrasil"/>
    <x v="12"/>
    <x v="1"/>
    <s v="BANCO ITAU"/>
    <s v="BANCO ITAU"/>
    <m/>
    <m/>
    <s v="Thaynara Borges"/>
    <n v="-58.9"/>
    <s v="Saída"/>
    <x v="0"/>
  </r>
  <r>
    <x v="246"/>
    <s v="Cartão de Crédito Dra Sarah"/>
    <s v="CONSULTORIA ESTRATEGIA"/>
    <x v="36"/>
    <x v="1"/>
    <s v="BANCO ITAU"/>
    <s v="BANCO ITAU"/>
    <m/>
    <m/>
    <s v="Nathalia Louiz"/>
    <n v="-300.05"/>
    <s v="Saída"/>
    <x v="0"/>
  </r>
  <r>
    <x v="246"/>
    <s v="Cartão de Crédito Dr Ivanildo"/>
    <s v="Google One"/>
    <x v="12"/>
    <x v="1"/>
    <s v="BANCO ITAU"/>
    <s v="BANCO ITAU"/>
    <m/>
    <m/>
    <s v="Thaynara Borges"/>
    <n v="-49.99"/>
    <s v="Saída"/>
    <x v="0"/>
  </r>
  <r>
    <x v="246"/>
    <s v="Cartão de Crédito Dr Ivanildo"/>
    <s v="GOIÂNIA -CT A"/>
    <x v="14"/>
    <x v="1"/>
    <s v="BANCO ITAU"/>
    <s v="BANCO ITAU"/>
    <m/>
    <m/>
    <s v="Nathalia Louiz"/>
    <n v="-41.65"/>
    <s v="Saída"/>
    <x v="0"/>
  </r>
  <r>
    <x v="246"/>
    <s v="Cartão de Crédito Dr Ivanildo"/>
    <s v="ANUIDADE DIFERENCIADA"/>
    <x v="4"/>
    <x v="3"/>
    <s v="BANCO ITAU"/>
    <s v="BANCO ITAU"/>
    <m/>
    <m/>
    <s v="Nathalia Louiz"/>
    <n v="-18.75"/>
    <s v="Saída"/>
    <x v="0"/>
  </r>
  <r>
    <x v="246"/>
    <s v="Cartão de Crédito Dr Ivanildo"/>
    <s v="Pagamento Cartão de Crédito Dr Ivanildo"/>
    <x v="6"/>
    <x v="1"/>
    <s v="BANCO ITAU"/>
    <s v="BANCO ITAU"/>
    <m/>
    <m/>
    <s v="Thaynara Borges"/>
    <n v="1058.57"/>
    <s v="Entrada"/>
    <x v="1"/>
  </r>
  <r>
    <x v="246"/>
    <s v="Cartão de Crédito Dr Ivanildo"/>
    <s v="Jusbrasil"/>
    <x v="12"/>
    <x v="1"/>
    <s v="BANCO ITAU"/>
    <s v="BANCO ITAU"/>
    <m/>
    <m/>
    <s v="Thaynara Borges"/>
    <n v="-58.9"/>
    <s v="Saída"/>
    <x v="0"/>
  </r>
  <r>
    <x v="246"/>
    <s v="Cartão de Crédito Dr Ivanildo"/>
    <s v="IPREMIUM STO-CT"/>
    <x v="12"/>
    <x v="1"/>
    <s v="BANCO ITAU"/>
    <s v="BANCO ITAU"/>
    <m/>
    <m/>
    <s v="Nathalia Louiz"/>
    <n v="-119.8"/>
    <s v="Saída"/>
    <x v="0"/>
  </r>
  <r>
    <x v="246"/>
    <s v="Cartão de Crédito Dr Ivanildo"/>
    <s v="Prévius"/>
    <x v="12"/>
    <x v="1"/>
    <s v="BANCO ITAU"/>
    <s v="BANCO ITAU"/>
    <m/>
    <m/>
    <s v="Thaynara Borges"/>
    <n v="-80.91"/>
    <s v="Saída"/>
    <x v="0"/>
  </r>
  <r>
    <x v="246"/>
    <s v="Cartão de Crédito Dr Ivanildo"/>
    <s v="MARANATA CHOCOLATERIA"/>
    <x v="16"/>
    <x v="4"/>
    <s v="BANCO ITAU"/>
    <s v="BANCO ITAU"/>
    <m/>
    <m/>
    <s v="Nathalia Louiz"/>
    <n v="-77.98"/>
    <s v="Saída"/>
    <x v="0"/>
  </r>
  <r>
    <x v="246"/>
    <s v="Cartão de Crédito Dra Thaynara - Itaú"/>
    <s v="KABUM KABUM"/>
    <x v="26"/>
    <x v="1"/>
    <s v="BANCO ITAU"/>
    <s v="BANCO ITAU"/>
    <m/>
    <m/>
    <s v="Nathalia Louiz"/>
    <n v="-93.94"/>
    <s v="Saída"/>
    <x v="0"/>
  </r>
  <r>
    <x v="246"/>
    <s v="Cartão de Crédito Dra Sarah"/>
    <s v="LATAM (Premio Águia)"/>
    <x v="5"/>
    <x v="4"/>
    <s v="BANCO ITAU"/>
    <s v="BANCO ITAU"/>
    <m/>
    <m/>
    <s v="Nathalia Louiz"/>
    <n v="-242.06"/>
    <s v="Saída"/>
    <x v="0"/>
  </r>
  <r>
    <x v="246"/>
    <s v="Cartão de Crédito Dra Sarah"/>
    <s v="COMPRA MERCADO LIVRE"/>
    <x v="6"/>
    <x v="1"/>
    <s v="BANCO ITAU"/>
    <s v="BANCO ITAU"/>
    <m/>
    <m/>
    <s v="Nathalia Louiz"/>
    <n v="-224.99"/>
    <s v="Saída"/>
    <x v="0"/>
  </r>
  <r>
    <x v="246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246"/>
    <s v="Cartão de Crédito Dra Sarah"/>
    <s v="Hotel"/>
    <x v="5"/>
    <x v="4"/>
    <s v="BANCO ITAU"/>
    <s v="BANCO ITAU"/>
    <m/>
    <m/>
    <s v="Nathalia Louiz"/>
    <n v="-319.41000000000003"/>
    <s v="Saída"/>
    <x v="0"/>
  </r>
  <r>
    <x v="246"/>
    <s v="Cartão de Crédito Dra Thaynara - Itaú"/>
    <s v="BISTRO LIA"/>
    <x v="11"/>
    <x v="1"/>
    <s v="BANCO ITAU"/>
    <s v="BANCO ITAU"/>
    <m/>
    <m/>
    <s v="Nathalia Louiz"/>
    <n v="-433.8"/>
    <s v="Saída"/>
    <x v="0"/>
  </r>
  <r>
    <x v="246"/>
    <s v="Cartão de Crédito Dra Sarah"/>
    <s v="GOL (Premio Águia)"/>
    <x v="5"/>
    <x v="4"/>
    <s v="BANCO ITAU"/>
    <s v="BANCO ITAU"/>
    <m/>
    <m/>
    <s v="Nathalia Louiz"/>
    <n v="-236.1"/>
    <s v="Saída"/>
    <x v="0"/>
  </r>
  <r>
    <x v="246"/>
    <s v="Cartão de Crédito Dr Ivanildo"/>
    <s v="ASA CURSOS"/>
    <x v="34"/>
    <x v="6"/>
    <s v="BANCO ITAU"/>
    <s v="BANCO ITAU"/>
    <m/>
    <m/>
    <s v="Nathalia Louiz"/>
    <n v="-59.9"/>
    <s v="Saída"/>
    <x v="0"/>
  </r>
  <r>
    <x v="246"/>
    <s v="Cartão de Crédito Dra Thaynara - Itaú"/>
    <s v="ATVAQUA*ATVAQUA"/>
    <x v="25"/>
    <x v="0"/>
    <s v="BANCO ITAU"/>
    <s v="BANCO ITAU"/>
    <m/>
    <m/>
    <s v="Nathalia Louiz"/>
    <n v="-353.85"/>
    <s v="Saída"/>
    <x v="0"/>
  </r>
  <r>
    <x v="246"/>
    <s v="Cartão de Crédito Dra Thaynara - Itaú"/>
    <s v="Pagamento Cartão de Crédito Dra Thaynara - Itaú"/>
    <x v="6"/>
    <x v="1"/>
    <s v="BANCO ITAU"/>
    <s v="BANCO ITAU"/>
    <m/>
    <m/>
    <s v="Nathalia Louiz"/>
    <n v="5680.59"/>
    <s v="Entrada"/>
    <x v="1"/>
  </r>
  <r>
    <x v="246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246"/>
    <s v="Cartão de Crédito Dra Sarah"/>
    <s v="Cartão de crédito Dra Sarah"/>
    <x v="6"/>
    <x v="1"/>
    <s v="BANCO ITAU"/>
    <s v="BANCO ITAU"/>
    <m/>
    <m/>
    <s v="Nathalia Louiz"/>
    <n v="1594.41"/>
    <s v="Entrada"/>
    <x v="1"/>
  </r>
  <r>
    <x v="246"/>
    <s v="Cartão de Crédito Dra Thaynara - Itaú"/>
    <s v="ZOOM CASAS BAHIA"/>
    <x v="25"/>
    <x v="0"/>
    <s v="BANCO ITAU"/>
    <s v="BANCO ITAU"/>
    <m/>
    <m/>
    <s v="Nathalia Louiz"/>
    <n v="-4799"/>
    <s v="Saída"/>
    <x v="0"/>
  </r>
  <r>
    <x v="246"/>
    <s v="Cartão de Crédito Dr Ivanildo"/>
    <s v="ANUIDADE DIFERENCIADA"/>
    <x v="4"/>
    <x v="3"/>
    <s v="BANCO ITAU"/>
    <s v="BANCO ITAU"/>
    <m/>
    <m/>
    <s v="Nathalia Louiz"/>
    <n v="-18.75"/>
    <s v="Saída"/>
    <x v="0"/>
  </r>
  <r>
    <x v="246"/>
    <s v="Cartão de Crédito Dra Sarah"/>
    <s v="AG DE TURISMO"/>
    <x v="5"/>
    <x v="4"/>
    <s v="BANCO ITAU"/>
    <s v="BANCO ITAU"/>
    <m/>
    <m/>
    <s v="Nathalia Louiz"/>
    <n v="-271.8"/>
    <s v="Saída"/>
    <x v="0"/>
  </r>
  <r>
    <x v="246"/>
    <s v="Cartão de Crédito Dr Ivanildo"/>
    <s v="ZapSign programa de assinatura eletronica"/>
    <x v="12"/>
    <x v="1"/>
    <s v="BANCO ITAU"/>
    <s v="BANCO ITAU"/>
    <m/>
    <m/>
    <s v="Thaynara Borges"/>
    <n v="-19.899999999999999"/>
    <s v="Saída"/>
    <x v="0"/>
  </r>
  <r>
    <x v="248"/>
    <s v="Itaú - Lisboa e Lisboa"/>
    <s v="Plano mensal - conta corrente"/>
    <x v="4"/>
    <x v="3"/>
    <s v="BANCO ITAU"/>
    <s v="BANCO ITAU"/>
    <m/>
    <m/>
    <s v="Thaynara Borges"/>
    <n v="-261.75"/>
    <s v="Saída"/>
    <x v="4"/>
  </r>
  <r>
    <x v="249"/>
    <s v="Itaú - Lisboa e Lisboa"/>
    <s v="Pagamento Cartão de Crédito Dr Ivanildo"/>
    <x v="6"/>
    <x v="1"/>
    <s v="BANCO ITAU"/>
    <s v="BANCO ITAU"/>
    <m/>
    <m/>
    <s v="Nathalia Louiz"/>
    <n v="-1058.57"/>
    <s v="Saída"/>
    <x v="0"/>
  </r>
  <r>
    <x v="244"/>
    <s v="Itaú - Lisboa e Lisboa"/>
    <s v="Pagamento cartão de crédito Dra Thaynara - Itaú"/>
    <x v="6"/>
    <x v="1"/>
    <s v="BANCO ITAU"/>
    <s v="BANCO ITAU"/>
    <m/>
    <m/>
    <s v="Nathalia Louiz"/>
    <n v="-5680.59"/>
    <s v="Saída"/>
    <x v="0"/>
  </r>
  <r>
    <x v="244"/>
    <s v="Itaú - Lisboa e Lisboa"/>
    <s v="Pagamento Cartão de Crédito Dra Sarah Lisboa"/>
    <x v="6"/>
    <x v="1"/>
    <s v="BANCO ITAU"/>
    <s v="BANCO ITAU"/>
    <m/>
    <m/>
    <s v="Nathalia Louiz"/>
    <n v="-1594.41"/>
    <s v="Saída"/>
    <x v="0"/>
  </r>
  <r>
    <x v="248"/>
    <s v="Itaú - Lisboa e Lisboa"/>
    <s v="Honorários sob RPV"/>
    <x v="2"/>
    <x v="2"/>
    <s v="BENVINDA PEREIRA GODOY"/>
    <s v="BENVINDA PEREIRA GODOY"/>
    <m/>
    <s v="BENVINDA PEREIRA GODOY x A DEFINIR"/>
    <s v="Nathalia Louiz"/>
    <n v="78885.899999999994"/>
    <s v="Entrada"/>
    <x v="1"/>
  </r>
  <r>
    <x v="248"/>
    <s v="Itaú - Lisboa e Lisboa"/>
    <s v="Honorários de sucumbência"/>
    <x v="2"/>
    <x v="2"/>
    <s v="BENVINDA PEREIRA GODOY"/>
    <s v="BENVINDA PEREIRA GODOY"/>
    <m/>
    <s v="BENVINDA PEREIRA GODOY x A DEFINIR"/>
    <s v="Nathalia Louiz"/>
    <n v="26376.62"/>
    <s v="Entrada"/>
    <x v="1"/>
  </r>
  <r>
    <x v="248"/>
    <s v="Itaú - Lisboa e Lisboa"/>
    <s v="Comissão à Dra Karine sobre os honorários sucumbenciais (26.376,62 Líquido (-10,86% de imposto)= 23.512,11 Parte Dra Karine (40%)= 9.404,84)"/>
    <x v="29"/>
    <x v="7"/>
    <s v="BENVINDA PEREIRA GODOY"/>
    <s v="BENVINDA PEREIRA GODOY"/>
    <m/>
    <s v="BENVINDA PEREIRA GODOY x A DEFINIR"/>
    <s v="Thaynara Borges"/>
    <n v="-9404.84"/>
    <s v="Saída"/>
    <x v="0"/>
  </r>
  <r>
    <x v="248"/>
    <s v="Itaú - Lisboa e Lisboa"/>
    <s v="Comissão à Dra Karine sobre honorários contratuais (Honorários contratuais 78.885,90 Líquido (-10,86% de imposto)= 70.318,89 Parte Dra Karine (40%)= 28.127,55)"/>
    <x v="29"/>
    <x v="7"/>
    <s v="BENVINDA PEREIRA GODOY"/>
    <s v="BENVINDA PEREIRA GODOY"/>
    <m/>
    <s v="BENVINDA PEREIRA GODOY x A DEFINIR"/>
    <s v="Thaynara Borges"/>
    <n v="-28127.55"/>
    <s v="Saída"/>
    <x v="0"/>
  </r>
  <r>
    <x v="248"/>
    <s v="Itaú - Lisboa e Lisboa"/>
    <s v="Comissão à Vanessa sobre honorários contratuais (78.885,90 Líquido (-10,86% de imposto)= 70.318,89 Parte Dra Karine (40%)= 28.127,55 Liquido= 42.191,33 *Vanessa (70%)= 29.533,93*)"/>
    <x v="29"/>
    <x v="7"/>
    <s v="BENVINDA PEREIRA GODOY"/>
    <s v="BENVINDA PEREIRA GODOY"/>
    <m/>
    <s v="BENVINDA PEREIRA GODOY x A DEFINIR"/>
    <s v="Thaynara Borges"/>
    <n v="-29533.93"/>
    <s v="Saída"/>
    <x v="0"/>
  </r>
  <r>
    <x v="248"/>
    <s v="Itaú - Lisboa e Lisboa"/>
    <s v="Comissão à Vanessa sobre honorários de sucumbência (26.376,62 Líquido (-10,86% de imposto)= 23.512,11 Parte Dra Karine (40%)= 9.404,84 Liquido= 14.107,26 *Vanessa (70%)= 9.875,08*)"/>
    <x v="29"/>
    <x v="7"/>
    <s v="BENVINDA PEREIRA GODOY"/>
    <s v="BENVINDA PEREIRA GODOY"/>
    <m/>
    <s v="BENVINDA PEREIRA GODOY x A DEFINIR"/>
    <s v="Thaynara Borges"/>
    <n v="-9875.08"/>
    <s v="Saída"/>
    <x v="0"/>
  </r>
  <r>
    <x v="247"/>
    <s v="Banco do Brasil - Sarah Alves Lisboa"/>
    <s v="Cartão de Crédito Dra Thaynara"/>
    <x v="6"/>
    <x v="1"/>
    <s v="C6"/>
    <s v="C6"/>
    <m/>
    <m/>
    <s v="Thaynara Borges"/>
    <n v="-1425.7"/>
    <s v="Saída"/>
    <x v="0"/>
  </r>
  <r>
    <x v="251"/>
    <s v="Cartão de Crédito Dra Thaynara - C6"/>
    <s v="OPENAI *CHATGPT SUBSCR SA"/>
    <x v="12"/>
    <x v="1"/>
    <s v="C6"/>
    <s v="C6"/>
    <m/>
    <m/>
    <s v="Nathalia Louiz"/>
    <n v="-116.21"/>
    <s v="Saída"/>
    <x v="0"/>
  </r>
  <r>
    <x v="251"/>
    <s v="Cartão de Crédito Dra Thaynara - C6"/>
    <s v="Bolo Raffa"/>
    <x v="11"/>
    <x v="1"/>
    <s v="C6"/>
    <s v="C6"/>
    <m/>
    <m/>
    <s v="Nathalia Louiz"/>
    <n v="-198.99"/>
    <s v="Saída"/>
    <x v="0"/>
  </r>
  <r>
    <x v="251"/>
    <s v="Cartão de Crédito Dra Thaynara - C6"/>
    <s v="Verificado do WhatsApp"/>
    <x v="12"/>
    <x v="1"/>
    <s v="C6"/>
    <s v="C6"/>
    <m/>
    <m/>
    <s v="Nathalia Louiz"/>
    <n v="-109.9"/>
    <s v="Saída"/>
    <x v="0"/>
  </r>
  <r>
    <x v="251"/>
    <s v="Cartão de Crédito Dra Thaynara - C6"/>
    <s v="CALCULO JURIDICO"/>
    <x v="12"/>
    <x v="1"/>
    <s v="C6"/>
    <s v="C6"/>
    <m/>
    <m/>
    <s v="Nathalia Louiz"/>
    <n v="-118.3"/>
    <s v="Saída"/>
    <x v="0"/>
  </r>
  <r>
    <x v="251"/>
    <s v="Cartão de Crédito Dra Thaynara - C6"/>
    <s v="POS THAYNARA"/>
    <x v="34"/>
    <x v="6"/>
    <s v="C6"/>
    <s v="C6"/>
    <m/>
    <m/>
    <s v="Nathalia Louiz"/>
    <n v="-229"/>
    <s v="Saída"/>
    <x v="0"/>
  </r>
  <r>
    <x v="251"/>
    <s v="Cartão de Crédito Dra Thaynara - C6"/>
    <s v="Pagamento Cartão de Crédito Dra Thaynara"/>
    <x v="6"/>
    <x v="1"/>
    <s v="C6"/>
    <s v="C6"/>
    <m/>
    <m/>
    <s v="Nathalia Louiz"/>
    <n v="1425.7"/>
    <s v="Entrada"/>
    <x v="1"/>
  </r>
  <r>
    <x v="251"/>
    <s v="Cartão de Crédito Dra Thaynara - C6"/>
    <s v="ASTREA"/>
    <x v="12"/>
    <x v="1"/>
    <s v="C6"/>
    <s v="C6"/>
    <m/>
    <m/>
    <s v="Thaynara Borges"/>
    <n v="-653.29999999999995"/>
    <s v="Saída"/>
    <x v="0"/>
  </r>
  <r>
    <x v="252"/>
    <s v="Banco do Brasil - Sarah Alves Lisboa"/>
    <s v="30% sob implantação"/>
    <x v="2"/>
    <x v="2"/>
    <s v="Carem Lucia Freire Arriel"/>
    <s v="Carem Lucia Freire Arriel"/>
    <m/>
    <s v="BENEFÍCIO POR INCAPACIDADE"/>
    <s v="Nathalia Louiz"/>
    <n v="2736"/>
    <s v="Entrada"/>
    <x v="1"/>
  </r>
  <r>
    <x v="250"/>
    <s v="Itaú - Lisboa e Lisboa"/>
    <s v="Assessoria Contábil"/>
    <x v="1"/>
    <x v="1"/>
    <s v="CARLOS ALBERTO GRACIANO RODRIGUES"/>
    <s v="CARLOS ALBERTO GRACIANO RODRIGUES"/>
    <m/>
    <m/>
    <s v="Thaynara Borges"/>
    <n v="-1518"/>
    <s v="Saída"/>
    <x v="0"/>
  </r>
  <r>
    <x v="250"/>
    <s v="Itaú - Lisboa e Lisboa"/>
    <s v="13° salário - Contador"/>
    <x v="1"/>
    <x v="1"/>
    <s v="CARLOS ALBERTO GRACIANO RODRIGUES"/>
    <s v="CARLOS ALBERTO GRACIANO RODRIGUES"/>
    <m/>
    <m/>
    <s v="Nathalia Louiz"/>
    <n v="-1518"/>
    <s v="Saída"/>
    <x v="0"/>
  </r>
  <r>
    <x v="253"/>
    <s v="Itaú - Lisboa e Lisboa"/>
    <s v="Honorários de 2.500 (500 + 500 + 3x500)"/>
    <x v="2"/>
    <x v="2"/>
    <s v="CHRISYA  MATOS AZEVEDO"/>
    <s v="CHRISYA  MATOS AZEVEDO"/>
    <m/>
    <s v="DEFESA DIVÓRCIO"/>
    <s v="Nathalia Louiz"/>
    <n v="500"/>
    <s v="Entrada"/>
    <x v="2"/>
  </r>
  <r>
    <x v="254"/>
    <s v="Banco do Brasil - Sarah Alves Lisboa"/>
    <s v="PEDÁGIO"/>
    <x v="5"/>
    <x v="4"/>
    <s v="CONCEBRA - PEDÁGIO"/>
    <s v="CONCEBRA - PEDÁGIO"/>
    <m/>
    <m/>
    <s v="Nathalia Louiz"/>
    <n v="-5.4"/>
    <s v="Saída"/>
    <x v="0"/>
  </r>
  <r>
    <x v="249"/>
    <s v="Banco do Brasil - Sarah Alves Lisboa"/>
    <s v="Pedágio"/>
    <x v="5"/>
    <x v="4"/>
    <s v="CONCEBRA - PEDÁGIO"/>
    <s v="CONCEBRA - PEDÁGIO"/>
    <m/>
    <m/>
    <s v="Nathalia Louiz"/>
    <n v="-5.4"/>
    <s v="Saída"/>
    <x v="0"/>
  </r>
  <r>
    <x v="254"/>
    <s v="Banco do Brasil - Sarah Alves Lisboa"/>
    <s v="PEDÁGIO"/>
    <x v="5"/>
    <x v="4"/>
    <s v="CORUMBA CONCESSOES LTDA"/>
    <s v="CORUMBA CONCESSOES LTDA"/>
    <m/>
    <m/>
    <s v="Nathalia Louiz"/>
    <n v="-14.3"/>
    <s v="Saída"/>
    <x v="0"/>
  </r>
  <r>
    <x v="249"/>
    <s v="Banco do Brasil - Sarah Alves Lisboa"/>
    <s v="Pedágio"/>
    <x v="5"/>
    <x v="4"/>
    <s v="CORUMBA CONCESSOES LTDA"/>
    <s v="CORUMBA CONCESSOES LTDA"/>
    <m/>
    <m/>
    <s v="Nathalia Louiz"/>
    <n v="-14.3"/>
    <s v="Saída"/>
    <x v="0"/>
  </r>
  <r>
    <x v="255"/>
    <s v="Itaú - Lisboa e Lisboa"/>
    <s v="3 SALÁRIOS DE BENEFICIOS (R$ 8.269,50 em 8 vezes)"/>
    <x v="2"/>
    <x v="2"/>
    <s v="COSME DOS SANTOS VAZ"/>
    <s v="COSME DOS SANTOS VAZ"/>
    <m/>
    <s v="APOSENTADORIA POR TEMPO DE CONTRIBUIÇÃO"/>
    <s v="Nathalia Louiz"/>
    <n v="1030.8400000000001"/>
    <s v="Entrada"/>
    <x v="1"/>
  </r>
  <r>
    <x v="249"/>
    <s v="Banco do Brasil - Sarah Alves Lisboa"/>
    <s v="Distribuidora"/>
    <x v="11"/>
    <x v="1"/>
    <s v="Distribuidora"/>
    <s v="Distribuidora"/>
    <m/>
    <m/>
    <s v="Nathalia Louiz"/>
    <n v="-16"/>
    <s v="Saída"/>
    <x v="0"/>
  </r>
  <r>
    <x v="256"/>
    <s v="Itaú - Lisboa e Lisboa"/>
    <s v="30% sob contrato"/>
    <x v="2"/>
    <x v="2"/>
    <s v="DIVINA PEREIRA DA SILVA"/>
    <s v="DIVINA PEREIRA DA SILVA"/>
    <m/>
    <s v="BENEFÍCIO POR INCAPACIDADE"/>
    <s v="Nathalia Louiz"/>
    <n v="4519.63"/>
    <s v="Entrada"/>
    <x v="1"/>
  </r>
  <r>
    <x v="255"/>
    <s v="Banco do Brasil - Sarah Alves Lisboa"/>
    <s v="Bonificação de meta final"/>
    <x v="29"/>
    <x v="7"/>
    <s v="Dra Raffaela Nunes"/>
    <s v="Dra Raffaela Nunes"/>
    <m/>
    <m/>
    <s v="Nathalia Louiz"/>
    <n v="-2500"/>
    <s v="Saída"/>
    <x v="0"/>
  </r>
  <r>
    <x v="257"/>
    <s v="Banco do Brasil - Sarah Alves Lisboa"/>
    <s v="Peças  avulsas"/>
    <x v="43"/>
    <x v="6"/>
    <s v="Dra Raffaela Nunes"/>
    <s v="Dra Raffaela Nunes"/>
    <m/>
    <m/>
    <s v="Nathalia Louiz"/>
    <n v="-200"/>
    <s v="Saída"/>
    <x v="0"/>
  </r>
  <r>
    <x v="258"/>
    <s v="Banco do Brasil - Sarah Alves Lisboa"/>
    <s v="Pagamento de peças avulsas"/>
    <x v="43"/>
    <x v="6"/>
    <s v="Dra Raffaela Nunes"/>
    <s v="Dra Raffaela Nunes"/>
    <m/>
    <m/>
    <s v="Nathalia Louiz"/>
    <n v="-400"/>
    <s v="Saída"/>
    <x v="0"/>
  </r>
  <r>
    <x v="259"/>
    <s v="Banco do Brasil - Sarah Alves Lisboa"/>
    <s v="Peças avulsas"/>
    <x v="43"/>
    <x v="6"/>
    <s v="Dra Raffaela Nunes"/>
    <s v="Dra Raffaela Nunes"/>
    <m/>
    <m/>
    <s v="Nathalia Louiz"/>
    <n v="-600"/>
    <s v="Saída"/>
    <x v="0"/>
  </r>
  <r>
    <x v="250"/>
    <s v="Banco do Brasil - Sarah Alves Lisboa"/>
    <s v="Almoço mensal"/>
    <x v="11"/>
    <x v="1"/>
    <s v="EA EXPRESS"/>
    <s v="EA EXPRESS"/>
    <m/>
    <m/>
    <s v="Nathalia Louiz"/>
    <n v="-142.28"/>
    <s v="Saída"/>
    <x v="0"/>
  </r>
  <r>
    <x v="251"/>
    <s v="Banco do Brasil - Sarah Alves Lisboa"/>
    <s v="20% sob recebidos (R$1.106,32)"/>
    <x v="2"/>
    <x v="2"/>
    <s v="EDILSON DE ARAUJO REIS"/>
    <s v="EDILSON DE ARAUJO REIS"/>
    <m/>
    <s v="NULIDADE DE CONTRATO DE ASSOCIAÇÃO E INDENIZAÇÃO POR DANOS MORAIS"/>
    <s v="Nathalia Louiz"/>
    <n v="221.26"/>
    <s v="Entrada"/>
    <x v="1"/>
  </r>
  <r>
    <x v="243"/>
    <s v="Banco do Brasil - Sarah Alves Lisboa"/>
    <s v="Parcela de inventário"/>
    <x v="2"/>
    <x v="2"/>
    <s v="EDINALDO BEZERRA DE ABREU"/>
    <s v="EDINALDO BEZERRA DE ABREU"/>
    <m/>
    <s v="INVENTÁRIO"/>
    <s v="Nathalia Louiz"/>
    <n v="1096.6199999999999"/>
    <s v="Entrada"/>
    <x v="1"/>
  </r>
  <r>
    <x v="256"/>
    <s v="Itaú - Lisboa e Lisboa"/>
    <s v="PEDREIRO - REFORMA BANHEIRO"/>
    <x v="14"/>
    <x v="1"/>
    <s v="EDVAN CANDIDO DOS SANTOS"/>
    <s v="EDVAN CANDIDO DOS SANTOS"/>
    <m/>
    <m/>
    <s v="Nathalia Louiz"/>
    <n v="-1000"/>
    <s v="Saída"/>
    <x v="0"/>
  </r>
  <r>
    <x v="245"/>
    <s v="Itaú - Lisboa e Lisboa"/>
    <s v="Valor líquido: R$ 45.205,98 40%: 18.714,55 + 3 salários de BN: R$ 13.711,11. Total de honorários: R$ 32.425,66"/>
    <x v="2"/>
    <x v="2"/>
    <s v="ELCIMAR LOURENÇO DE SOUSA"/>
    <s v="ELCIMAR LOURENÇO DE SOUSA"/>
    <m/>
    <s v="APOSENTADORIA POR TEMPO DE CONTRIBUIÇÃO"/>
    <s v="Nathalia Louiz"/>
    <n v="32425.66"/>
    <s v="Entrada"/>
    <x v="1"/>
  </r>
  <r>
    <x v="249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55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58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56"/>
    <s v="Itaú - Lisboa e Lisboa"/>
    <s v="30% de honorários"/>
    <x v="2"/>
    <x v="2"/>
    <s v="ERINALVA DOS SANTOS ALMEIDA"/>
    <s v="ERINALVA DOS SANTOS ALMEIDA"/>
    <m/>
    <s v="BENEFÍCIO POR INCAPACIDADE"/>
    <s v="Nathalia Louiz"/>
    <n v="3640.46"/>
    <s v="Entrada"/>
    <x v="1"/>
  </r>
  <r>
    <x v="251"/>
    <s v="Banco do Brasil - Sarah Alves Lisboa"/>
    <s v="40% sob implantação"/>
    <x v="2"/>
    <x v="2"/>
    <s v="EVANDRO ALVES PEIXOTO"/>
    <s v="EVANDRO ALVES PEIXOTO"/>
    <m/>
    <s v="BENEFÍCIO POR INCAPACIDADE"/>
    <s v="Nathalia Louiz"/>
    <n v="1518"/>
    <s v="Entrada"/>
    <x v="1"/>
  </r>
  <r>
    <x v="255"/>
    <s v="Banco do Brasil - Sarah Alves Lisboa"/>
    <s v="Bonificação de meta final"/>
    <x v="29"/>
    <x v="7"/>
    <s v="EVANILZA ARAUJO MORAES"/>
    <s v="EVANILZA ARAUJO MORAES"/>
    <m/>
    <m/>
    <s v="Nathalia Louiz"/>
    <n v="-2500"/>
    <s v="Saída"/>
    <x v="0"/>
  </r>
  <r>
    <x v="258"/>
    <s v="Itaú - Lisboa e Lisboa"/>
    <s v="FÉRIAS"/>
    <x v="15"/>
    <x v="6"/>
    <s v="EVANILZA ARAUJO MORAES"/>
    <s v="EVANILZA ARAUJO MORAES"/>
    <m/>
    <m/>
    <s v="Nathalia Louiz"/>
    <n v="-4282.82"/>
    <s v="Saída"/>
    <x v="0"/>
  </r>
  <r>
    <x v="258"/>
    <s v="Itaú - Lisboa e Lisboa"/>
    <s v="FGTS"/>
    <x v="18"/>
    <x v="6"/>
    <s v="FGTS"/>
    <s v="FGTS"/>
    <m/>
    <m/>
    <s v="Nathalia Louiz"/>
    <n v="-1960.93"/>
    <s v="Saída"/>
    <x v="0"/>
  </r>
  <r>
    <x v="258"/>
    <s v="Itaú - Lisboa e Lisboa"/>
    <s v="FGTS"/>
    <x v="18"/>
    <x v="6"/>
    <s v="FGTS"/>
    <s v="FGTS"/>
    <m/>
    <m/>
    <s v="Thaynara Borges"/>
    <n v="-1002.17"/>
    <s v="Saída"/>
    <x v="0"/>
  </r>
  <r>
    <x v="246"/>
    <s v="Itaú - Lisboa e Lisboa"/>
    <s v="Assessoria"/>
    <x v="36"/>
    <x v="1"/>
    <s v="FLUIR MULTICLINICA EM SAÚDE"/>
    <s v="FLUIR MULTICLINICA EM SAÚDE"/>
    <m/>
    <m/>
    <s v="Nathalia Louiz"/>
    <n v="-1000"/>
    <s v="Saída"/>
    <x v="0"/>
  </r>
  <r>
    <x v="257"/>
    <s v="Itaú - Lisboa e Lisboa"/>
    <s v="R$ 10.410,60 (ENTRADA DE 5.000,00 + 3X DE 1.803,53)"/>
    <x v="2"/>
    <x v="2"/>
    <s v="FRANCISCO DO NASCIMENTO"/>
    <s v="FRANCISCO DO NASCIMENTO"/>
    <m/>
    <s v="APOSENTADORIA POR TEMPO DE CONTRIBUIÇÃO"/>
    <s v="Nathalia Louiz"/>
    <n v="1800.68"/>
    <s v="Entrada"/>
    <x v="1"/>
  </r>
  <r>
    <x v="247"/>
    <s v="Banco do Brasil - Sarah Alves Lisboa"/>
    <s v="Exame admissional"/>
    <x v="35"/>
    <x v="6"/>
    <s v="GIOVANNA MENDES REGINO"/>
    <s v="GIOVANNA MENDES REGINO"/>
    <m/>
    <m/>
    <s v="Nathalia Louiz"/>
    <n v="-35"/>
    <s v="Saída"/>
    <x v="0"/>
  </r>
  <r>
    <x v="255"/>
    <s v="Banco do Brasil - Sarah Alves Lisboa"/>
    <s v="Bonificação de meta final"/>
    <x v="29"/>
    <x v="7"/>
    <s v="GIOVANNA VICTORIA GOMES RODRIGUES"/>
    <s v="GIOVANNA VICTORIA GOMES RODRIGUES"/>
    <m/>
    <m/>
    <s v="Nathalia Louiz"/>
    <n v="-2500"/>
    <s v="Saída"/>
    <x v="0"/>
  </r>
  <r>
    <x v="258"/>
    <s v="Itaú - Lisboa e Lisboa"/>
    <s v="FÉRIAS"/>
    <x v="15"/>
    <x v="6"/>
    <s v="GIOVANNA VICTORIA GOMES RODRIGUES"/>
    <s v="GIOVANNA VICTORIA GOMES RODRIGUES"/>
    <m/>
    <m/>
    <s v="Nathalia Louiz"/>
    <n v="-1110"/>
    <s v="Saída"/>
    <x v="0"/>
  </r>
  <r>
    <x v="260"/>
    <s v="Itaú - Lisboa e Lisboa"/>
    <s v="Salário"/>
    <x v="15"/>
    <x v="6"/>
    <s v="GIOVANNA VICTORIA GOMES RODRIGUES"/>
    <s v="GIOVANNA VICTORIA GOMES RODRIGUES"/>
    <m/>
    <m/>
    <s v="Nathalia Louiz"/>
    <n v="-1029.77"/>
    <s v="Saída"/>
    <x v="0"/>
  </r>
  <r>
    <x v="250"/>
    <s v="Itaú - Lisboa e Lisboa"/>
    <s v="ALUGUEL - ESCRITÓRIO GIRASSOIS"/>
    <x v="44"/>
    <x v="1"/>
    <s v="HELENA PEREIRA DOS REIS"/>
    <s v="HELENA PEREIRA DOS REIS"/>
    <m/>
    <m/>
    <s v="Nathalia Louiz"/>
    <n v="-1000"/>
    <s v="Saída"/>
    <x v="0"/>
  </r>
  <r>
    <x v="259"/>
    <s v="Banco do Brasil - Sarah Alves Lisboa"/>
    <s v="30% sob implantação"/>
    <x v="2"/>
    <x v="2"/>
    <s v="HERRISON DA SILVA SA"/>
    <s v="HERRISON DA SILVA SA"/>
    <m/>
    <s v="BENEFÍCIO POR INCAPACIDADE"/>
    <s v="Nathalia Louiz"/>
    <n v="2273.4"/>
    <s v="Entrada"/>
    <x v="1"/>
  </r>
  <r>
    <x v="245"/>
    <s v="Itaú - Lisboa e Lisboa"/>
    <s v="Anuidade R$ 8.967,07 (2.000 + 12x R$580,59)"/>
    <x v="2"/>
    <x v="2"/>
    <s v="ISAEL MARCULINO DOS SANTOS"/>
    <s v="ISAEL MARCULINO DOS SANTOS"/>
    <m/>
    <s v="APOSENTADORIA POR TEMPO DE CONTRIBUIÇAO/ PORTADOR DE NECESSIDADES ESPECIAIS"/>
    <s v="Nathalia Louiz"/>
    <n v="577.74"/>
    <s v="Entrada"/>
    <x v="1"/>
  </r>
  <r>
    <x v="246"/>
    <s v="Banco do Brasil - Sarah Alves Lisboa"/>
    <s v="Comissão por Indicação - Nina"/>
    <x v="29"/>
    <x v="7"/>
    <s v="IVANESSA ADRIANA SILVA DE SOUSA"/>
    <s v="IVANESSA ADRIANA SILVA DE SOUSA"/>
    <m/>
    <s v="SALÁRIO MATERNIDADE"/>
    <s v="Nathalia Louiz"/>
    <n v="-240.12"/>
    <s v="Saída"/>
    <x v="0"/>
  </r>
  <r>
    <x v="259"/>
    <s v="Itaú - Lisboa e Lisboa"/>
    <s v="Honorários de implantação (655,4 em 2x)"/>
    <x v="2"/>
    <x v="2"/>
    <s v="JALES ROBERTO MANSE"/>
    <s v="JALES ROBERTO MANSE"/>
    <m/>
    <s v="JALES ROBERTO MANSE x INSS"/>
    <s v="Nathalia Louiz"/>
    <n v="327.7"/>
    <s v="Entrada"/>
    <x v="2"/>
  </r>
  <r>
    <x v="250"/>
    <s v="Banco do Brasil - Sarah Alves Lisboa"/>
    <s v="Almoço mensal"/>
    <x v="11"/>
    <x v="1"/>
    <s v="JAPA'S FOOD"/>
    <s v="JAPA'S FOOD"/>
    <m/>
    <m/>
    <s v="Nathalia Louiz"/>
    <n v="-123"/>
    <s v="Saída"/>
    <x v="0"/>
  </r>
  <r>
    <x v="249"/>
    <s v="Banco do Brasil - Sarah Alves Lisboa"/>
    <s v="30% sob implantação"/>
    <x v="2"/>
    <x v="2"/>
    <s v="JOEL ANDRADE FERREIRA"/>
    <s v="JOEL ANDRADE FERREIRA"/>
    <m/>
    <s v="APOSENTADORIA POR IDADE"/>
    <s v="Nathalia Louiz"/>
    <n v="953.1"/>
    <s v="Entrada"/>
    <x v="1"/>
  </r>
  <r>
    <x v="251"/>
    <s v="Itaú - Lisboa e Lisboa"/>
    <s v="30% RPV"/>
    <x v="2"/>
    <x v="2"/>
    <s v="KASSYA CRYSTINA DE SOUSA OLIVEIRA"/>
    <s v="KASSYA CRYSTINA DE SOUSA OLIVEIRA"/>
    <m/>
    <s v="TRABALHISTA"/>
    <s v="Nathalia Louiz"/>
    <n v="97225.38"/>
    <s v="Entrada"/>
    <x v="1"/>
  </r>
  <r>
    <x v="251"/>
    <s v="Itaú - Lisboa e Lisboa"/>
    <s v="SCB 00%"/>
    <x v="2"/>
    <x v="2"/>
    <s v="KASSYA CRYSTINA DE SOUSA OLIVEIRA"/>
    <s v="KASSYA CRYSTINA DE SOUSA OLIVEIRA"/>
    <m/>
    <s v="TRABALHISTA"/>
    <s v="Nathalia Louiz"/>
    <n v="48612.69"/>
    <s v="Entrada"/>
    <x v="1"/>
  </r>
  <r>
    <x v="252"/>
    <s v="Itaú - Lisboa e Lisboa"/>
    <s v="Comissão à Karine ref honorários de sucumbência: 48.612,69: Honorários de sucumbência líquido (-10,86%): 43.333,35 *40% Karine= 17.333,34*"/>
    <x v="29"/>
    <x v="7"/>
    <s v="KASSYA CRYSTINA DE SOUSA OLIVEIRA"/>
    <s v="KASSYA CRYSTINA DE SOUSA OLIVEIRA"/>
    <m/>
    <s v="TRABALHISTA"/>
    <s v="Thaynara Borges"/>
    <n v="-17333.34"/>
    <s v="Saída"/>
    <x v="0"/>
  </r>
  <r>
    <x v="252"/>
    <s v="Itaú - Lisboa e Lisboa"/>
    <s v="Comissão à Karine ref honorários contratuais: 97.225,38, Honorários contratuais líquidos (-10,86%): 86.666,70 *40% Karine= 34.666,68*"/>
    <x v="29"/>
    <x v="7"/>
    <s v="KASSYA CRYSTINA DE SOUSA OLIVEIRA"/>
    <s v="KASSYA CRYSTINA DE SOUSA OLIVEIRA"/>
    <m/>
    <s v="TRABALHISTA"/>
    <s v="Thaynara Borges"/>
    <n v="-34666.68"/>
    <s v="Saída"/>
    <x v="0"/>
  </r>
  <r>
    <x v="256"/>
    <s v="Banco do Brasil - Sarah Alves Lisboa"/>
    <s v="20% Sob recebimento de devolvidos"/>
    <x v="2"/>
    <x v="2"/>
    <s v="Leila Silva de Araujo"/>
    <s v="Leila Silva de Araujo"/>
    <m/>
    <s v="REPETIÇÃO DE INDÉBITO C/C INDENIZAÇÃO POR DANOS MORAIS"/>
    <s v="Nathalia Louiz"/>
    <n v="448"/>
    <s v="Entrada"/>
    <x v="1"/>
  </r>
  <r>
    <x v="261"/>
    <s v="Banco do Brasil - Sarah Alves Lisboa"/>
    <s v="Indicação paga a Dra Raffaela Nunes"/>
    <x v="29"/>
    <x v="7"/>
    <s v="Leila Silva de Araujo"/>
    <s v="Leila Silva de Araujo"/>
    <m/>
    <s v="REPETIÇÃO DE INDÉBITO C/C INDENIZAÇÃO POR DANOS MORAIS"/>
    <s v="Nathalia Louiz"/>
    <n v="-134.4"/>
    <s v="Saída"/>
    <x v="0"/>
  </r>
  <r>
    <x v="256"/>
    <s v="Itaú - Lisboa e Lisboa"/>
    <s v="IPTU - SALA B74"/>
    <x v="30"/>
    <x v="1"/>
    <s v="LISBOA E LISBOA ADVOGADOS ASSOCIADOS"/>
    <s v="LISBOA E LISBOA ADVOGADOS ASSOCIADOS"/>
    <m/>
    <m/>
    <s v="Nathalia Louiz"/>
    <n v="-125.57"/>
    <s v="Saída"/>
    <x v="0"/>
  </r>
  <r>
    <x v="249"/>
    <s v="Banco do Brasil - Sarah Alves Lisboa"/>
    <s v="INSTALAÇÃO DE QUADROS - ZELADOR"/>
    <x v="14"/>
    <x v="1"/>
    <s v="LOURIVALDO SANTOS DE SOUZA"/>
    <s v="LOURIVALDO SANTOS DE SOUZA"/>
    <m/>
    <m/>
    <s v="Nathalia Louiz"/>
    <n v="-90"/>
    <s v="Saída"/>
    <x v="0"/>
  </r>
  <r>
    <x v="246"/>
    <s v="Banco do Brasil - Sarah Alves Lisboa"/>
    <s v="30% SOB IMPLANTAÇÃO"/>
    <x v="2"/>
    <x v="2"/>
    <s v="LUCIA ALMEIDA VIEIRA"/>
    <s v="LUCIA ALMEIDA VIEIRA"/>
    <m/>
    <s v="BENEFÍCIO POR INCAPACIDADE"/>
    <s v="Nathalia Louiz"/>
    <n v="1366.2"/>
    <s v="Entrada"/>
    <x v="1"/>
  </r>
  <r>
    <x v="255"/>
    <s v="Itaú - Lisboa e Lisboa"/>
    <s v="30% RPV_x000a_Valor total: R$ 29.620,98"/>
    <x v="2"/>
    <x v="2"/>
    <s v="LUCIA ALMEIDA VIEIRA"/>
    <s v="LUCIA ALMEIDA VIEIRA"/>
    <m/>
    <s v="AUXILIO DOENÇA/APOSENTADORIA POR INVALIDEZ"/>
    <s v="Thaynara Borges"/>
    <n v="8886.2900000000009"/>
    <s v="Entrada"/>
    <x v="1"/>
  </r>
  <r>
    <x v="243"/>
    <s v="Banco do Brasil - Sarah Alves Lisboa"/>
    <s v="40% SOB IMPLANTAÇÃO"/>
    <x v="2"/>
    <x v="2"/>
    <s v="LUCIANA TATIANA FERREIRA"/>
    <s v="LUCIANA TATIANA FERREIRA"/>
    <m/>
    <s v="BENEFÍCIO POR INCAPACIDADE"/>
    <s v="Nathalia Louiz"/>
    <n v="1125.3399999999999"/>
    <s v="Entrada"/>
    <x v="1"/>
  </r>
  <r>
    <x v="262"/>
    <s v="Banco do Brasil - Sarah Alves Lisboa"/>
    <s v="REFORMA DOS SOFÁS"/>
    <x v="14"/>
    <x v="1"/>
    <s v="LUISMAR ALVES MORAES"/>
    <s v="LUISMAR ALVES MORAES"/>
    <m/>
    <m/>
    <s v="Nathalia Louiz"/>
    <n v="-2500"/>
    <s v="Saída"/>
    <x v="0"/>
  </r>
  <r>
    <x v="246"/>
    <s v="Itaú - Lisboa e Lisboa"/>
    <s v="Honorários R$5000,00 (Parceria com Dr Luciano R$2.500) - PARCELAS DO DR LUCIANO - Todas em diante"/>
    <x v="2"/>
    <x v="2"/>
    <s v="LUZIA VIEIRA DE JESUS NASCIMENTO"/>
    <s v="LUZIA VIEIRA DE JESUS NASCIMENTO"/>
    <m/>
    <s v="aposentadoria"/>
    <s v="Nathalia Louiz"/>
    <n v="500"/>
    <s v="Entrada"/>
    <x v="2"/>
  </r>
  <r>
    <x v="256"/>
    <s v="Itaú - Lisboa e Lisboa"/>
    <s v="COMPUTADOR NOVO"/>
    <x v="25"/>
    <x v="0"/>
    <s v="MAGAZINE LUIZA"/>
    <s v="MAGAZINE LUIZA"/>
    <m/>
    <m/>
    <s v="Nathalia Louiz"/>
    <n v="-4133.1899999999996"/>
    <s v="Saída"/>
    <x v="0"/>
  </r>
  <r>
    <x v="256"/>
    <s v="Itaú - Lisboa e Lisboa"/>
    <s v="30% sob RPV"/>
    <x v="2"/>
    <x v="2"/>
    <s v="MARCOS ANTONIO GOMES"/>
    <s v="MARCOS ANTONIO GOMES"/>
    <m/>
    <s v="REVISÃO APOSENTADORIA POR TEMPO DE CONTRIBUIÇÃO"/>
    <s v="Nathalia Louiz"/>
    <n v="6600.25"/>
    <s v="Entrada"/>
    <x v="1"/>
  </r>
  <r>
    <x v="243"/>
    <s v="Banco do Brasil - Sarah Alves Lisboa"/>
    <s v="Honorário"/>
    <x v="2"/>
    <x v="2"/>
    <s v="MARCOS ANTONIO LOURENÇO DE TOLEDO"/>
    <s v="MARCOS ANTONIO LOURENÇO DE TOLEDO"/>
    <m/>
    <s v="AUXILIO DOENÇA"/>
    <s v="Nathalia Louiz"/>
    <n v="500"/>
    <s v="Entrada"/>
    <x v="1"/>
  </r>
  <r>
    <x v="262"/>
    <s v="Itaú - Lisboa e Lisboa"/>
    <s v="Valor de 2% - Inventário"/>
    <x v="2"/>
    <x v="2"/>
    <s v="MARIA APARECIDA ALVES DE MORAES"/>
    <s v="MARIA APARECIDA ALVES DE MORAES"/>
    <m/>
    <s v="INVENTÁRIO"/>
    <s v="Nathalia Louiz"/>
    <n v="28171.86"/>
    <s v="Entrada"/>
    <x v="1"/>
  </r>
  <r>
    <x v="262"/>
    <s v="Itaú - Lisboa e Lisboa"/>
    <s v="Honorários de 30% (Integral Dr Vanessa)"/>
    <x v="2"/>
    <x v="2"/>
    <s v="MARIA APARECIDA ALVES DE MORAES"/>
    <s v="MARIA APARECIDA ALVES DE MORAES"/>
    <m/>
    <s v="PENSÃO POR MORTE"/>
    <s v="Nathalia Louiz"/>
    <n v="256684.22"/>
    <s v="Entrada"/>
    <x v="1"/>
  </r>
  <r>
    <x v="262"/>
    <s v="Itaú - Lisboa e Lisboa"/>
    <s v="Comissão ao Carneiro e Oliveira: honorários totais R$ 28.171.86"/>
    <x v="29"/>
    <x v="7"/>
    <s v="MARIA APARECIDA ALVES DE MORAES"/>
    <s v="MARIA APARECIDA ALVES DE MORAES"/>
    <m/>
    <s v="INVENTÁRIO"/>
    <s v="Thaynara Borges"/>
    <n v="-12556.19"/>
    <s v="Saída"/>
    <x v="0"/>
  </r>
  <r>
    <x v="261"/>
    <s v="Itaú - Lisboa e Lisboa"/>
    <s v="Comissão integral à Vanessa descontando o valor do imposto"/>
    <x v="29"/>
    <x v="7"/>
    <s v="MARIA APARECIDA ALVES DE MORAES"/>
    <s v="MARIA APARECIDA ALVES DE MORAES"/>
    <m/>
    <s v="PENSÃO POR MORTE"/>
    <s v="Thaynara Borges"/>
    <n v="-228052.73"/>
    <s v="Saída"/>
    <x v="0"/>
  </r>
  <r>
    <x v="255"/>
    <s v="Banco do Brasil - Sarah Alves Lisboa"/>
    <s v="Bonificação de meta final"/>
    <x v="29"/>
    <x v="7"/>
    <s v="MARIA EDUARDA DE SOUZA"/>
    <s v="MARIA EDUARDA DE SOUZA"/>
    <m/>
    <m/>
    <s v="Nathalia Louiz"/>
    <n v="-2500"/>
    <s v="Saída"/>
    <x v="0"/>
  </r>
  <r>
    <x v="258"/>
    <s v="Itaú - Lisboa e Lisboa"/>
    <s v="FÉRIAS"/>
    <x v="15"/>
    <x v="6"/>
    <s v="MARIA EDUARDA DE SOUZA"/>
    <s v="MARIA EDUARDA DE SOUZA"/>
    <m/>
    <m/>
    <s v="Nathalia Louiz"/>
    <n v="-1567.2"/>
    <s v="Saída"/>
    <x v="0"/>
  </r>
  <r>
    <x v="260"/>
    <s v="Itaú - Lisboa e Lisboa"/>
    <s v="Salário"/>
    <x v="15"/>
    <x v="6"/>
    <s v="MARIA EDUARDA DE SOUZA"/>
    <s v="MARIA EDUARDA DE SOUZA"/>
    <m/>
    <m/>
    <s v="Nathalia Louiz"/>
    <n v="-1550"/>
    <s v="Saída"/>
    <x v="0"/>
  </r>
  <r>
    <x v="243"/>
    <s v="Banco do Brasil - Sarah Alves Lisboa"/>
    <s v="Gratificação por reuniões"/>
    <x v="29"/>
    <x v="7"/>
    <s v="Maria Lourdes Feitosa do Nascimento"/>
    <s v="Maria Lourdes Feitosa do Nascimento"/>
    <m/>
    <m/>
    <s v="Nathalia Louiz"/>
    <n v="-1500"/>
    <s v="Saída"/>
    <x v="0"/>
  </r>
  <r>
    <x v="247"/>
    <s v="Itaú - Lisboa e Lisboa"/>
    <s v="RECEBIMENTO BANCARIO"/>
    <x v="39"/>
    <x v="0"/>
    <s v="MAST CD"/>
    <s v="MAST CD"/>
    <m/>
    <m/>
    <s v="Nathalia Louiz"/>
    <n v="240.02"/>
    <s v="Entrada"/>
    <x v="1"/>
  </r>
  <r>
    <x v="248"/>
    <s v="Itaú - Lisboa e Lisboa"/>
    <s v="3 SALÁRIOS DE BENEFICIO (Entrada de 1000,00 + 6x de 492,33 no boleto)"/>
    <x v="2"/>
    <x v="2"/>
    <s v="Maura Cardoso Borges"/>
    <s v="Maura Cardoso Borges"/>
    <m/>
    <s v="APOSENTADORIA POR IDADE"/>
    <s v="Nathalia Louiz"/>
    <n v="489.47999999999996"/>
    <s v="Entrada"/>
    <x v="1"/>
  </r>
  <r>
    <x v="243"/>
    <s v="Banco do Brasil - Sarah Alves Lisboa"/>
    <s v="Comissão"/>
    <x v="29"/>
    <x v="7"/>
    <s v="Maura Cardoso Borges"/>
    <s v="Maura Cardoso Borges"/>
    <m/>
    <m/>
    <s v="Nathalia Louiz"/>
    <n v="-300"/>
    <s v="Saída"/>
    <x v="0"/>
  </r>
  <r>
    <x v="263"/>
    <s v="Itaú - Lisboa e Lisboa"/>
    <s v="BENEFÍCIOS"/>
    <x v="37"/>
    <x v="6"/>
    <s v="NAAMA MENDES JUNIOR - VALUU"/>
    <s v="NAAMA MENDES JUNIOR - VALUU"/>
    <m/>
    <m/>
    <s v="Nathalia Louiz"/>
    <n v="-165.9"/>
    <s v="Saída"/>
    <x v="0"/>
  </r>
  <r>
    <x v="263"/>
    <s v="Itaú - Lisboa e Lisboa"/>
    <s v="Pagamento de benefícios: SAMARA ALMEIDA BOGEA (300,00) - MARIA EDUARDA DE SOUZA (300,00) - GIOVANNA VICTORIA GOMES RODRIGUES (300,00) - NINA ARAUJO (300,00) + Taxas da VALUU (2,50)"/>
    <x v="37"/>
    <x v="6"/>
    <s v="NAAMA MENDES JUNIOR - VALUU"/>
    <s v="NAAMA MENDES JUNIOR - VALUU"/>
    <m/>
    <m/>
    <s v="Nathalia Louiz"/>
    <n v="-1202.5"/>
    <s v="Saída"/>
    <x v="0"/>
  </r>
  <r>
    <x v="255"/>
    <s v="Banco do Brasil - Sarah Alves Lisboa"/>
    <s v="Bonificação de final de ano"/>
    <x v="29"/>
    <x v="7"/>
    <s v="Nathalia Louiz Alves Vigilato"/>
    <s v="Nathalia Louiz Alves Vigilato"/>
    <m/>
    <m/>
    <s v="Nathalia Louiz"/>
    <n v="-1000"/>
    <s v="Saída"/>
    <x v="0"/>
  </r>
  <r>
    <x v="263"/>
    <s v="Banco do Brasil - Sarah Alves Lisboa"/>
    <s v="Salário"/>
    <x v="15"/>
    <x v="6"/>
    <s v="Nathalia Louiz Alves Vigilato"/>
    <s v="Nathalia Louiz Alves Vigilato"/>
    <m/>
    <m/>
    <s v="Nathalia Louiz"/>
    <n v="-1518"/>
    <s v="Saída"/>
    <x v="0"/>
  </r>
  <r>
    <x v="260"/>
    <s v="Itaú - Lisboa e Lisboa"/>
    <s v="Salário"/>
    <x v="15"/>
    <x v="6"/>
    <s v="Nina Araujo"/>
    <s v="Nina Araujo"/>
    <m/>
    <m/>
    <s v="Thaynara Borges"/>
    <n v="-2152.29"/>
    <s v="Saída"/>
    <x v="0"/>
  </r>
  <r>
    <x v="248"/>
    <s v="Banco do Brasil - Sarah Alves Lisboa"/>
    <s v="Combustível de viagem"/>
    <x v="27"/>
    <x v="4"/>
    <s v="Posto 2824 GOIÂNIA"/>
    <s v="Posto 2824 GOIÂNIA"/>
    <m/>
    <m/>
    <s v="Nathalia Louiz"/>
    <n v="-231.81"/>
    <s v="Saída"/>
    <x v="0"/>
  </r>
  <r>
    <x v="254"/>
    <s v="Itaú - Lisboa e Lisboa"/>
    <s v="Espumantes"/>
    <x v="16"/>
    <x v="4"/>
    <s v="POSTO DAS BEBIDAS"/>
    <s v="POSTO DAS BEBIDAS"/>
    <m/>
    <m/>
    <s v="Nathalia Louiz"/>
    <n v="-639.91999999999996"/>
    <s v="Saída"/>
    <x v="0"/>
  </r>
  <r>
    <x v="250"/>
    <s v="Itaú - Lisboa e Lisboa"/>
    <s v="Consultoria Financeira"/>
    <x v="0"/>
    <x v="0"/>
    <s v="PROGRESSE CONSULTORIA EMPRESARIAL"/>
    <s v="PROGRESSE CONSULTORIA EMPRESARIAL"/>
    <m/>
    <m/>
    <s v="Thaynara Borges"/>
    <n v="-1750"/>
    <s v="Saída"/>
    <x v="0"/>
  </r>
  <r>
    <x v="254"/>
    <s v="Banco do Brasil - Sarah Alves Lisboa"/>
    <s v="Lanches"/>
    <x v="11"/>
    <x v="1"/>
    <s v="QG"/>
    <s v="QG"/>
    <m/>
    <m/>
    <s v="Nathalia Louiz"/>
    <n v="-64.5"/>
    <s v="Saída"/>
    <x v="0"/>
  </r>
  <r>
    <x v="258"/>
    <s v="Itaú - Lisboa e Lisboa"/>
    <s v="Suprimentos para escritório (Boleto whats lisboa)"/>
    <x v="26"/>
    <x v="1"/>
    <s v="R3 SUPRIMENTOS CORPORATIVOS LTDA"/>
    <s v="R3 SUPRIMENTOS CORPORATIVOS LTDA"/>
    <m/>
    <m/>
    <s v="Nathalia Louiz"/>
    <n v="-490.7"/>
    <s v="Saída"/>
    <x v="0"/>
  </r>
  <r>
    <x v="263"/>
    <s v="Banco do Brasil - Sarah Alves Lisboa"/>
    <s v="Salário"/>
    <x v="15"/>
    <x v="6"/>
    <s v="Raffaela Nunes"/>
    <s v="Raffaela Nunes"/>
    <m/>
    <m/>
    <s v="Thaynara Borges"/>
    <n v="-3500"/>
    <s v="Saída"/>
    <x v="0"/>
  </r>
  <r>
    <x v="258"/>
    <s v="Itaú - Lisboa e Lisboa"/>
    <s v="INSS"/>
    <x v="19"/>
    <x v="6"/>
    <s v="RECEITA FEDERAL"/>
    <s v="RECEITA FEDERAL"/>
    <m/>
    <m/>
    <s v="Thaynara Borges"/>
    <n v="-4086"/>
    <s v="Saída"/>
    <x v="0"/>
  </r>
  <r>
    <x v="249"/>
    <s v="Banco do Brasil - Sarah Alves Lisboa"/>
    <s v="Combustível"/>
    <x v="27"/>
    <x v="4"/>
    <s v="RHAM AUTO POSTO"/>
    <s v="RHAM AUTO POSTO"/>
    <m/>
    <m/>
    <s v="Nathalia Louiz"/>
    <n v="-318.54000000000002"/>
    <s v="Saída"/>
    <x v="0"/>
  </r>
  <r>
    <x v="262"/>
    <s v="Banco do Brasil - Sarah Alves Lisboa"/>
    <s v="30% SOB IMPLANTAÇÃO"/>
    <x v="2"/>
    <x v="2"/>
    <s v="ROSAURA SOARES DA SILVA"/>
    <s v="ROSAURA SOARES DA SILVA"/>
    <m/>
    <s v="BENEFICIO POR INCAPACIDADE"/>
    <s v="Nathalia Louiz"/>
    <n v="460"/>
    <s v="Entrada"/>
    <x v="1"/>
  </r>
  <r>
    <x v="254"/>
    <s v="Banco do Brasil - Sarah Alves Lisboa"/>
    <s v="Combustivel"/>
    <x v="27"/>
    <x v="4"/>
    <s v="S TEODORO LEITE"/>
    <s v="S TEODORO LEITE"/>
    <m/>
    <m/>
    <s v="Nathalia Louiz"/>
    <n v="-200"/>
    <s v="Saída"/>
    <x v="0"/>
  </r>
  <r>
    <x v="264"/>
    <s v="Itaú - Lisboa e Lisboa"/>
    <s v="INFORMÁTICA"/>
    <x v="36"/>
    <x v="1"/>
    <s v="SAFETECH CONSULTORIA GESTÃO E TECNOLOGIA LTDA"/>
    <s v="SAFETECH CONSULTORIA GESTÃO E TECNOLOGIA LTDA"/>
    <m/>
    <m/>
    <s v="Nathalia Louiz"/>
    <n v="-745.67"/>
    <s v="Saída"/>
    <x v="0"/>
  </r>
  <r>
    <x v="258"/>
    <s v="Itaú - Lisboa e Lisboa"/>
    <s v="FÉRIAS"/>
    <x v="15"/>
    <x v="6"/>
    <s v="SAMARA ALMEIDA BOGEA"/>
    <s v="SAMARA ALMEIDA BOGEA"/>
    <m/>
    <m/>
    <s v="Nathalia Louiz"/>
    <n v="-1539.44"/>
    <s v="Saída"/>
    <x v="0"/>
  </r>
  <r>
    <x v="255"/>
    <s v="Banco do Brasil - Sarah Alves Lisboa"/>
    <s v="Bonificação de meta final"/>
    <x v="29"/>
    <x v="7"/>
    <s v="SAMARA ALMEIDA BOGEA"/>
    <s v="SAMARA ALMEIDA BOGEA"/>
    <m/>
    <m/>
    <s v="Nathalia Louiz"/>
    <n v="-2500"/>
    <s v="Saída"/>
    <x v="0"/>
  </r>
  <r>
    <x v="260"/>
    <s v="Itaú - Lisboa e Lisboa"/>
    <s v="Salário"/>
    <x v="15"/>
    <x v="6"/>
    <s v="SAMARA ALMEIDA BOGEA"/>
    <s v="SAMARA ALMEIDA BOGEA"/>
    <m/>
    <m/>
    <s v="Nathalia Louiz"/>
    <n v="-1523.21"/>
    <s v="Saída"/>
    <x v="0"/>
  </r>
  <r>
    <x v="256"/>
    <s v="Itaú - Lisboa e Lisboa"/>
    <s v="Água"/>
    <x v="17"/>
    <x v="1"/>
    <s v="SANEAGO GOIAS S/A"/>
    <s v="SANEAGO GOIAS S/A"/>
    <m/>
    <m/>
    <s v="Thaynara Borges"/>
    <n v="-132.22999999999999"/>
    <s v="Saída"/>
    <x v="0"/>
  </r>
  <r>
    <x v="254"/>
    <s v="Banco do Brasil - Sarah Alves Lisboa"/>
    <s v="SAQUE EM AGENCIA T-7"/>
    <x v="33"/>
    <x v="4"/>
    <s v="SAQUE EM DINHEIRO"/>
    <s v="SAQUE EM DINHEIRO"/>
    <m/>
    <m/>
    <s v="Nathalia Louiz"/>
    <n v="-1400"/>
    <s v="Saída"/>
    <x v="0"/>
  </r>
  <r>
    <x v="244"/>
    <s v="Banco do Brasil - Sarah Alves Lisboa"/>
    <s v="REEMBOLSO UBER - VIAGEM"/>
    <x v="27"/>
    <x v="4"/>
    <s v="SARAH ALVES LISBOA"/>
    <s v="SARAH ALVES LISBOA"/>
    <m/>
    <m/>
    <s v="Nathalia Louiz"/>
    <n v="-346.76"/>
    <s v="Saída"/>
    <x v="0"/>
  </r>
  <r>
    <x v="255"/>
    <s v="Itaú - Lisboa e Lisboa"/>
    <s v="RETIRADA SÓCIAS"/>
    <x v="22"/>
    <x v="8"/>
    <s v="SARAH ALVES LISBOA"/>
    <s v="SARAH ALVES LISBOA"/>
    <m/>
    <m/>
    <s v="Nathalia Louiz"/>
    <n v="-30000"/>
    <s v="Saída"/>
    <x v="0"/>
  </r>
  <r>
    <x v="260"/>
    <s v="Itaú - Lisboa e Lisboa"/>
    <s v="PRÓ-LABORE"/>
    <x v="23"/>
    <x v="8"/>
    <s v="Sarah Alves Lisboa"/>
    <s v="Sarah Alves Lisboa"/>
    <m/>
    <m/>
    <s v="Thaynara Borges"/>
    <n v="-1351.02"/>
    <s v="Saída"/>
    <x v="0"/>
  </r>
  <r>
    <x v="260"/>
    <s v="Banco do Brasil - Sarah Alves Lisboa"/>
    <s v="Retirada"/>
    <x v="22"/>
    <x v="8"/>
    <s v="Sarah Alves Lisboa"/>
    <s v="Sarah Alves Lisboa"/>
    <m/>
    <m/>
    <s v="Thaynara Borges"/>
    <n v="-6148.98"/>
    <s v="Saída"/>
    <x v="4"/>
  </r>
  <r>
    <x v="246"/>
    <s v="Banco do Brasil - Sarah Alves Lisboa"/>
    <s v="Anuidade 13x de 550 (duas parcelas)"/>
    <x v="2"/>
    <x v="2"/>
    <s v="SEBASTIAO RIBEIRO NETO"/>
    <s v="SEBASTIAO RIBEIRO NETO"/>
    <m/>
    <s v="APOSENTADORIA POR TEMPO DE CONTRIBUIÇAO DA PESSOA COM DEFICIENCIA"/>
    <s v="Nathalia Louiz"/>
    <n v="1114"/>
    <s v="Entrada"/>
    <x v="1"/>
  </r>
  <r>
    <x v="244"/>
    <s v="Itaú - Lisboa e Lisboa"/>
    <s v="Materiais de reforma"/>
    <x v="14"/>
    <x v="1"/>
    <s v="SEBBA"/>
    <s v="SEBBA"/>
    <m/>
    <m/>
    <s v="Nathalia Louiz"/>
    <n v="-648.98"/>
    <s v="Saída"/>
    <x v="0"/>
  </r>
  <r>
    <x v="258"/>
    <s v="Itaú - Lisboa e Lisboa"/>
    <s v="Simples Nacional"/>
    <x v="20"/>
    <x v="7"/>
    <s v="Simples Nacional"/>
    <s v="Simples Nacional"/>
    <m/>
    <m/>
    <s v="Thaynara Borges"/>
    <n v="-11240.92"/>
    <s v="Saída"/>
    <x v="0"/>
  </r>
  <r>
    <x v="262"/>
    <s v="Banco do Brasil - Sarah Alves Lisboa"/>
    <s v="20% SOB DEVOLVIDOS"/>
    <x v="2"/>
    <x v="2"/>
    <s v="SIRLENE DONIZETTI DOS REIS"/>
    <s v="SIRLENE DONIZETTI DOS REIS"/>
    <m/>
    <s v="DESCONTOS DE ASSOCIAÇÃO"/>
    <s v="Nathalia Louiz"/>
    <n v="171.61"/>
    <s v="Entrada"/>
    <x v="1"/>
  </r>
  <r>
    <x v="256"/>
    <s v="Itaú - Lisboa e Lisboa"/>
    <s v="30% sob RPV"/>
    <x v="2"/>
    <x v="2"/>
    <s v="SUELLEN DE JESUS LIMA"/>
    <s v="SUELLEN DE JESUS LIMA"/>
    <m/>
    <s v="AUXILIO ACIDENTE"/>
    <s v="Nathalia Louiz"/>
    <n v="13598.29"/>
    <s v="Entrada"/>
    <x v="1"/>
  </r>
  <r>
    <x v="248"/>
    <s v="Itaú - Lisboa e Lisboa"/>
    <s v="30% de honorários"/>
    <x v="2"/>
    <x v="2"/>
    <s v="SUELY IRENE DA MOTA"/>
    <s v="SUELY IRENE DA MOTA"/>
    <m/>
    <s v="NULIDADE DE CONTRATO ASSOCIAÇÃO E INDENIZAÇÃO POR DANOS MORAIS"/>
    <s v="Nathalia Louiz"/>
    <n v="272.01"/>
    <s v="Entrada"/>
    <x v="2"/>
  </r>
  <r>
    <x v="254"/>
    <s v="Banco do Brasil - Sarah Alves Lisboa"/>
    <s v="Compras de escritório"/>
    <x v="11"/>
    <x v="1"/>
    <s v="SUPERMERCADO MOREIRA"/>
    <s v="SUPERMERCADO MOREIRA"/>
    <m/>
    <m/>
    <s v="Nathalia Louiz"/>
    <n v="-141.22"/>
    <s v="Saída"/>
    <x v="0"/>
  </r>
  <r>
    <x v="255"/>
    <s v="Itaú - Lisboa e Lisboa"/>
    <s v="RETIRADA SÓCIAS"/>
    <x v="22"/>
    <x v="8"/>
    <s v="Thaynara Borges Pereira"/>
    <s v="Thaynara Borges Pereira"/>
    <m/>
    <m/>
    <s v="Nathalia Louiz"/>
    <n v="-20000"/>
    <s v="Saída"/>
    <x v="0"/>
  </r>
  <r>
    <x v="261"/>
    <s v="Banco do Brasil - Sarah Alves Lisboa"/>
    <s v="Reembolso de Valores pagos em pedágio - Viagem SP"/>
    <x v="5"/>
    <x v="4"/>
    <s v="Thaynara Borges Pereira"/>
    <s v="Thaynara Borges Pereira"/>
    <m/>
    <m/>
    <s v="Nathalia Louiz"/>
    <n v="-325.2"/>
    <s v="Saída"/>
    <x v="0"/>
  </r>
  <r>
    <x v="260"/>
    <s v="Banco do Brasil - Sarah Alves Lisboa"/>
    <s v="Retirada"/>
    <x v="22"/>
    <x v="8"/>
    <s v="Thaynara Borges Pereira"/>
    <s v="Thaynara Borges Pereira"/>
    <m/>
    <m/>
    <s v="Thaynara Borges"/>
    <n v="-3648.98"/>
    <s v="Saída"/>
    <x v="4"/>
  </r>
  <r>
    <x v="260"/>
    <s v="Itaú - Lisboa e Lisboa"/>
    <s v="PRÓ-LABORE"/>
    <x v="23"/>
    <x v="8"/>
    <s v="Thaynara Borges Pereira"/>
    <s v="Thaynara Borges Pereira"/>
    <m/>
    <m/>
    <s v="Thaynara Borges"/>
    <n v="-1351.02"/>
    <s v="Saída"/>
    <x v="0"/>
  </r>
  <r>
    <x v="260"/>
    <s v="Itaú - Lisboa e Lisboa"/>
    <s v="Reforma do escritório"/>
    <x v="14"/>
    <x v="1"/>
    <s v="UNITINTAS"/>
    <s v="UNITINTAS"/>
    <m/>
    <m/>
    <s v="Nathalia Louiz"/>
    <n v="-402.12"/>
    <s v="Saída"/>
    <x v="0"/>
  </r>
  <r>
    <x v="257"/>
    <s v="Banco do Brasil - Sarah Alves Lisboa"/>
    <s v="PAGAMENTO DE HONORÁRIOS"/>
    <x v="2"/>
    <x v="2"/>
    <s v="VALDIR DE PAIVA BRASIL"/>
    <s v="VALDIR DE PAIVA BRASIL"/>
    <m/>
    <s v="PENSÃO POR MORTE"/>
    <s v="Nathalia Louiz"/>
    <n v="300"/>
    <s v="Entrada"/>
    <x v="1"/>
  </r>
  <r>
    <x v="256"/>
    <s v="Itaú - Lisboa e Lisboa"/>
    <s v="Honorários RPV"/>
    <x v="2"/>
    <x v="2"/>
    <s v="VERA LUCIA PEREIRA DE OLIVEIRA"/>
    <s v="VERA LUCIA PEREIRA DE OLIVEIRA"/>
    <m/>
    <s v="AUXÍLIO DOENÇA"/>
    <s v="Nathalia Louiz"/>
    <n v="13363.47"/>
    <s v="Entrada"/>
    <x v="1"/>
  </r>
  <r>
    <x v="255"/>
    <s v="Itaú - Lisboa e Lisboa"/>
    <s v="Celular"/>
    <x v="8"/>
    <x v="1"/>
    <s v="VIVO"/>
    <s v="VIVO"/>
    <m/>
    <m/>
    <s v="Thaynara Borges"/>
    <n v="-137.37"/>
    <s v="Saída"/>
    <x v="0"/>
  </r>
  <r>
    <x v="257"/>
    <s v="Itaú - Lisboa e Lisboa"/>
    <s v="CONTRATO 9621661899"/>
    <x v="8"/>
    <x v="1"/>
    <s v="VIVO FIXO"/>
    <s v="VIVO FIXO"/>
    <m/>
    <m/>
    <s v="Thaynara Borges"/>
    <n v="-260.58"/>
    <s v="Saída"/>
    <x v="0"/>
  </r>
  <r>
    <x v="265"/>
    <s v="Cartão de Crédito Dr Ivanildo"/>
    <s v="RICHESSE"/>
    <x v="11"/>
    <x v="1"/>
    <s v="BANCO ITAU"/>
    <s v="BANCO ITAU"/>
    <m/>
    <m/>
    <s v="Nathalia Louiz"/>
    <n v="-211.5"/>
    <s v="Saída"/>
    <x v="0"/>
  </r>
  <r>
    <x v="265"/>
    <s v="Cartão de Crédito Dr Ivanildo"/>
    <s v="PONTO QUENTE - CT"/>
    <x v="11"/>
    <x v="1"/>
    <s v="BANCO ITAU"/>
    <s v="BANCO ITAU"/>
    <m/>
    <m/>
    <s v="Nathalia Louiz"/>
    <n v="-74.17"/>
    <s v="Saída"/>
    <x v="0"/>
  </r>
  <r>
    <x v="265"/>
    <s v="Cartão de Crédito Dr Ivanildo"/>
    <s v="LOJAS AMERICANAS"/>
    <x v="26"/>
    <x v="1"/>
    <s v="BANCO ITAU"/>
    <s v="BANCO ITAU"/>
    <m/>
    <m/>
    <s v="Nathalia Louiz"/>
    <n v="-39.92"/>
    <s v="Saída"/>
    <x v="0"/>
  </r>
  <r>
    <x v="265"/>
    <s v="Cartão de Crédito Dr Ivanildo"/>
    <s v="MARANATA CHOCOLATERIA"/>
    <x v="16"/>
    <x v="4"/>
    <s v="BANCO ITAU"/>
    <s v="BANCO ITAU"/>
    <m/>
    <m/>
    <s v="Nathalia Louiz"/>
    <n v="-141.12"/>
    <s v="Saída"/>
    <x v="0"/>
  </r>
  <r>
    <x v="265"/>
    <s v="Cartão de Crédito Dr Ivanildo"/>
    <s v="JUS BRASIL"/>
    <x v="12"/>
    <x v="1"/>
    <s v="BANCO ITAU"/>
    <s v="BANCO ITAU"/>
    <m/>
    <m/>
    <s v="Nathalia Louiz"/>
    <n v="-58.9"/>
    <s v="Saída"/>
    <x v="0"/>
  </r>
  <r>
    <x v="265"/>
    <s v="Cartão de Crédito Dr Ivanildo"/>
    <s v="VALORI*CANA"/>
    <x v="26"/>
    <x v="1"/>
    <s v="BANCO ITAU"/>
    <s v="BANCO ITAU"/>
    <m/>
    <m/>
    <s v="Nathalia Louiz"/>
    <n v="-42.86"/>
    <s v="Saída"/>
    <x v="0"/>
  </r>
  <r>
    <x v="265"/>
    <s v="Cartão de Crédito Dr Ivanildo"/>
    <s v="ROYETRONIC"/>
    <x v="26"/>
    <x v="1"/>
    <s v="BANCO ITAU"/>
    <s v="BANCO ITAU"/>
    <m/>
    <m/>
    <s v="Nathalia Louiz"/>
    <n v="-45"/>
    <s v="Saída"/>
    <x v="0"/>
  </r>
  <r>
    <x v="265"/>
    <s v="Cartão de Crédito Dr Ivanildo"/>
    <s v="PG*NUVEM YACAN"/>
    <x v="12"/>
    <x v="1"/>
    <s v="BANCO ITAU"/>
    <s v="BANCO ITAU"/>
    <m/>
    <m/>
    <s v="Nathalia Louiz"/>
    <n v="-450"/>
    <s v="Saída"/>
    <x v="0"/>
  </r>
  <r>
    <x v="265"/>
    <s v="Cartão de Crédito Dr Ivanildo"/>
    <s v="LOGIKE*LOGIKE"/>
    <x v="12"/>
    <x v="1"/>
    <s v="BANCO ITAU"/>
    <s v="BANCO ITAU"/>
    <m/>
    <m/>
    <s v="Nathalia Louiz"/>
    <n v="-80.91"/>
    <s v="Saída"/>
    <x v="0"/>
  </r>
  <r>
    <x v="265"/>
    <s v="Cartão de Crédito Dr Ivanildo"/>
    <s v="Pagamento Cartão de Crédito Dr Ivanildo"/>
    <x v="6"/>
    <x v="1"/>
    <s v="BANCO ITAU"/>
    <s v="BANCO ITAU"/>
    <m/>
    <m/>
    <s v="Nathalia Louiz"/>
    <n v="3182.15"/>
    <s v="Entrada"/>
    <x v="1"/>
  </r>
  <r>
    <x v="265"/>
    <s v="Cartão de Crédito Dr Ivanildo"/>
    <s v="EXTRACARTUCHOS"/>
    <x v="26"/>
    <x v="1"/>
    <s v="BANCO ITAU"/>
    <s v="BANCO ITAU"/>
    <m/>
    <m/>
    <s v="Nathalia Louiz"/>
    <n v="-60"/>
    <s v="Saída"/>
    <x v="0"/>
  </r>
  <r>
    <x v="265"/>
    <s v="Cartão de Crédito Dr Ivanildo"/>
    <s v="Computador Dell"/>
    <x v="25"/>
    <x v="0"/>
    <s v="BANCO ITAU"/>
    <s v="BANCO ITAU"/>
    <s v=""/>
    <m/>
    <s v="Nathalia Louiz"/>
    <n v="-333.24"/>
    <s v="Saída"/>
    <x v="0"/>
  </r>
  <r>
    <x v="265"/>
    <s v="Cartão de Crédito Dr Ivanildo"/>
    <s v="JUS BRASIL"/>
    <x v="12"/>
    <x v="1"/>
    <s v="BANCO ITAU"/>
    <s v="BANCO ITAU"/>
    <m/>
    <m/>
    <s v="Nathalia Louiz"/>
    <n v="-58.9"/>
    <s v="Saída"/>
    <x v="0"/>
  </r>
  <r>
    <x v="266"/>
    <s v="Itaú - Lisboa e Lisboa"/>
    <s v="Peças de computador"/>
    <x v="25"/>
    <x v="0"/>
    <s v="MAGAZINE LUIZA"/>
    <s v="MAGAZINE LUIZA"/>
    <m/>
    <m/>
    <s v="Nathalia Louiz"/>
    <n v="-86.22"/>
    <s v="Saída"/>
    <x v="0"/>
  </r>
  <r>
    <x v="265"/>
    <s v="Cartão de Crédito Dr Ivanildo"/>
    <s v="GOOGLE ONE"/>
    <x v="12"/>
    <x v="1"/>
    <s v="BANCO ITAU"/>
    <s v="BANCO ITAU"/>
    <m/>
    <m/>
    <s v="Nathalia Louiz"/>
    <n v="-49.99"/>
    <s v="Saída"/>
    <x v="0"/>
  </r>
  <r>
    <x v="267"/>
    <s v="Cartão de Crédito Dra Thaynara - Itaú"/>
    <s v="KABUM KABUM"/>
    <x v="26"/>
    <x v="1"/>
    <s v="BANCO ITAU"/>
    <s v="BANCO ITAU"/>
    <m/>
    <m/>
    <s v="Nathalia Louiz"/>
    <n v="-94.04"/>
    <s v="Saída"/>
    <x v="0"/>
  </r>
  <r>
    <x v="265"/>
    <s v="Cartão de Crédito Dr Ivanildo"/>
    <s v="ASA*CursosEspeccialJus"/>
    <x v="12"/>
    <x v="1"/>
    <s v="BANCO ITAU"/>
    <s v="BANCO ITAU"/>
    <m/>
    <m/>
    <s v="Nathalia Louiz"/>
    <n v="-59.9"/>
    <s v="Saída"/>
    <x v="0"/>
  </r>
  <r>
    <x v="265"/>
    <s v="Cartão de Crédito Dr Ivanildo"/>
    <s v="ROSEANE REIS"/>
    <x v="11"/>
    <x v="1"/>
    <s v="BANCO ITAU"/>
    <s v="BANCO ITAU"/>
    <m/>
    <m/>
    <s v="Nathalia Louiz"/>
    <n v="-13"/>
    <s v="Saída"/>
    <x v="0"/>
  </r>
  <r>
    <x v="265"/>
    <s v="Cartão de Crédito Dr Ivanildo"/>
    <s v="SUPERMERCADO MOREIRA"/>
    <x v="26"/>
    <x v="1"/>
    <s v="BANCO ITAU"/>
    <s v="BANCO ITAU"/>
    <m/>
    <m/>
    <s v="Nathalia Louiz"/>
    <n v="-104.7"/>
    <s v="Saída"/>
    <x v="0"/>
  </r>
  <r>
    <x v="265"/>
    <s v="Cartão de Crédito Dr Ivanildo"/>
    <s v="SUPER VI"/>
    <x v="25"/>
    <x v="0"/>
    <s v="BANCO ITAU"/>
    <s v="BANCO ITAU"/>
    <m/>
    <m/>
    <s v="Nathalia Louiz"/>
    <n v="-134.62"/>
    <s v="Saída"/>
    <x v="0"/>
  </r>
  <r>
    <x v="268"/>
    <s v="Itaú - Lisboa e Lisboa"/>
    <s v="Mouses para escritório"/>
    <x v="25"/>
    <x v="0"/>
    <s v="MAGAZINE LUIZA"/>
    <s v="MAGAZINE LUIZA"/>
    <m/>
    <m/>
    <s v="Nathalia Louiz"/>
    <n v="-185.98"/>
    <s v="Saída"/>
    <x v="0"/>
  </r>
  <r>
    <x v="265"/>
    <s v="Cartão de Crédito Dr Ivanildo"/>
    <s v="PG* ZAPSIGN"/>
    <x v="12"/>
    <x v="1"/>
    <s v="BANCO ITAU"/>
    <s v="BANCO ITAU"/>
    <m/>
    <m/>
    <s v="Nathalia Louiz"/>
    <n v="-32.9"/>
    <s v="Saída"/>
    <x v="0"/>
  </r>
  <r>
    <x v="265"/>
    <s v="Cartão de Crédito Dr Ivanildo"/>
    <s v="LOCCITANE BR"/>
    <x v="16"/>
    <x v="4"/>
    <s v="BANCO ITAU"/>
    <s v="BANCO ITAU"/>
    <m/>
    <m/>
    <s v="Nathalia Louiz"/>
    <n v="-423.2"/>
    <s v="Saída"/>
    <x v="0"/>
  </r>
  <r>
    <x v="265"/>
    <s v="Cartão de Crédito Dr Ivanildo"/>
    <s v="Previdenciarista"/>
    <x v="12"/>
    <x v="1"/>
    <s v="BANCO ITAU"/>
    <s v="BANCO ITAU"/>
    <m/>
    <m/>
    <s v="Thaynara Borges"/>
    <n v="-119.9"/>
    <s v="Saída"/>
    <x v="0"/>
  </r>
  <r>
    <x v="269"/>
    <s v="Itaú - Lisboa e Lisboa"/>
    <s v="ALUGUEL - ESCRITÓRIO GIRASSOIS"/>
    <x v="44"/>
    <x v="1"/>
    <s v="HELENA PEREIRA DOS REIS"/>
    <s v="HELENA PEREIRA DOS REIS"/>
    <m/>
    <m/>
    <s v="Nathalia Louiz"/>
    <n v="-1000"/>
    <s v="Saída"/>
    <x v="0"/>
  </r>
  <r>
    <x v="269"/>
    <s v="Itaú - Lisboa e Lisboa"/>
    <s v="Consultoria contábil"/>
    <x v="1"/>
    <x v="1"/>
    <s v="CARLOS ALBERTO GRACIANO RODRIGUES"/>
    <s v="CARLOS ALBERTO GRACIANO RODRIGUES"/>
    <m/>
    <m/>
    <s v="Nathalia Louiz"/>
    <n v="-1518"/>
    <s v="Saída"/>
    <x v="0"/>
  </r>
  <r>
    <x v="269"/>
    <s v="Itaú - Lisboa e Lisboa"/>
    <s v="Energia contrato 0067122721"/>
    <x v="21"/>
    <x v="1"/>
    <s v="EQUATORIAL GOIAS 0067122721"/>
    <s v="EQUATORIAL GOIAS 0067122721"/>
    <m/>
    <m/>
    <s v="Thaynara Borges"/>
    <n v="-585.39"/>
    <s v="Saída"/>
    <x v="0"/>
  </r>
  <r>
    <x v="269"/>
    <s v="Itaú - Lisboa e Lisboa"/>
    <s v="Energia contrato 0067122663"/>
    <x v="21"/>
    <x v="1"/>
    <s v="EQUATORIAL GOIAS 0067122663"/>
    <s v="EQUATORIAL GOIAS 0067122663"/>
    <m/>
    <m/>
    <s v="Thaynara Borges"/>
    <n v="-696.05"/>
    <s v="Saída"/>
    <x v="0"/>
  </r>
  <r>
    <x v="269"/>
    <s v="Itaú - Lisboa e Lisboa"/>
    <s v="Assessoria Contabíl"/>
    <x v="0"/>
    <x v="0"/>
    <s v="PROGRESSE CONSULTORIA EMPRESARIAL"/>
    <s v="PROGRESSE CONSULTORIA EMPRESARIAL"/>
    <m/>
    <m/>
    <s v="Nathalia Louiz"/>
    <n v="-1750"/>
    <s v="Saída"/>
    <x v="0"/>
  </r>
  <r>
    <x v="269"/>
    <s v="Itaú - Lisboa e Lisboa"/>
    <s v="Salário Marketing"/>
    <x v="15"/>
    <x v="6"/>
    <s v="ANNA CLARA JARDIM"/>
    <s v="ANNA CLARA JARDIM"/>
    <m/>
    <m/>
    <s v="Nathalia Louiz"/>
    <n v="-1300"/>
    <s v="Saída"/>
    <x v="0"/>
  </r>
  <r>
    <x v="269"/>
    <s v="Itaú - Lisboa e Lisboa"/>
    <s v="Honorários R$5000,00 (Parceria com Dr Luciano R$2.500) - PARCELAS DO DR LUCIANO - Todas em diante"/>
    <x v="2"/>
    <x v="2"/>
    <s v="LUZIA VIEIRA DE JESUS NASCIMENTO"/>
    <s v="LUZIA VIEIRA DE JESUS NASCIMENTO"/>
    <m/>
    <s v="aposentadoria"/>
    <s v="Nathalia Louiz"/>
    <n v="500"/>
    <s v="Entrada"/>
    <x v="2"/>
  </r>
  <r>
    <x v="266"/>
    <s v="Itaú - Lisboa e Lisboa"/>
    <s v="Pagamento cartão de crédito Dr Ivanildo - Itaú"/>
    <x v="6"/>
    <x v="1"/>
    <s v="BANCO ITAU"/>
    <s v="BANCO ITAU"/>
    <m/>
    <m/>
    <s v="Nathalia Louiz"/>
    <n v="-3182.15"/>
    <s v="Saída"/>
    <x v="0"/>
  </r>
  <r>
    <x v="266"/>
    <s v="Itaú - Lisboa e Lisboa"/>
    <s v="Condomínio vaga A88"/>
    <x v="10"/>
    <x v="1"/>
    <s v="ATON BUSINESS STYLE"/>
    <s v="ATON BUSINESS STYLE"/>
    <m/>
    <m/>
    <s v="Nathalia Louiz"/>
    <n v="-65.94"/>
    <s v="Saída"/>
    <x v="0"/>
  </r>
  <r>
    <x v="266"/>
    <s v="Itaú - Lisboa e Lisboa"/>
    <s v="Condomínio sala B73"/>
    <x v="10"/>
    <x v="1"/>
    <s v="ATON BUSINESS STYLE"/>
    <s v="ATON BUSINESS STYLE"/>
    <m/>
    <m/>
    <s v="Nathalia Louiz"/>
    <n v="-1277.1400000000001"/>
    <s v="Saída"/>
    <x v="0"/>
  </r>
  <r>
    <x v="266"/>
    <s v="Itaú - Lisboa e Lisboa"/>
    <s v="Condomínio sala B74"/>
    <x v="10"/>
    <x v="1"/>
    <s v="ATON BUSINESS STYLE"/>
    <s v="ATON BUSINESS STYLE"/>
    <m/>
    <m/>
    <s v="Nathalia Louiz"/>
    <n v="-1277.76"/>
    <s v="Saída"/>
    <x v="0"/>
  </r>
  <r>
    <x v="266"/>
    <s v="Itaú - Lisboa e Lisboa"/>
    <s v="Condomínio vaga A81"/>
    <x v="10"/>
    <x v="1"/>
    <s v="ATON BUSINESS STYLE"/>
    <s v="ATON BUSINESS STYLE"/>
    <m/>
    <m/>
    <s v="Nathalia Louiz"/>
    <n v="-65.94"/>
    <s v="Saída"/>
    <x v="0"/>
  </r>
  <r>
    <x v="266"/>
    <s v="Itaú - Lisboa e Lisboa"/>
    <s v="Condomínio vaga A78"/>
    <x v="10"/>
    <x v="1"/>
    <s v="ATON BUSINESS STYLE"/>
    <s v="ATON BUSINESS STYLE"/>
    <m/>
    <m/>
    <s v="Nathalia Louiz"/>
    <n v="-65.94"/>
    <s v="Saída"/>
    <x v="0"/>
  </r>
  <r>
    <x v="266"/>
    <s v="Banco do Brasil - Sarah Alves Lisboa"/>
    <s v="Anuidade 13x de 550"/>
    <x v="2"/>
    <x v="2"/>
    <s v="SEBASTIAO RIBEIRO NETO"/>
    <s v="SEBASTIAO RIBEIRO NETO"/>
    <m/>
    <s v="APOSENTADORIA POR TEMPO DE CONTRIBUIÇAO DA PESSOA COM DEFICIENCIA"/>
    <s v="Nathalia Louiz"/>
    <n v="557"/>
    <s v="Entrada"/>
    <x v="1"/>
  </r>
  <r>
    <x v="265"/>
    <s v="Cartão de Crédito Dr Ivanildo"/>
    <s v="ferialafifye"/>
    <x v="26"/>
    <x v="1"/>
    <s v="BANCO ITAU"/>
    <s v="BANCO ITAU"/>
    <m/>
    <m/>
    <s v="Nathalia Louiz"/>
    <n v="-252"/>
    <s v="Saída"/>
    <x v="0"/>
  </r>
  <r>
    <x v="266"/>
    <s v="Itaú - Lisboa e Lisboa"/>
    <s v="Condomínio vaga A82"/>
    <x v="10"/>
    <x v="1"/>
    <s v="ATON BUSINESS STYLE"/>
    <s v="ATON BUSINESS STYLE"/>
    <m/>
    <m/>
    <s v="Nathalia Louiz"/>
    <n v="-65.94"/>
    <s v="Saída"/>
    <x v="0"/>
  </r>
  <r>
    <x v="265"/>
    <s v="Cartão de Crédito Dr Ivanildo"/>
    <s v="DELL"/>
    <x v="25"/>
    <x v="0"/>
    <s v="BANCO ITAU"/>
    <s v="BANCO ITAU"/>
    <m/>
    <m/>
    <s v="Nathalia Louiz"/>
    <n v="-333.24"/>
    <s v="Saída"/>
    <x v="0"/>
  </r>
  <r>
    <x v="266"/>
    <s v="Itaú - Lisboa e Lisboa"/>
    <s v="Tarifa PIX"/>
    <x v="4"/>
    <x v="3"/>
    <s v="BANCO ITAU"/>
    <s v="BANCO ITAU"/>
    <m/>
    <m/>
    <s v="Nathalia Louiz"/>
    <n v="-52.43"/>
    <s v="Saída"/>
    <x v="0"/>
  </r>
  <r>
    <x v="266"/>
    <s v="Itaú - Lisboa e Lisboa"/>
    <s v="Condomínio vaga A83"/>
    <x v="10"/>
    <x v="1"/>
    <s v="ATON BUSINESS STYLE"/>
    <s v="ATON BUSINESS STYLE"/>
    <m/>
    <m/>
    <s v="Nathalia Louiz"/>
    <n v="-65.94"/>
    <s v="Saída"/>
    <x v="0"/>
  </r>
  <r>
    <x v="270"/>
    <s v="Itaú - Lisboa e Lisboa"/>
    <s v="Beneficios"/>
    <x v="37"/>
    <x v="6"/>
    <s v="NAAMA MENDES JUNIOR - VALUU"/>
    <s v="NAAMA MENDES JUNIOR - VALUU"/>
    <m/>
    <m/>
    <s v="Nathalia Louiz"/>
    <n v="-602.5"/>
    <s v="Saída"/>
    <x v="0"/>
  </r>
  <r>
    <x v="270"/>
    <s v="Banco do Brasil - Sarah Alves Lisboa"/>
    <s v="Lanches"/>
    <x v="11"/>
    <x v="1"/>
    <s v="SUPERMERCADO MOREIRA"/>
    <s v="SUPERMERCADO MOREIRA"/>
    <m/>
    <m/>
    <s v="Nathalia Louiz"/>
    <n v="-64.569999999999993"/>
    <s v="Saída"/>
    <x v="0"/>
  </r>
  <r>
    <x v="270"/>
    <s v="Itaú - Lisboa e Lisboa"/>
    <s v="Telefone - Escritório"/>
    <x v="8"/>
    <x v="1"/>
    <s v="TELEFONICA BRASIL S/A"/>
    <s v="TELEFONICA BRASIL S/A"/>
    <m/>
    <m/>
    <s v="Nathalia Louiz"/>
    <n v="-140.29"/>
    <s v="Saída"/>
    <x v="0"/>
  </r>
  <r>
    <x v="271"/>
    <s v="Itaú - Lisboa e Lisboa"/>
    <s v="3 salários de benefício"/>
    <x v="2"/>
    <x v="2"/>
    <s v="JOEL ANDRADE FERREIRA"/>
    <s v="JOEL ANDRADE FERREIRA"/>
    <m/>
    <s v="APOSENTADORIA POR IDADE"/>
    <s v="Nathalia Louiz"/>
    <n v="452.54999999999995"/>
    <s v="Entrada"/>
    <x v="1"/>
  </r>
  <r>
    <x v="271"/>
    <s v="Itaú - Lisboa e Lisboa"/>
    <s v="SISTEMA DE EMISSÃO NFE"/>
    <x v="12"/>
    <x v="1"/>
    <s v="Nota Control Tecnologia Ltda"/>
    <s v="Nota Control Tecnologia Ltda"/>
    <m/>
    <m/>
    <s v="Nathalia Louiz"/>
    <n v="-40.71"/>
    <s v="Saída"/>
    <x v="0"/>
  </r>
  <r>
    <x v="271"/>
    <s v="Banco do Brasil - Sarah Alves Lisboa"/>
    <s v="50% de comissão"/>
    <x v="29"/>
    <x v="7"/>
    <s v="RONE DA COSTA GOMES"/>
    <s v="RONE DA COSTA GOMES"/>
    <m/>
    <s v="INVENTÁRIO"/>
    <s v="Nathalia Louiz"/>
    <n v="-200"/>
    <s v="Saída"/>
    <x v="0"/>
  </r>
  <r>
    <x v="271"/>
    <s v="Banco do Brasil - Sarah Alves Lisboa"/>
    <s v="Valor pago para atendimento"/>
    <x v="2"/>
    <x v="2"/>
    <s v="RONE DA COSTA GOMES"/>
    <s v="RONE DA COSTA GOMES"/>
    <m/>
    <s v="INVENTÁRIO"/>
    <s v="Nathalia Louiz"/>
    <n v="400"/>
    <s v="Entrada"/>
    <x v="1"/>
  </r>
  <r>
    <x v="267"/>
    <s v="Cartão de Crédito Dra Thaynara - Itaú"/>
    <s v="ATVAQUA*ATVAQUA"/>
    <x v="25"/>
    <x v="0"/>
    <s v="BANCO ITAU"/>
    <s v="BANCO ITAU"/>
    <m/>
    <m/>
    <s v="Nathalia Louiz"/>
    <n v="-353.75"/>
    <s v="Saída"/>
    <x v="0"/>
  </r>
  <r>
    <x v="271"/>
    <s v="Banco do Brasil - Sarah Alves Lisboa"/>
    <s v="Compras para escritório"/>
    <x v="11"/>
    <x v="1"/>
    <s v="ASSAI ATACADISTA"/>
    <s v="ASSAI ATACADISTA"/>
    <m/>
    <m/>
    <s v="Nathalia Louiz"/>
    <n v="-143.88999999999999"/>
    <s v="Saída"/>
    <x v="0"/>
  </r>
  <r>
    <x v="267"/>
    <s v="Cartão de Crédito Dra Thaynara - Itaú"/>
    <s v="AMAZON BRASIL"/>
    <x v="25"/>
    <x v="0"/>
    <s v="BANCO ITAU"/>
    <s v="BANCO ITAU"/>
    <m/>
    <m/>
    <s v="Nathalia Louiz"/>
    <n v="-386"/>
    <s v="Saída"/>
    <x v="0"/>
  </r>
  <r>
    <x v="272"/>
    <s v="Banco do Brasil - Sarah Alves Lisboa"/>
    <s v="Diferença ref.: Honorários 40% sobre os atrasados - RPV"/>
    <x v="2"/>
    <x v="2"/>
    <s v="ELIENE SOUZA SILVA"/>
    <s v="ELIENE SOUZA SILVA"/>
    <m/>
    <s v="BENEFÍCIO POR INCAPACIDADE"/>
    <s v="Thaynara Borges"/>
    <n v="2500"/>
    <s v="Entrada"/>
    <x v="1"/>
  </r>
  <r>
    <x v="272"/>
    <s v="Banco do Brasil - Sarah Alves Lisboa"/>
    <s v="30% de honorários"/>
    <x v="2"/>
    <x v="2"/>
    <s v="SUELY IRENE DA MOTA"/>
    <s v="SUELY IRENE DA MOTA"/>
    <m/>
    <s v="NULIDADE DE CONTRATO ASSOCIAÇÃO E INDENIZAÇÃO POR DANOS MORAIS"/>
    <s v="Nathalia Louiz"/>
    <n v="181.34"/>
    <s v="Entrada"/>
    <x v="1"/>
  </r>
  <r>
    <x v="272"/>
    <s v="Banco do Brasil - Sarah Alves Lisboa"/>
    <s v="Honorários 40% sobre os atrasados - RPV"/>
    <x v="2"/>
    <x v="2"/>
    <s v="ELIENE SOUZA SILVA"/>
    <s v="ELIENE SOUZA SILVA"/>
    <m/>
    <s v="BENEFÍCIO POR INCAPACIDADE"/>
    <s v="Thaynara Borges"/>
    <n v="500"/>
    <s v="Entrada"/>
    <x v="1"/>
  </r>
  <r>
    <x v="272"/>
    <s v="Banco do Brasil - Sarah Alves Lisboa"/>
    <s v="Parcelamento inventário"/>
    <x v="2"/>
    <x v="2"/>
    <s v="EDINALDO BEZERRA DE ABREU"/>
    <s v="EDINALDO BEZERRA DE ABREU"/>
    <m/>
    <s v="INVENTÁRIO"/>
    <s v="Nathalia Louiz"/>
    <n v="1096.6300000000001"/>
    <s v="Entrada"/>
    <x v="1"/>
  </r>
  <r>
    <x v="272"/>
    <s v="Itaú - Lisboa e Lisboa"/>
    <s v="VIVO FIXO - 9621661899"/>
    <x v="8"/>
    <x v="1"/>
    <s v="VIVO - TELEGOIAS CELULAR S/A"/>
    <s v="VIVO - TELEGOIAS CELULAR S/A"/>
    <m/>
    <m/>
    <s v="Nathalia Louiz"/>
    <n v="-260.58"/>
    <s v="Saída"/>
    <x v="0"/>
  </r>
  <r>
    <x v="272"/>
    <s v="Banco do Brasil - Sarah Alves Lisboa"/>
    <s v="Compra de lanches e frios"/>
    <x v="11"/>
    <x v="1"/>
    <s v="Dra Raffaela Nunes"/>
    <s v="Dra Raffaela Nunes"/>
    <m/>
    <m/>
    <s v="Nathalia Louiz"/>
    <n v="-39.869999999999997"/>
    <s v="Saída"/>
    <x v="0"/>
  </r>
  <r>
    <x v="265"/>
    <s v="Cartão de Crédito Dr Ivanildo"/>
    <s v="MERCADO CENTRAL"/>
    <x v="26"/>
    <x v="1"/>
    <s v="BANCO ITAU"/>
    <s v="BANCO ITAU"/>
    <m/>
    <m/>
    <s v="Nathalia Louiz"/>
    <n v="-395.42"/>
    <s v="Saída"/>
    <x v="0"/>
  </r>
  <r>
    <x v="273"/>
    <s v="Itaú - Lisboa e Lisboa"/>
    <s v="Materiais de construção - Obra girassol"/>
    <x v="47"/>
    <x v="0"/>
    <s v="PABLO CAVALCANTE MENDONÇA"/>
    <s v="PABLO CAVALCANTE MENDONÇA"/>
    <m/>
    <m/>
    <s v="Nathalia Louiz"/>
    <n v="-900"/>
    <s v="Saída"/>
    <x v="0"/>
  </r>
  <r>
    <x v="274"/>
    <s v="Itaú - Lisboa e Lisboa"/>
    <s v="Insumos pedreiro Girassol"/>
    <x v="47"/>
    <x v="0"/>
    <s v="JOAO BATISTA PEREIRA DA SILVA"/>
    <s v="JOAO BATISTA PEREIRA DA SILVA"/>
    <m/>
    <m/>
    <s v="Nathalia Louiz"/>
    <n v="-56.4"/>
    <s v="Saída"/>
    <x v="0"/>
  </r>
  <r>
    <x v="267"/>
    <s v="Cartão de Crédito Dra Sarah"/>
    <s v="AG DE TURISMO"/>
    <x v="5"/>
    <x v="4"/>
    <s v="BANCO ITAU"/>
    <s v="BANCO ITAU"/>
    <m/>
    <m/>
    <s v="Nathalia Louiz"/>
    <n v="-271.8"/>
    <s v="Saída"/>
    <x v="0"/>
  </r>
  <r>
    <x v="267"/>
    <s v="Cartão de Crédito Dra Sarah"/>
    <s v="Cartão de crédito Dra Sarah"/>
    <x v="6"/>
    <x v="1"/>
    <s v="BANCO ITAU"/>
    <s v="BANCO ITAU"/>
    <m/>
    <m/>
    <s v="Nathalia Louiz"/>
    <n v="1594.41"/>
    <s v="Entrada"/>
    <x v="1"/>
  </r>
  <r>
    <x v="267"/>
    <s v="Itaú - Lisboa e Lisboa"/>
    <s v="Pagamento cartão de crédito Dra Thaynara - Itaú"/>
    <x v="6"/>
    <x v="1"/>
    <s v="BANCO ITAU"/>
    <s v="BANCO ITAU"/>
    <m/>
    <m/>
    <s v="Nathalia Louiz"/>
    <n v="-4836.59"/>
    <s v="Saída"/>
    <x v="0"/>
  </r>
  <r>
    <x v="267"/>
    <s v="Cartão de Crédito Dra Thaynara - Itaú"/>
    <s v="LANCHONETE FLORES"/>
    <x v="11"/>
    <x v="1"/>
    <s v="BANCO ITAU"/>
    <s v="BANCO ITAU"/>
    <m/>
    <m/>
    <s v="Nathalia Louiz"/>
    <n v="-60"/>
    <s v="Saída"/>
    <x v="0"/>
  </r>
  <r>
    <x v="267"/>
    <s v="Cartão de Crédito Dra Sarah"/>
    <s v="GOL (Premio Águia)"/>
    <x v="5"/>
    <x v="4"/>
    <s v="BANCO ITAU"/>
    <s v="BANCO ITAU"/>
    <m/>
    <m/>
    <s v="Nathalia Louiz"/>
    <n v="-236.1"/>
    <s v="Saída"/>
    <x v="0"/>
  </r>
  <r>
    <x v="267"/>
    <s v="Banco do Brasil - Sarah Alves Lisboa"/>
    <s v="Peças a vulsas"/>
    <x v="43"/>
    <x v="6"/>
    <s v="Dra Raffaela Nunes"/>
    <s v="Dra Raffaela Nunes"/>
    <m/>
    <m/>
    <s v="Nathalia Louiz"/>
    <n v="-800"/>
    <s v="Saída"/>
    <x v="0"/>
  </r>
  <r>
    <x v="267"/>
    <s v="Cartão de Crédito Dra Thaynara - Itaú"/>
    <s v="CLUB MAIS CE"/>
    <x v="5"/>
    <x v="4"/>
    <s v="BANCO ITAU"/>
    <s v="BANCO ITAU"/>
    <m/>
    <m/>
    <s v="Nathalia Louiz"/>
    <n v="-120.19"/>
    <s v="Saída"/>
    <x v="0"/>
  </r>
  <r>
    <x v="267"/>
    <s v="Cartão de Crédito Dra Thaynara - Itaú"/>
    <s v="POSTO FLORES"/>
    <x v="27"/>
    <x v="4"/>
    <s v="BANCO ITAU"/>
    <s v="BANCO ITAU"/>
    <m/>
    <m/>
    <s v="Nathalia Louiz"/>
    <n v="-189.85"/>
    <s v="Saída"/>
    <x v="0"/>
  </r>
  <r>
    <x v="272"/>
    <s v="Itaú - Lisboa e Lisboa"/>
    <s v="Tintas para reforma - Girassol"/>
    <x v="47"/>
    <x v="0"/>
    <s v="UNITINTAS"/>
    <s v="UNITINTAS"/>
    <m/>
    <m/>
    <s v="Nathalia Louiz"/>
    <n v="-172.11"/>
    <s v="Saída"/>
    <x v="0"/>
  </r>
  <r>
    <x v="267"/>
    <s v="Cartão de Crédito Dra Thaynara - Itaú"/>
    <s v="POSTO MARINE"/>
    <x v="27"/>
    <x v="4"/>
    <s v="BANCO ITAU"/>
    <s v="BANCO ITAU"/>
    <m/>
    <m/>
    <s v="Nathalia Louiz"/>
    <n v="-226.02"/>
    <s v="Saída"/>
    <x v="0"/>
  </r>
  <r>
    <x v="267"/>
    <s v="Cartão de Crédito Dra Thaynara - Itaú"/>
    <s v="JAGUAR HOTEL"/>
    <x v="5"/>
    <x v="4"/>
    <s v="BANCO ITAU"/>
    <s v="BANCO ITAU"/>
    <m/>
    <m/>
    <s v="Nathalia Louiz"/>
    <n v="-294.3"/>
    <s v="Saída"/>
    <x v="0"/>
  </r>
  <r>
    <x v="267"/>
    <s v="Cartão de Crédito Dra Sarah"/>
    <s v="CONSULTORIA ESTRATEGIA"/>
    <x v="36"/>
    <x v="1"/>
    <s v="BANCO ITAU"/>
    <s v="BANCO ITAU"/>
    <m/>
    <m/>
    <s v="Nathalia Louiz"/>
    <n v="-300.05"/>
    <s v="Saída"/>
    <x v="0"/>
  </r>
  <r>
    <x v="267"/>
    <s v="Itaú - Lisboa e Lisboa"/>
    <s v="R$ 10.410,60 (ENTRADA DE 5.000,00 + 3X DE 1.803,53)"/>
    <x v="2"/>
    <x v="2"/>
    <s v="FRANCISCO DO NASCIMENTO"/>
    <s v="FRANCISCO DO NASCIMENTO"/>
    <m/>
    <s v="APOSENTADORIA POR TEMPO DE CONTRIBUIÇÃO"/>
    <s v="Nathalia Louiz"/>
    <n v="1800.68"/>
    <s v="Entrada"/>
    <x v="1"/>
  </r>
  <r>
    <x v="267"/>
    <s v="Cartão de Crédito Dra Thaynara - Itaú"/>
    <s v="Pagamento Cartão de Crédito Dra Thaynara - Itaú"/>
    <x v="6"/>
    <x v="1"/>
    <s v="BANCO ITAU"/>
    <s v="BANCO ITAU"/>
    <m/>
    <m/>
    <s v="Nathalia Louiz"/>
    <n v="4836.59"/>
    <s v="Entrada"/>
    <x v="1"/>
  </r>
  <r>
    <x v="267"/>
    <s v="Cartão de Crédito Dra Thaynara - Itaú"/>
    <s v="RESTAURANTE FRANGOS"/>
    <x v="11"/>
    <x v="1"/>
    <s v="BANCO ITAU"/>
    <s v="BANCO ITAU"/>
    <m/>
    <m/>
    <s v="Nathalia Louiz"/>
    <n v="-142.80000000000001"/>
    <s v="Saída"/>
    <x v="0"/>
  </r>
  <r>
    <x v="267"/>
    <s v="Itaú - Lisboa e Lisboa"/>
    <s v="Reforma do banheiro Dra Sarah"/>
    <x v="14"/>
    <x v="1"/>
    <s v="EDER ELIEL RIGONATO"/>
    <s v="EDER ELIEL RIGONATO"/>
    <m/>
    <m/>
    <s v="Nathalia Louiz"/>
    <n v="-554.9"/>
    <s v="Saída"/>
    <x v="0"/>
  </r>
  <r>
    <x v="267"/>
    <s v="Cartão de Crédito Dra Sarah"/>
    <s v="LATAM (Premio Águia)"/>
    <x v="5"/>
    <x v="4"/>
    <s v="BANCO ITAU"/>
    <s v="BANCO ITAU"/>
    <m/>
    <m/>
    <s v="Nathalia Louiz"/>
    <n v="-242.06"/>
    <s v="Saída"/>
    <x v="0"/>
  </r>
  <r>
    <x v="267"/>
    <s v="Cartão de Crédito Dra Thaynara - Itaú"/>
    <s v="POSTO RANCHO"/>
    <x v="27"/>
    <x v="4"/>
    <s v="BANCO ITAU"/>
    <s v="BANCO ITAU"/>
    <m/>
    <m/>
    <s v="Nathalia Louiz"/>
    <n v="-254.16"/>
    <s v="Saída"/>
    <x v="0"/>
  </r>
  <r>
    <x v="267"/>
    <s v="Itaú - Lisboa e Lisboa"/>
    <s v="1.000,00 no pix e R$ 3.000,00 em 12 vezes no boleto (R$4.000,00)"/>
    <x v="2"/>
    <x v="2"/>
    <s v="ANGELA FULGENCIA DOS SANTOS"/>
    <s v="ANGELA FULGENCIA DOS SANTOS"/>
    <m/>
    <s v="PENSÃO POR MORTE"/>
    <s v="Nathalia Louiz"/>
    <n v="247.15"/>
    <s v="Entrada"/>
    <x v="1"/>
  </r>
  <r>
    <x v="267"/>
    <s v="Cartão de Crédito Dra Thaynara - Itaú"/>
    <s v="POSTO SEIS"/>
    <x v="27"/>
    <x v="4"/>
    <s v="BANCO ITAU"/>
    <s v="BANCO ITAU"/>
    <m/>
    <m/>
    <s v="Nathalia Louiz"/>
    <n v="-225.94"/>
    <s v="Saída"/>
    <x v="0"/>
  </r>
  <r>
    <x v="267"/>
    <s v="Cartão de Crédito Dra Thaynara - Itaú"/>
    <s v="BAHREM BAR"/>
    <x v="11"/>
    <x v="1"/>
    <s v="BANCO ITAU"/>
    <s v="BANCO ITAU"/>
    <m/>
    <m/>
    <s v="Nathalia Louiz"/>
    <n v="-2017.51"/>
    <s v="Saída"/>
    <x v="0"/>
  </r>
  <r>
    <x v="267"/>
    <s v="Itaú - Lisboa e Lisboa"/>
    <s v="Pagamento Cartão de Crédito Dra Sarah Lisboa"/>
    <x v="6"/>
    <x v="1"/>
    <s v="BANCO ITAU"/>
    <s v="BANCO ITAU"/>
    <m/>
    <m/>
    <s v="Nathalia Louiz"/>
    <n v="-1594.41"/>
    <s v="Saída"/>
    <x v="0"/>
  </r>
  <r>
    <x v="267"/>
    <s v="Cartão de Crédito Dra Sarah"/>
    <s v="Hotel"/>
    <x v="5"/>
    <x v="4"/>
    <s v="BANCO ITAU"/>
    <s v="BANCO ITAU"/>
    <m/>
    <m/>
    <s v="Nathalia Louiz"/>
    <n v="-319.41000000000003"/>
    <s v="Saída"/>
    <x v="0"/>
  </r>
  <r>
    <x v="267"/>
    <s v="Cartão de Crédito Dra Thaynara - Itaú"/>
    <s v="MERCURE SP"/>
    <x v="5"/>
    <x v="4"/>
    <s v="BANCO ITAU"/>
    <s v="BANCO ITAU"/>
    <m/>
    <m/>
    <s v="Nathalia Louiz"/>
    <n v="-22"/>
    <s v="Saída"/>
    <x v="0"/>
  </r>
  <r>
    <x v="267"/>
    <s v="Cartão de Crédito Dra Thaynara - Itaú"/>
    <s v="STOPPARK"/>
    <x v="40"/>
    <x v="1"/>
    <s v="BANCO ITAU"/>
    <s v="BANCO ITAU"/>
    <m/>
    <m/>
    <s v="Nathalia Louiz"/>
    <n v="-40"/>
    <s v="Saída"/>
    <x v="0"/>
  </r>
  <r>
    <x v="267"/>
    <s v="Itaú - Lisboa e Lisboa"/>
    <s v="Espelho para banheiro - Escritório"/>
    <x v="14"/>
    <x v="1"/>
    <s v="WILLIAN DUARTE DE SOUZA"/>
    <s v="WILLIAN DUARTE DE SOUZA"/>
    <m/>
    <m/>
    <s v="Nathalia Louiz"/>
    <n v="-650"/>
    <s v="Saída"/>
    <x v="0"/>
  </r>
  <r>
    <x v="267"/>
    <s v="Cartão de Crédito Dra Sarah"/>
    <s v="COMPRA MERCADO LIVRE"/>
    <x v="6"/>
    <x v="1"/>
    <s v="BANCO ITAU"/>
    <s v="BANCO ITAU"/>
    <m/>
    <m/>
    <s v="Nathalia Louiz"/>
    <n v="-224.99"/>
    <s v="Saída"/>
    <x v="0"/>
  </r>
  <r>
    <x v="267"/>
    <s v="Cartão de Crédito Dra Thaynara - Itaú"/>
    <s v="JAGUAR HOTEL"/>
    <x v="5"/>
    <x v="4"/>
    <s v="BANCO ITAU"/>
    <s v="BANCO ITAU"/>
    <m/>
    <m/>
    <s v="Nathalia Louiz"/>
    <n v="-294.3"/>
    <s v="Saída"/>
    <x v="0"/>
  </r>
  <r>
    <x v="267"/>
    <s v="Cartão de Crédito Dra Thaynara - Itaú"/>
    <s v="JAGUAR HOTEL"/>
    <x v="5"/>
    <x v="4"/>
    <s v="BANCO ITAU"/>
    <s v="BANCO ITAU"/>
    <m/>
    <m/>
    <s v="Nathalia Louiz"/>
    <n v="-20"/>
    <s v="Saída"/>
    <x v="0"/>
  </r>
  <r>
    <x v="267"/>
    <s v="Banco do Brasil - Sarah Alves Lisboa"/>
    <s v="LIMPEZA"/>
    <x v="9"/>
    <x v="1"/>
    <s v="ELIZANGELA FERREIRA DA SILVA"/>
    <s v="ELIZANGELA FERREIRA DA SILVA"/>
    <m/>
    <m/>
    <s v="Nathalia Louiz"/>
    <n v="-510"/>
    <s v="Saída"/>
    <x v="0"/>
  </r>
  <r>
    <x v="267"/>
    <s v="Cartão de Crédito Dra Thaynara - Itaú"/>
    <s v="CANTE RESTAURANTE"/>
    <x v="11"/>
    <x v="1"/>
    <s v="BANCO ITAU"/>
    <s v="BANCO ITAU"/>
    <m/>
    <m/>
    <s v="Nathalia Louiz"/>
    <n v="-95.73"/>
    <s v="Saída"/>
    <x v="0"/>
  </r>
  <r>
    <x v="267"/>
    <s v="Banco do Brasil - Sarah Alves Lisboa"/>
    <s v="Diferença ref.: Honorários 40% sobre os atrasados - RPV"/>
    <x v="2"/>
    <x v="2"/>
    <s v="ELIENE SOUZA SILVA"/>
    <s v="ELIENE SOUZA SILVA"/>
    <m/>
    <s v="BENEFÍCIO POR INCAPACIDADE"/>
    <s v="Thaynara Borges"/>
    <n v="2621.38"/>
    <s v="Entrada"/>
    <x v="1"/>
  </r>
  <r>
    <x v="275"/>
    <s v="Itaú - Lisboa e Lisboa"/>
    <s v="R$ 4.554,00 em 9x - IMPLANTAÇÃO"/>
    <x v="2"/>
    <x v="2"/>
    <s v="ADERSON CARDOSO SANTANA"/>
    <s v="ADERSON CARDOSO SANTANA"/>
    <m/>
    <s v="PENSÃO POR MORTE"/>
    <s v="Nathalia Louiz"/>
    <n v="504.88"/>
    <s v="Entrada"/>
    <x v="2"/>
  </r>
  <r>
    <x v="276"/>
    <s v="Itaú - Lisboa e Lisboa"/>
    <s v="30% sob implantação"/>
    <x v="2"/>
    <x v="2"/>
    <s v="SILVIO ROBERTO DE SOUZA"/>
    <s v="SILVIO ROBERTO DE SOUZA"/>
    <m/>
    <s v="AUXILIO DOENÇA OU APOSENTADORIA POR INVALIDEZ"/>
    <s v="Nathalia Louiz"/>
    <n v="1026.94"/>
    <s v="Entrada"/>
    <x v="2"/>
  </r>
  <r>
    <x v="276"/>
    <s v="Itaú - Lisboa e Lisboa"/>
    <s v="3 SALÁRIOS DE BENEFICIO (1000,00 + 5X 710,80)"/>
    <x v="2"/>
    <x v="2"/>
    <s v="ALDENY TELES DE OLIVEIRA NUNES"/>
    <s v="ALDENY TELES DE OLIVEIRA NUNES"/>
    <m/>
    <s v="APOSENTADORIA POR IDADE"/>
    <s v="Nathalia Louiz"/>
    <n v="707.94999999999993"/>
    <s v="Entrada"/>
    <x v="1"/>
  </r>
  <r>
    <x v="276"/>
    <s v="Banco do Brasil - Sarah Alves Lisboa"/>
    <s v="Tarifa de pacote de Serviços"/>
    <x v="4"/>
    <x v="3"/>
    <s v="BANCO DO BRASIL S/A"/>
    <s v="BANCO DO BRASIL S/A"/>
    <m/>
    <m/>
    <s v="Nathalia Louiz"/>
    <n v="-15.9"/>
    <s v="Saída"/>
    <x v="0"/>
  </r>
  <r>
    <x v="276"/>
    <s v="Itaú - Lisboa e Lisboa"/>
    <s v="40% sob implantação"/>
    <x v="2"/>
    <x v="2"/>
    <s v="Leila Silva de Araujo"/>
    <s v="Leila Silva de Araujo"/>
    <m/>
    <s v="REPETIÇÃO DE INDÉBITO C/C INDENIZAÇÃO POR DANOS MORAIS"/>
    <s v="Nathalia Louiz"/>
    <n v="1062.8"/>
    <s v="Entrada"/>
    <x v="2"/>
  </r>
  <r>
    <x v="276"/>
    <s v="Itaú - Lisboa e Lisboa"/>
    <s v="Assessoria de TI"/>
    <x v="36"/>
    <x v="1"/>
    <s v="SAFETECH CONSULTORIA GESTÃO E TECNOLOGIA LTDA"/>
    <s v="SAFETECH CONSULTORIA GESTÃO E TECNOLOGIA LTDA"/>
    <m/>
    <m/>
    <s v="Nathalia Louiz"/>
    <n v="-648"/>
    <s v="Saída"/>
    <x v="0"/>
  </r>
  <r>
    <x v="276"/>
    <s v="Itaú - Lisboa e Lisboa"/>
    <s v="Anuidade R$ 8.967,07 (2.000 + 12x R$580,59)"/>
    <x v="2"/>
    <x v="2"/>
    <s v="ISAEL MARCULINO DOS SANTOS"/>
    <s v="ISAEL MARCULINO DOS SANTOS"/>
    <m/>
    <s v="APOSENTADORIA POR TEMPO DE CONTRIBUIÇAO/ PORTADOR DE NECESSIDADES ESPECIAIS"/>
    <s v="Nathalia Louiz"/>
    <n v="577.74"/>
    <s v="Entrada"/>
    <x v="1"/>
  </r>
  <r>
    <x v="266"/>
    <s v="Itaú - Lisboa e Lisboa"/>
    <s v="Parcela da reforma -  Banheiro Sarah"/>
    <x v="14"/>
    <x v="1"/>
    <s v="EDVAN CANDIDO DOS SANTOS"/>
    <s v="EDVAN CANDIDO DOS SANTOS"/>
    <m/>
    <m/>
    <s v="Nathalia Louiz"/>
    <n v="-1000"/>
    <s v="Saída"/>
    <x v="0"/>
  </r>
  <r>
    <x v="268"/>
    <s v="Itaú - Lisboa e Lisboa"/>
    <s v="Sistema de recebimento - SISDEB"/>
    <x v="4"/>
    <x v="3"/>
    <s v="BANCO ITAU"/>
    <s v="BANCO ITAU"/>
    <m/>
    <m/>
    <s v="Nathalia Louiz"/>
    <n v="-49"/>
    <s v="Saída"/>
    <x v="0"/>
  </r>
  <r>
    <x v="268"/>
    <s v="Itaú - Lisboa e Lisboa"/>
    <s v="30% sob atrasados - RPV"/>
    <x v="2"/>
    <x v="2"/>
    <s v="LUCIVANIA MARCELINO DE CARVALHO MIRANDA"/>
    <s v="LUCIVANIA MARCELINO DE CARVALHO MIRANDA"/>
    <m/>
    <s v="BENEFICIO POR INCAPACIDADE PERMANENTE RURAL"/>
    <s v="Nathalia Louiz"/>
    <n v="13851.11"/>
    <s v="Entrada"/>
    <x v="1"/>
  </r>
  <r>
    <x v="273"/>
    <s v="Itaú - Lisboa e Lisboa"/>
    <s v="Mão de obra - Pedreiro Girassol"/>
    <x v="47"/>
    <x v="0"/>
    <s v="JOAO BATISTA PEREIRA DA SILVA"/>
    <s v="JOAO BATISTA PEREIRA DA SILVA"/>
    <m/>
    <m/>
    <s v="Nathalia Louiz"/>
    <n v="-1000"/>
    <s v="Saída"/>
    <x v="0"/>
  </r>
  <r>
    <x v="268"/>
    <s v="Itaú - Lisboa e Lisboa"/>
    <s v="Honorários Eliene Souza Silva"/>
    <x v="41"/>
    <x v="11"/>
    <s v="Itaú - Lisboa e Lisboa"/>
    <s v="Itaú - Lisboa e Lisboa"/>
    <m/>
    <m/>
    <s v="Thaynara Borges"/>
    <n v="5621.38"/>
    <s v="Entrada"/>
    <x v="1"/>
  </r>
  <r>
    <x v="268"/>
    <s v="Itaú - Lisboa e Lisboa"/>
    <s v="30% sob atrasados - RPV"/>
    <x v="2"/>
    <x v="2"/>
    <s v="LUCIMAR APARECIDA DOS REIS"/>
    <s v="LUCIMAR APARECIDA DOS REIS"/>
    <m/>
    <s v="Restabelecimento de Benefício por Incapacidade"/>
    <s v="Nathalia Louiz"/>
    <n v="2526.1799999999998"/>
    <s v="Entrada"/>
    <x v="1"/>
  </r>
  <r>
    <x v="268"/>
    <s v="Banco do Brasil - Sarah Alves Lisboa"/>
    <s v="Honorários Eliene Souza Silva"/>
    <x v="41"/>
    <x v="11"/>
    <s v="Banco do Brasil - Sarah Alves Lisboa"/>
    <s v="Banco do Brasil - Sarah Alves Lisboa"/>
    <m/>
    <m/>
    <s v="Thaynara Borges"/>
    <n v="-5621.38"/>
    <s v="Saída"/>
    <x v="0"/>
  </r>
  <r>
    <x v="268"/>
    <s v="Banco do Brasil - Sarah Alves Lisboa"/>
    <s v="30% sob implantação"/>
    <x v="2"/>
    <x v="2"/>
    <s v="LUIZ ROGERIO COELHO"/>
    <s v="LUIZ ROGERIO COELHO"/>
    <m/>
    <s v="BENEFÍCIO ASSISTENCIAL AO DEFICIENTE"/>
    <s v="Nathalia Louiz"/>
    <n v="456"/>
    <s v="Entrada"/>
    <x v="1"/>
  </r>
  <r>
    <x v="268"/>
    <s v="Banco do Brasil - Sarah Alves Lisboa"/>
    <s v="30% sob implantação"/>
    <x v="2"/>
    <x v="2"/>
    <s v="SIMONE SOUZA DE MOURA SILVA"/>
    <s v="SIMONE SOUZA DE MOURA SILVA"/>
    <m/>
    <s v="BENEFÍCIO POR INCAPACIDADE"/>
    <s v="Nathalia Louiz"/>
    <n v="455.4"/>
    <s v="Entrada"/>
    <x v="1"/>
  </r>
  <r>
    <x v="268"/>
    <s v="Banco do Brasil - Sarah Alves Lisboa"/>
    <s v="Comissão atendimento Dr Silvio"/>
    <x v="29"/>
    <x v="7"/>
    <s v="JAIANE LOPES DA SILVA"/>
    <s v="JAIANE LOPES DA SILVA"/>
    <m/>
    <s v="ANALISE"/>
    <s v="Thaynara Borges"/>
    <n v="-200"/>
    <s v="Saída"/>
    <x v="0"/>
  </r>
  <r>
    <x v="268"/>
    <s v="Itaú - Lisboa e Lisboa"/>
    <s v="Instalação de computadores"/>
    <x v="3"/>
    <x v="1"/>
    <s v="Rhuan Carlos Batista"/>
    <s v="Rhuan Carlos Batista"/>
    <m/>
    <m/>
    <s v="Nathalia Louiz"/>
    <n v="-400"/>
    <s v="Saída"/>
    <x v="0"/>
  </r>
  <r>
    <x v="277"/>
    <s v="Banco do Brasil - Sarah Alves Lisboa"/>
    <s v="50% Parceria Dr Silvio"/>
    <x v="29"/>
    <x v="7"/>
    <s v="CHRISYA  MATOS AZEVEDO"/>
    <s v="CHRISYA  MATOS AZEVEDO"/>
    <m/>
    <s v="DEFESA DIVÓRCIO"/>
    <s v="Nathalia Louiz"/>
    <n v="-250"/>
    <s v="Saída"/>
    <x v="0"/>
  </r>
  <r>
    <x v="277"/>
    <s v="Banco do Brasil - Sarah Alves Lisboa"/>
    <s v="3 SALÁRIOS DE BENEFÍCIO"/>
    <x v="2"/>
    <x v="2"/>
    <s v="LUIZ ROGERIO COELHO"/>
    <s v="LUIZ ROGERIO COELHO"/>
    <m/>
    <s v="BENEFÍCIO ASSISTENCIAL AO DEFICIENTE"/>
    <s v="Nathalia Louiz"/>
    <n v="1518"/>
    <s v="Entrada"/>
    <x v="1"/>
  </r>
  <r>
    <x v="277"/>
    <s v="Itaú - Lisboa e Lisboa"/>
    <s v="30% sob implantação"/>
    <x v="2"/>
    <x v="2"/>
    <s v="EDLEUZA FERREIRA CABRAL DE SOUZA"/>
    <s v="EDLEUZA FERREIRA CABRAL DE SOUZA"/>
    <m/>
    <s v="BENEFÍCIO POR INCAPACIDADE"/>
    <s v="Nathalia Louiz"/>
    <n v="365.27"/>
    <s v="Entrada"/>
    <x v="1"/>
  </r>
  <r>
    <x v="277"/>
    <s v="Itaú - Lisboa e Lisboa"/>
    <s v="Honorários R$6.285,78 em 4x"/>
    <x v="2"/>
    <x v="2"/>
    <s v="ANDREA COUTO DE PAIVA NASCIMENTO"/>
    <s v="ANDREA COUTO DE PAIVA NASCIMENTO"/>
    <m/>
    <s v="APOSENTADORIA POR TEMPO DE CONTRIBUIÇÃO"/>
    <s v="Nathalia Louiz"/>
    <n v="1568.6000000000001"/>
    <s v="Entrada"/>
    <x v="1"/>
  </r>
  <r>
    <x v="278"/>
    <s v="Itaú - Lisboa e Lisboa"/>
    <s v="Honorários R$2.500,00 em 5x"/>
    <x v="2"/>
    <x v="2"/>
    <s v="ZIZANI SOARES DE BRITO SILVA"/>
    <s v="ZIZANI SOARES DE BRITO SILVA"/>
    <m/>
    <s v="AÇÃO DE RESPONSABILIDADE CIVÍL POR ERRO MÉDICO"/>
    <s v="Nathalia Louiz"/>
    <n v="497.15"/>
    <s v="Entrada"/>
    <x v="1"/>
  </r>
  <r>
    <x v="278"/>
    <s v="Itaú - Lisboa e Lisboa"/>
    <s v="Troca de Gabinetes de computadores"/>
    <x v="3"/>
    <x v="1"/>
    <s v="Rhuan Carlos Batista"/>
    <s v="Rhuan Carlos Batista"/>
    <m/>
    <m/>
    <s v="Nathalia Louiz"/>
    <n v="-160"/>
    <s v="Saída"/>
    <x v="0"/>
  </r>
  <r>
    <x v="278"/>
    <s v="Banco do Brasil - Sarah Alves Lisboa"/>
    <s v="Pagamento cartão de crédito Dra Thaynara -C6"/>
    <x v="6"/>
    <x v="1"/>
    <s v="C6"/>
    <s v="C6"/>
    <m/>
    <m/>
    <s v="Nathalia Louiz"/>
    <n v="-1230.93"/>
    <s v="Saída"/>
    <x v="0"/>
  </r>
  <r>
    <x v="278"/>
    <s v="Itaú - Lisboa e Lisboa"/>
    <s v="3 SALÁRIOS DE BENEFICIOS (R$ 8.269,50 em 8 vezes)"/>
    <x v="2"/>
    <x v="2"/>
    <s v="COSME DOS SANTOS VAZ"/>
    <s v="COSME DOS SANTOS VAZ"/>
    <m/>
    <s v="APOSENTADORIA POR TEMPO DE CONTRIBUIÇÃO"/>
    <s v="Nathalia Louiz"/>
    <n v="1051.8500000000001"/>
    <s v="Entrada"/>
    <x v="1"/>
  </r>
  <r>
    <x v="279"/>
    <s v="Banco do Brasil - Sarah Alves Lisboa"/>
    <s v="Lanche para escritório"/>
    <x v="11"/>
    <x v="1"/>
    <s v="SAMARA ALMEIDA BOGEA"/>
    <s v="SAMARA ALMEIDA BOGEA"/>
    <m/>
    <m/>
    <s v="Nathalia Louiz"/>
    <n v="-79.760000000000005"/>
    <s v="Saída"/>
    <x v="0"/>
  </r>
  <r>
    <x v="279"/>
    <s v="Cartão de Crédito Dra Thaynara - C6"/>
    <s v="OPENAI *CHATGPT SUBSCR SA"/>
    <x v="12"/>
    <x v="1"/>
    <s v="C6"/>
    <s v="C6"/>
    <m/>
    <m/>
    <s v="Nathalia Louiz"/>
    <n v="-120.43"/>
    <s v="Saída"/>
    <x v="0"/>
  </r>
  <r>
    <x v="279"/>
    <s v="Cartão de Crédito Dra Thaynara - C6"/>
    <s v="POS THAYNARA"/>
    <x v="34"/>
    <x v="6"/>
    <s v="C6"/>
    <s v="C6"/>
    <m/>
    <m/>
    <s v="Nathalia Louiz"/>
    <n v="-229"/>
    <s v="Saída"/>
    <x v="0"/>
  </r>
  <r>
    <x v="279"/>
    <s v="Banco do Brasil - Sarah Alves Lisboa"/>
    <s v="Peças avulsas"/>
    <x v="43"/>
    <x v="6"/>
    <s v="Dra Raffaela Nunes"/>
    <s v="Dra Raffaela Nunes"/>
    <m/>
    <m/>
    <s v="Nathalia Louiz"/>
    <n v="-500"/>
    <s v="Saída"/>
    <x v="0"/>
  </r>
  <r>
    <x v="279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79"/>
    <s v="Cartão de Crédito Dra Thaynara - C6"/>
    <s v="CALCULO JURIDICO"/>
    <x v="12"/>
    <x v="1"/>
    <s v="C6"/>
    <s v="C6"/>
    <m/>
    <m/>
    <s v="Nathalia Louiz"/>
    <n v="-118.3"/>
    <s v="Saída"/>
    <x v="0"/>
  </r>
  <r>
    <x v="279"/>
    <s v="Banco do Brasil - Sarah Alves Lisboa"/>
    <s v="Uber/Ajuda de custo"/>
    <x v="29"/>
    <x v="7"/>
    <s v="Maura Cardoso Borges"/>
    <s v="Maura Cardoso Borges"/>
    <m/>
    <m/>
    <s v="Nathalia Louiz"/>
    <n v="-50"/>
    <s v="Saída"/>
    <x v="0"/>
  </r>
  <r>
    <x v="279"/>
    <s v="Banco do Brasil - Sarah Alves Lisboa"/>
    <s v="20% de honorários"/>
    <x v="2"/>
    <x v="2"/>
    <s v="LUZIMEIRE MARTINS COSTA ALVES"/>
    <s v="LUZIMEIRE MARTINS COSTA ALVES"/>
    <m/>
    <s v="VALORES  NÃO RECEBIDOS"/>
    <s v="Nathalia Louiz"/>
    <n v="323"/>
    <s v="Entrada"/>
    <x v="1"/>
  </r>
  <r>
    <x v="279"/>
    <s v="Cartão de Crédito Dra Thaynara - C6"/>
    <s v="Pagamento Cartão de Crédito Dra Thaynara"/>
    <x v="6"/>
    <x v="1"/>
    <s v="C6"/>
    <s v="C6"/>
    <m/>
    <m/>
    <s v="Nathalia Louiz"/>
    <n v="1230.93"/>
    <s v="Entrada"/>
    <x v="1"/>
  </r>
  <r>
    <x v="276"/>
    <s v="Itaú - Lisboa e Lisboa"/>
    <s v="Gesso para reforma escritório Girassol"/>
    <x v="47"/>
    <x v="0"/>
    <s v="VISUAL GESSO"/>
    <s v="VISUAL GESSO"/>
    <m/>
    <m/>
    <s v="Nathalia Louiz"/>
    <n v="-1721.5"/>
    <s v="Saída"/>
    <x v="0"/>
  </r>
  <r>
    <x v="279"/>
    <s v="Cartão de Crédito Dra Thaynara - C6"/>
    <s v="Verificado do WhatsApp"/>
    <x v="12"/>
    <x v="1"/>
    <s v="C6"/>
    <s v="C6"/>
    <m/>
    <m/>
    <s v="Nathalia Louiz"/>
    <n v="-109.9"/>
    <s v="Saída"/>
    <x v="0"/>
  </r>
  <r>
    <x v="279"/>
    <s v="Cartão de Crédito Dra Thaynara - C6"/>
    <s v="ASTREA"/>
    <x v="12"/>
    <x v="1"/>
    <s v="C6"/>
    <s v="C6"/>
    <m/>
    <m/>
    <s v="Nathalia Louiz"/>
    <n v="-653.29999999999995"/>
    <s v="Saída"/>
    <x v="0"/>
  </r>
  <r>
    <x v="279"/>
    <s v="Caixa Físico"/>
    <s v="3 SALÁRIOS DE BENEFICIO (Entrada de 1000,00 + 6x de 492,33 no boleto)"/>
    <x v="2"/>
    <x v="2"/>
    <s v="Maura Cardoso Borges"/>
    <s v="Maura Cardoso Borges"/>
    <m/>
    <s v="APOSENTADORIA POR IDADE"/>
    <s v="Nathalia Louiz"/>
    <n v="1000"/>
    <s v="Entrada"/>
    <x v="1"/>
  </r>
  <r>
    <x v="279"/>
    <s v="Banco do Brasil - Sarah Alves Lisboa"/>
    <s v="Troco via pix de honorários pagos em dinheiro (caixa físico)"/>
    <x v="33"/>
    <x v="4"/>
    <s v="Maura Cardoso Borges"/>
    <s v="Maura Cardoso Borges"/>
    <m/>
    <m/>
    <s v="Nathalia Louiz"/>
    <n v="-15.34"/>
    <s v="Saída"/>
    <x v="0"/>
  </r>
  <r>
    <x v="280"/>
    <s v="Banco do Brasil - Sarah Alves Lisboa"/>
    <s v="Honorários de 2.500 (500 + 500 + 3x500)"/>
    <x v="2"/>
    <x v="2"/>
    <s v="CHRISYA  MATOS AZEVEDO"/>
    <s v="CHRISYA  MATOS AZEVEDO"/>
    <m/>
    <s v="DEFESA DIVÓRCIO"/>
    <s v="Nathalia Louiz"/>
    <n v="500"/>
    <s v="Entrada"/>
    <x v="1"/>
  </r>
  <r>
    <x v="281"/>
    <s v="Itaú - Lisboa e Lisboa"/>
    <s v="RECEITA FEDERAL"/>
    <x v="19"/>
    <x v="6"/>
    <s v="RECEITA FEDERAL"/>
    <s v="RECEITA FEDERAL"/>
    <m/>
    <m/>
    <s v="Nathalia Louiz"/>
    <n v="-4710.82"/>
    <s v="Saída"/>
    <x v="0"/>
  </r>
  <r>
    <x v="281"/>
    <s v="Itaú - Lisboa e Lisboa"/>
    <s v="FGTS"/>
    <x v="18"/>
    <x v="6"/>
    <s v="FGTS"/>
    <s v="FGTS"/>
    <m/>
    <m/>
    <s v="Nathalia Louiz"/>
    <n v="-1096.76"/>
    <s v="Saída"/>
    <x v="0"/>
  </r>
  <r>
    <x v="281"/>
    <s v="Banco do Brasil - Sarah Alves Lisboa"/>
    <s v="Ajuda de custo para Iacy"/>
    <x v="48"/>
    <x v="6"/>
    <s v="MORGANA DA LUA MAGALHÃES"/>
    <s v="MORGANA DA LUA MAGALHÃES"/>
    <m/>
    <m/>
    <s v="Nathalia Louiz"/>
    <n v="-300"/>
    <s v="Saída"/>
    <x v="0"/>
  </r>
  <r>
    <x v="281"/>
    <s v="Banco do Brasil - Sarah Alves Lisboa"/>
    <s v="30% sob implantação"/>
    <x v="2"/>
    <x v="2"/>
    <s v="VALENTINA SOUSA FONSECA"/>
    <s v="VALENTINA SOUSA FONSECA"/>
    <m/>
    <s v="SOLICITAR PAGAMENTOS NÃO RECEBIDOS"/>
    <s v="Nathalia Louiz"/>
    <n v="467.24"/>
    <s v="Entrada"/>
    <x v="1"/>
  </r>
  <r>
    <x v="281"/>
    <s v="Itaú - Lisboa e Lisboa"/>
    <s v="SANEAGO CONTA 16388844"/>
    <x v="17"/>
    <x v="1"/>
    <s v="SANEAGO GOIAS S/A"/>
    <s v="SANEAGO GOIAS S/A"/>
    <m/>
    <m/>
    <s v="Nathalia Louiz"/>
    <n v="-109.67"/>
    <s v="Saída"/>
    <x v="0"/>
  </r>
  <r>
    <x v="281"/>
    <s v="Banco do Brasil - Sarah Alves Lisboa"/>
    <s v="50% parceria Dr Silvio Carneiro"/>
    <x v="29"/>
    <x v="7"/>
    <s v="CHRISYA  MATOS AZEVEDO"/>
    <s v="CHRISYA  MATOS AZEVEDO"/>
    <m/>
    <s v="DEFESA DIVÓRCIO"/>
    <s v="Nathalia Louiz"/>
    <n v="-250"/>
    <s v="Saída"/>
    <x v="0"/>
  </r>
  <r>
    <x v="281"/>
    <s v="Itaú - Lisboa e Lisboa"/>
    <s v="FGTS 13° SALÁRIO"/>
    <x v="18"/>
    <x v="6"/>
    <s v="FGTS"/>
    <s v="FGTS"/>
    <m/>
    <m/>
    <s v="Nathalia Louiz"/>
    <n v="-541.9"/>
    <s v="Saída"/>
    <x v="0"/>
  </r>
  <r>
    <x v="282"/>
    <s v="Itaú - Lisboa e Lisboa"/>
    <s v="Serviços de TI"/>
    <x v="3"/>
    <x v="1"/>
    <s v="T.IT SOLUÇÕES TECNOLÓGICAS"/>
    <s v="T.IT SOLUÇÕES TECNOLÓGICAS"/>
    <m/>
    <m/>
    <s v="Nathalia Louiz"/>
    <n v="-200"/>
    <s v="Saída"/>
    <x v="0"/>
  </r>
  <r>
    <x v="274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74"/>
    <s v="Banco do Brasil - Sarah Alves Lisboa"/>
    <s v="peças avulsas"/>
    <x v="43"/>
    <x v="6"/>
    <s v="Dra Raffaela Nunes"/>
    <s v="Dra Raffaela Nunes"/>
    <m/>
    <m/>
    <s v="Nathalia Louiz"/>
    <n v="-400"/>
    <s v="Saída"/>
    <x v="0"/>
  </r>
  <r>
    <x v="267"/>
    <s v="Itaú - Lisboa e Lisboa"/>
    <s v="Cuba e pedras do Banheiro - Reforma"/>
    <x v="14"/>
    <x v="1"/>
    <s v="REQUINT MARMORARIA"/>
    <s v="REQUINT MARMORARIA"/>
    <m/>
    <m/>
    <s v="Nathalia Louiz"/>
    <n v="-2350"/>
    <s v="Saída"/>
    <x v="0"/>
  </r>
  <r>
    <x v="279"/>
    <s v="Itaú - Lisboa e Lisboa"/>
    <s v="Mão de obra - Pedreiro Girassol"/>
    <x v="47"/>
    <x v="0"/>
    <s v="JOAO BATISTA PEREIRA DA SILVA"/>
    <s v="JOAO BATISTA PEREIRA DA SILVA"/>
    <m/>
    <m/>
    <s v="Nathalia Louiz"/>
    <n v="-2500"/>
    <s v="Saída"/>
    <x v="0"/>
  </r>
  <r>
    <x v="283"/>
    <s v="Itaú - Lisboa e Lisboa"/>
    <s v="Arquiteta - Projeto escritório Goiânia"/>
    <x v="14"/>
    <x v="1"/>
    <s v="AMANDA MONTEIRO DOS SANTOS"/>
    <s v="AMANDA MONTEIRO DOS SANTOS"/>
    <m/>
    <m/>
    <s v="Nathalia Louiz"/>
    <n v="-3300"/>
    <s v="Saída"/>
    <x v="0"/>
  </r>
  <r>
    <x v="273"/>
    <s v="Itaú - Lisboa e Lisboa"/>
    <s v="Implantação de sistema de informática"/>
    <x v="36"/>
    <x v="1"/>
    <s v="SAFETECH CONSULTORIA GESTÃO E TECNOLOGIA LTDA"/>
    <s v="SAFETECH CONSULTORIA GESTÃO E TECNOLOGIA LTDA"/>
    <m/>
    <m/>
    <s v="Nathalia Louiz"/>
    <n v="-745.67"/>
    <s v="Saída"/>
    <x v="0"/>
  </r>
  <r>
    <x v="283"/>
    <s v="Banco do Brasil - Sarah Alves Lisboa"/>
    <s v="Honorários de 2.500 (500 + 500 + 3x500)"/>
    <x v="2"/>
    <x v="2"/>
    <s v="CHRISYA  MATOS AZEVEDO"/>
    <s v="CHRISYA  MATOS AZEVEDO"/>
    <m/>
    <s v="DEFESA DIVÓRCIO"/>
    <s v="Nathalia Louiz"/>
    <n v="500"/>
    <s v="Entrada"/>
    <x v="1"/>
  </r>
  <r>
    <x v="271"/>
    <s v="Itaú - Lisboa e Lisboa"/>
    <s v="Pisos para escritório de Girassois"/>
    <x v="47"/>
    <x v="0"/>
    <s v="SÓ REPAROS"/>
    <s v="SÓ REPAROS"/>
    <m/>
    <m/>
    <s v="Nathalia Louiz"/>
    <n v="-10000"/>
    <s v="Saída"/>
    <x v="0"/>
  </r>
  <r>
    <x v="283"/>
    <s v="Banco do Brasil - Sarah Alves Lisboa"/>
    <s v="50% parceria Dr Silvio Carneiro"/>
    <x v="29"/>
    <x v="7"/>
    <s v="CHRISYA  MATOS AZEVEDO"/>
    <s v="CHRISYA  MATOS AZEVEDO"/>
    <m/>
    <s v="DEFESA DIVÓRCIO"/>
    <s v="Nathalia Louiz"/>
    <n v="-250"/>
    <s v="Saída"/>
    <x v="0"/>
  </r>
  <r>
    <x v="284"/>
    <s v="Banco do Brasil - Sarah Alves Lisboa"/>
    <s v="50% parceria Dr Silvio Carneiro"/>
    <x v="29"/>
    <x v="7"/>
    <s v="ZIZANI SOARES DE BRITO SILVA"/>
    <s v="ZIZANI SOARES DE BRITO SILVA"/>
    <m/>
    <s v="AÇÃO DE RESPONSABILIDADE CIVÍL POR ERRO MÉDICO"/>
    <s v="Nathalia Louiz"/>
    <n v="-250"/>
    <s v="Saída"/>
    <x v="0"/>
  </r>
  <r>
    <x v="284"/>
    <s v="Banco do Brasil - Sarah Alves Lisboa"/>
    <s v="Pagamento a Dr Rodolfo Carvalho Cunha - Consulta médica"/>
    <x v="7"/>
    <x v="5"/>
    <s v="ANTONIA BATISTA DE SOUZA"/>
    <s v="ANTONIA BATISTA DE SOUZA"/>
    <m/>
    <s v="AUXILIO DOENÇA"/>
    <s v="Nathalia Louiz"/>
    <n v="-400"/>
    <s v="Saída"/>
    <x v="0"/>
  </r>
  <r>
    <x v="284"/>
    <s v="Banco do Brasil - Sarah Alves Lisboa"/>
    <s v="Contrato 20%."/>
    <x v="2"/>
    <x v="2"/>
    <s v="ELIETH DIAS DE PAIVA RODRIGUES"/>
    <s v="ELIETH DIAS DE PAIVA RODRIGUES"/>
    <m/>
    <s v="NULIDADE DE CONTRATO ASSOCIAÇÃO E INDENIZAÇÃO POR DANOS MORAIS"/>
    <s v="Nathalia Louiz"/>
    <n v="207.2"/>
    <s v="Entrada"/>
    <x v="1"/>
  </r>
  <r>
    <x v="285"/>
    <s v="Itaú - Lisboa e Lisboa"/>
    <s v="VALE TRANSPORTE DE GIOVANA V"/>
    <x v="37"/>
    <x v="6"/>
    <s v="NAAMA MENDES JUNIOR - VALUU"/>
    <s v="NAAMA MENDES JUNIOR - VALUU"/>
    <m/>
    <m/>
    <s v="Nathalia Louiz"/>
    <n v="-131.5"/>
    <s v="Saída"/>
    <x v="0"/>
  </r>
  <r>
    <x v="285"/>
    <s v="Itaú - Lisboa e Lisboa"/>
    <s v="Pagamento de benefícios: SAMARA ALMEIDA BOGEA (300,00) - MARIA EDUARDA DE SOUZA (300,00) - GIOVANNA VICTORIA GOMES RODRIGUES (300,00) - NINA ARAUJO (300,00) + Taxas da VALUU (2,50)"/>
    <x v="37"/>
    <x v="6"/>
    <s v="NAAMA MENDES JUNIOR - VALUU"/>
    <s v="NAAMA MENDES JUNIOR - VALUU"/>
    <m/>
    <m/>
    <s v="Nathalia Louiz"/>
    <n v="-1802.5"/>
    <s v="Saída"/>
    <x v="0"/>
  </r>
  <r>
    <x v="285"/>
    <s v="Banco do Brasil - Sarah Alves Lisboa"/>
    <s v="LIMPEZA"/>
    <x v="9"/>
    <x v="1"/>
    <s v="ELIZANGELA FERREIRA DA SILVA"/>
    <s v="ELIZANGELA FERREIRA DA SILVA"/>
    <m/>
    <m/>
    <s v="Nathalia Louiz"/>
    <n v="-340"/>
    <s v="Saída"/>
    <x v="0"/>
  </r>
  <r>
    <x v="285"/>
    <s v="Itaú - Lisboa e Lisboa"/>
    <s v="Retiradas de Sócias"/>
    <x v="22"/>
    <x v="8"/>
    <s v="SARAH ALVES LISBOA"/>
    <s v="SARAH ALVES LISBOA"/>
    <m/>
    <m/>
    <s v="Nathalia Louiz"/>
    <n v="-6057.31"/>
    <s v="Saída"/>
    <x v="0"/>
  </r>
  <r>
    <x v="285"/>
    <s v="Itaú - Lisboa e Lisboa"/>
    <s v="Anuidade OAB DR Sarah"/>
    <x v="49"/>
    <x v="9"/>
    <s v="OAB"/>
    <s v="OAB"/>
    <m/>
    <m/>
    <s v="Nathalia Louiz"/>
    <n v="-999"/>
    <s v="Saída"/>
    <x v="0"/>
  </r>
  <r>
    <x v="285"/>
    <s v="Itaú - Lisboa e Lisboa"/>
    <s v="Anuidade OAB DR Raffaela"/>
    <x v="49"/>
    <x v="9"/>
    <s v="OAB"/>
    <s v="OAB"/>
    <m/>
    <m/>
    <s v="Nathalia Louiz"/>
    <n v="-550"/>
    <s v="Saída"/>
    <x v="0"/>
  </r>
  <r>
    <x v="285"/>
    <s v="Itaú - Lisboa e Lisboa"/>
    <s v="PRÓ-LABORE"/>
    <x v="23"/>
    <x v="8"/>
    <s v="Thaynara Borges Pereira"/>
    <s v="Thaynara Borges Pereira"/>
    <m/>
    <m/>
    <s v="Nathalia Louiz"/>
    <n v="-1442.69"/>
    <s v="Saída"/>
    <x v="0"/>
  </r>
  <r>
    <x v="285"/>
    <s v="Itaú - Lisboa e Lisboa"/>
    <s v="Pagamento de Salários"/>
    <x v="15"/>
    <x v="6"/>
    <s v="ANNA UIZA ESTANISLAU SIQUEIRA"/>
    <s v="ANNA UIZA ESTANISLAU SIQUEIRA"/>
    <m/>
    <m/>
    <s v="Nathalia Louiz"/>
    <n v="-1994.99"/>
    <s v="Saída"/>
    <x v="0"/>
  </r>
  <r>
    <x v="285"/>
    <s v="Banco do Brasil - Sarah Alves Lisboa"/>
    <s v="Salário"/>
    <x v="15"/>
    <x v="6"/>
    <s v="Dra Raffaela Nunes"/>
    <s v="Dra Raffaela Nunes"/>
    <m/>
    <m/>
    <s v="Nathalia Louiz"/>
    <n v="-3500"/>
    <s v="Saída"/>
    <x v="0"/>
  </r>
  <r>
    <x v="285"/>
    <s v="Banco do Brasil - Sarah Alves Lisboa"/>
    <s v="Salário"/>
    <x v="15"/>
    <x v="6"/>
    <s v="Nathalia Louiz Alves Vigilato"/>
    <s v="Nathalia Louiz Alves Vigilato"/>
    <m/>
    <m/>
    <s v="Nathalia Louiz"/>
    <n v="-1621"/>
    <s v="Saída"/>
    <x v="0"/>
  </r>
  <r>
    <x v="285"/>
    <s v="Itaú - Lisboa e Lisboa"/>
    <s v="Anuidade OAB DR Thaynara"/>
    <x v="49"/>
    <x v="9"/>
    <s v="OAB"/>
    <s v="OAB"/>
    <m/>
    <m/>
    <s v="Nathalia Louiz"/>
    <n v="-999"/>
    <s v="Saída"/>
    <x v="0"/>
  </r>
  <r>
    <x v="285"/>
    <s v="Itaú - Lisboa e Lisboa"/>
    <s v="Retirada de Sócias"/>
    <x v="22"/>
    <x v="8"/>
    <s v="Thaynara Borges Pereira"/>
    <s v="Thaynara Borges Pereira"/>
    <m/>
    <m/>
    <s v="Nathalia Louiz"/>
    <n v="-5057.3100000000004"/>
    <s v="Saída"/>
    <x v="0"/>
  </r>
  <r>
    <x v="285"/>
    <s v="Itaú - Lisboa e Lisboa"/>
    <s v="Assistência de T.I"/>
    <x v="3"/>
    <x v="1"/>
    <s v="T.IT SOLUÇÕES TECNOLÓGICAS"/>
    <s v="T.IT SOLUÇÕES TECNOLÓGICAS"/>
    <m/>
    <m/>
    <s v="Nathalia Louiz"/>
    <n v="-1058"/>
    <s v="Saída"/>
    <x v="0"/>
  </r>
  <r>
    <x v="285"/>
    <s v="Itaú - Lisboa e Lisboa"/>
    <s v="Salário"/>
    <x v="15"/>
    <x v="6"/>
    <s v="GIOVANNA VICTORIA GOMES RODRIGUES"/>
    <s v="GIOVANNA VICTORIA GOMES RODRIGUES"/>
    <m/>
    <m/>
    <s v="Nathalia Louiz"/>
    <n v="-1433.99"/>
    <s v="Saída"/>
    <x v="0"/>
  </r>
  <r>
    <x v="285"/>
    <s v="Itaú - Lisboa e Lisboa"/>
    <s v="Pagamento de salários"/>
    <x v="15"/>
    <x v="6"/>
    <s v="GIOVANNA MENDES REGINO DE SOUZA"/>
    <s v="GIOVANNA MENDES REGINO DE SOUZA"/>
    <m/>
    <m/>
    <s v="Nathalia Louiz"/>
    <n v="-1994.99"/>
    <s v="Saída"/>
    <x v="0"/>
  </r>
  <r>
    <x v="285"/>
    <s v="Itaú - Lisboa e Lisboa"/>
    <s v="PRÓ-LABORE"/>
    <x v="23"/>
    <x v="8"/>
    <s v="SARAH ALVES LISBOA"/>
    <s v="SARAH ALVES LISBOA"/>
    <m/>
    <m/>
    <s v="Nathalia Louiz"/>
    <n v="-1442.69"/>
    <s v="Saída"/>
    <x v="0"/>
  </r>
  <r>
    <x v="285"/>
    <s v="Itaú - Lisboa e Lisboa"/>
    <s v="Salário"/>
    <x v="15"/>
    <x v="6"/>
    <s v="Nina Araujo"/>
    <s v="Nina Araujo"/>
    <m/>
    <m/>
    <s v="Nathalia Louiz"/>
    <n v="-3632.69"/>
    <s v="Saída"/>
    <x v="0"/>
  </r>
  <r>
    <x v="285"/>
    <s v="Banco do Brasil - Sarah Alves Lisboa"/>
    <s v="20% recebidos de devolução INSS"/>
    <x v="2"/>
    <x v="2"/>
    <s v="SARA FERREIRA RIBEIRO ROCHA"/>
    <s v="SARA FERREIRA RIBEIRO ROCHA"/>
    <m/>
    <s v="NULIDADE DE CONTRATO ASSOCIAÇÃO E INDENIZAÇÃO POR DANOS MORAIS"/>
    <s v="Nathalia Louiz"/>
    <n v="57.32"/>
    <s v="Entrada"/>
    <x v="1"/>
  </r>
  <r>
    <x v="285"/>
    <s v="Itaú - Lisboa e Lisboa"/>
    <s v="Salário"/>
    <x v="15"/>
    <x v="6"/>
    <s v="MARIA EDUARDA DE SOUZA"/>
    <s v="MARIA EDUARDA DE SOUZA"/>
    <m/>
    <m/>
    <s v="Nathalia Louiz"/>
    <n v="-1946.25"/>
    <s v="Saída"/>
    <x v="0"/>
  </r>
  <r>
    <x v="285"/>
    <s v="Itaú - Lisboa e Lisboa"/>
    <s v="Salário"/>
    <x v="15"/>
    <x v="6"/>
    <s v="SAMARA ALMEIDA BOGEA"/>
    <s v="SAMARA ALMEIDA BOGEA"/>
    <m/>
    <m/>
    <s v="Nathalia Louiz"/>
    <n v="-1911.61"/>
    <s v="Saída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E9B9B-9E76-414F-A626-3F2FA4C74A93}" name="PivotTable1" cacheId="2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15" firstHeaderRow="1" firstDataRow="1" firstDataCol="1" rowPageCount="4" colPageCount="1"/>
  <pivotFields count="16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70"/>
        <item x="72"/>
        <item x="73"/>
        <item x="74"/>
        <item x="75"/>
        <item x="76"/>
        <item x="77"/>
        <item x="78"/>
        <item x="67"/>
        <item x="69"/>
        <item x="71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axis="axisRow" showAll="0" sortType="descending">
      <items count="45">
        <item x="17"/>
        <item x="1"/>
        <item x="6"/>
        <item x="10"/>
        <item x="21"/>
        <item x="8"/>
        <item x="11"/>
        <item x="9"/>
        <item x="14"/>
        <item x="26"/>
        <item x="3"/>
        <item x="12"/>
        <item x="27"/>
        <item x="7"/>
        <item x="22"/>
        <item x="23"/>
        <item x="4"/>
        <item x="2"/>
        <item x="0"/>
        <item x="25"/>
        <item x="24"/>
        <item x="18"/>
        <item x="19"/>
        <item x="15"/>
        <item x="13"/>
        <item x="20"/>
        <item x="5"/>
        <item x="1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5">
        <item h="1" x="1"/>
        <item h="1" x="4"/>
        <item h="1" x="5"/>
        <item h="1" x="8"/>
        <item h="1" x="3"/>
        <item x="2"/>
        <item h="1" x="0"/>
        <item h="1" x="6"/>
        <item x="7"/>
        <item h="1" x="9"/>
        <item h="1" m="1" x="12"/>
        <item h="1" m="1" x="13"/>
        <item h="1" x="10"/>
        <item h="1" x="11"/>
        <item t="default"/>
      </items>
    </pivotField>
    <pivotField axis="axisRow" showAll="0" sortType="descending">
      <items count="274">
        <item x="90"/>
        <item x="33"/>
        <item x="76"/>
        <item x="224"/>
        <item x="257"/>
        <item x="3"/>
        <item x="245"/>
        <item x="197"/>
        <item x="187"/>
        <item x="64"/>
        <item x="192"/>
        <item x="43"/>
        <item x="25"/>
        <item x="62"/>
        <item x="114"/>
        <item x="12"/>
        <item x="242"/>
        <item x="51"/>
        <item x="154"/>
        <item x="20"/>
        <item x="59"/>
        <item x="161"/>
        <item x="88"/>
        <item x="234"/>
        <item x="254"/>
        <item x="251"/>
        <item x="16"/>
        <item x="200"/>
        <item x="163"/>
        <item x="29"/>
        <item x="214"/>
        <item x="22"/>
        <item x="5"/>
        <item x="207"/>
        <item x="268"/>
        <item x="259"/>
        <item x="150"/>
        <item x="47"/>
        <item x="107"/>
        <item x="132"/>
        <item x="17"/>
        <item x="124"/>
        <item x="1"/>
        <item x="106"/>
        <item x="263"/>
        <item x="171"/>
        <item x="208"/>
        <item x="217"/>
        <item x="269"/>
        <item x="100"/>
        <item x="236"/>
        <item x="128"/>
        <item x="258"/>
        <item x="108"/>
        <item x="172"/>
        <item x="169"/>
        <item x="212"/>
        <item x="125"/>
        <item x="215"/>
        <item x="118"/>
        <item x="205"/>
        <item x="63"/>
        <item x="204"/>
        <item x="177"/>
        <item x="235"/>
        <item x="8"/>
        <item x="256"/>
        <item x="173"/>
        <item x="209"/>
        <item x="233"/>
        <item x="111"/>
        <item x="211"/>
        <item x="231"/>
        <item x="247"/>
        <item x="15"/>
        <item x="103"/>
        <item x="121"/>
        <item x="30"/>
        <item x="201"/>
        <item x="45"/>
        <item x="91"/>
        <item x="94"/>
        <item x="241"/>
        <item x="68"/>
        <item x="72"/>
        <item x="180"/>
        <item x="56"/>
        <item x="252"/>
        <item x="227"/>
        <item x="133"/>
        <item x="271"/>
        <item x="44"/>
        <item x="152"/>
        <item x="253"/>
        <item x="89"/>
        <item x="190"/>
        <item x="243"/>
        <item x="57"/>
        <item x="155"/>
        <item x="36"/>
        <item x="244"/>
        <item x="206"/>
        <item x="40"/>
        <item x="228"/>
        <item x="77"/>
        <item x="218"/>
        <item x="99"/>
        <item x="153"/>
        <item x="129"/>
        <item x="225"/>
        <item x="81"/>
        <item x="85"/>
        <item x="122"/>
        <item x="21"/>
        <item x="135"/>
        <item x="237"/>
        <item x="144"/>
        <item x="266"/>
        <item x="119"/>
        <item x="82"/>
        <item x="165"/>
        <item x="10"/>
        <item x="18"/>
        <item x="188"/>
        <item x="95"/>
        <item x="213"/>
        <item x="9"/>
        <item x="151"/>
        <item x="112"/>
        <item x="179"/>
        <item x="138"/>
        <item x="60"/>
        <item x="83"/>
        <item x="186"/>
        <item x="52"/>
        <item x="42"/>
        <item x="220"/>
        <item x="101"/>
        <item x="168"/>
        <item x="49"/>
        <item x="185"/>
        <item x="246"/>
        <item x="75"/>
        <item x="26"/>
        <item x="115"/>
        <item x="123"/>
        <item x="116"/>
        <item x="143"/>
        <item x="66"/>
        <item x="79"/>
        <item x="232"/>
        <item x="46"/>
        <item x="54"/>
        <item x="104"/>
        <item x="11"/>
        <item x="175"/>
        <item x="28"/>
        <item x="65"/>
        <item x="248"/>
        <item x="223"/>
        <item x="149"/>
        <item x="198"/>
        <item x="176"/>
        <item x="67"/>
        <item x="199"/>
        <item x="130"/>
        <item x="24"/>
        <item x="222"/>
        <item x="194"/>
        <item x="182"/>
        <item x="41"/>
        <item x="53"/>
        <item x="170"/>
        <item x="196"/>
        <item x="84"/>
        <item x="61"/>
        <item x="216"/>
        <item x="255"/>
        <item x="2"/>
        <item x="48"/>
        <item x="80"/>
        <item x="131"/>
        <item x="250"/>
        <item x="166"/>
        <item x="160"/>
        <item x="146"/>
        <item x="50"/>
        <item x="267"/>
        <item x="230"/>
        <item x="159"/>
        <item x="189"/>
        <item x="174"/>
        <item x="73"/>
        <item x="239"/>
        <item x="264"/>
        <item x="156"/>
        <item x="93"/>
        <item x="181"/>
        <item x="117"/>
        <item x="55"/>
        <item x="35"/>
        <item x="210"/>
        <item x="86"/>
        <item x="13"/>
        <item x="193"/>
        <item x="69"/>
        <item x="109"/>
        <item x="191"/>
        <item x="37"/>
        <item x="105"/>
        <item x="74"/>
        <item x="6"/>
        <item x="58"/>
        <item x="127"/>
        <item x="142"/>
        <item x="97"/>
        <item x="265"/>
        <item x="226"/>
        <item x="126"/>
        <item x="158"/>
        <item x="140"/>
        <item x="139"/>
        <item x="229"/>
        <item x="71"/>
        <item x="19"/>
        <item x="0"/>
        <item x="137"/>
        <item x="261"/>
        <item x="32"/>
        <item x="203"/>
        <item x="38"/>
        <item x="262"/>
        <item x="4"/>
        <item x="219"/>
        <item x="164"/>
        <item x="221"/>
        <item x="184"/>
        <item x="70"/>
        <item x="34"/>
        <item x="178"/>
        <item x="7"/>
        <item x="87"/>
        <item x="249"/>
        <item x="183"/>
        <item x="260"/>
        <item x="157"/>
        <item x="120"/>
        <item x="39"/>
        <item x="92"/>
        <item x="272"/>
        <item x="136"/>
        <item x="23"/>
        <item x="78"/>
        <item x="134"/>
        <item x="167"/>
        <item x="238"/>
        <item x="195"/>
        <item x="240"/>
        <item x="27"/>
        <item x="31"/>
        <item x="145"/>
        <item x="162"/>
        <item x="96"/>
        <item x="113"/>
        <item x="202"/>
        <item x="110"/>
        <item x="102"/>
        <item x="147"/>
        <item x="14"/>
        <item x="98"/>
        <item x="141"/>
        <item x="270"/>
        <item x="1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4" showAll="0"/>
    <pivotField showAll="0"/>
    <pivotField axis="axisPage" multipleItemSelectionAllowed="1" showAll="0">
      <items count="6">
        <item h="1" x="2"/>
        <item x="0"/>
        <item x="1"/>
        <item h="1" x="3"/>
        <item h="1" x="4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Page" showAll="0" defaultSubtotal="0">
      <items count="4">
        <item sd="0" x="0"/>
        <item x="1"/>
        <item x="2"/>
        <item x="3"/>
      </items>
    </pivotField>
  </pivotFields>
  <rowFields count="2">
    <field x="5"/>
    <field x="3"/>
  </rowFields>
  <rowItems count="109">
    <i>
      <x v="244"/>
    </i>
    <i r="1">
      <x v="17"/>
    </i>
    <i r="1">
      <x v="28"/>
    </i>
    <i>
      <x v="136"/>
    </i>
    <i r="1">
      <x v="17"/>
    </i>
    <i>
      <x v="117"/>
    </i>
    <i r="1">
      <x v="17"/>
    </i>
    <i>
      <x v="186"/>
    </i>
    <i r="1">
      <x v="17"/>
    </i>
    <i>
      <x v="233"/>
    </i>
    <i r="1">
      <x v="17"/>
    </i>
    <i r="1">
      <x v="28"/>
    </i>
    <i>
      <x v="245"/>
    </i>
    <i r="1">
      <x v="17"/>
    </i>
    <i>
      <x v="58"/>
    </i>
    <i r="1">
      <x v="17"/>
    </i>
    <i r="1">
      <x v="28"/>
    </i>
    <i>
      <x v="83"/>
    </i>
    <i r="1">
      <x v="17"/>
    </i>
    <i r="1">
      <x v="28"/>
    </i>
    <i>
      <x v="155"/>
    </i>
    <i r="1">
      <x v="17"/>
    </i>
    <i>
      <x v="204"/>
    </i>
    <i r="1">
      <x v="17"/>
    </i>
    <i>
      <x v="173"/>
    </i>
    <i r="1">
      <x v="17"/>
    </i>
    <i>
      <x v="170"/>
    </i>
    <i r="1">
      <x v="17"/>
    </i>
    <i>
      <x v="4"/>
    </i>
    <i r="1">
      <x v="17"/>
    </i>
    <i>
      <x v="72"/>
    </i>
    <i r="1">
      <x v="17"/>
    </i>
    <i>
      <x v="57"/>
    </i>
    <i r="1">
      <x v="17"/>
    </i>
    <i r="1">
      <x v="28"/>
    </i>
    <i>
      <x v="6"/>
    </i>
    <i r="1">
      <x v="17"/>
    </i>
    <i>
      <x v="141"/>
    </i>
    <i r="1">
      <x v="17"/>
    </i>
    <i>
      <x v="96"/>
    </i>
    <i r="1">
      <x v="17"/>
    </i>
    <i>
      <x v="82"/>
    </i>
    <i r="1">
      <x v="17"/>
    </i>
    <i>
      <x v="255"/>
    </i>
    <i r="1">
      <x v="17"/>
    </i>
    <i r="1">
      <x v="28"/>
    </i>
    <i>
      <x v="227"/>
    </i>
    <i r="1">
      <x v="17"/>
    </i>
    <i r="1">
      <x v="28"/>
    </i>
    <i>
      <x v="197"/>
    </i>
    <i r="1">
      <x v="17"/>
    </i>
    <i>
      <x v="100"/>
    </i>
    <i r="1">
      <x v="17"/>
    </i>
    <i>
      <x v="52"/>
    </i>
    <i r="1">
      <x v="17"/>
    </i>
    <i>
      <x v="167"/>
    </i>
    <i r="1">
      <x v="17"/>
    </i>
    <i>
      <x v="249"/>
    </i>
    <i r="1">
      <x v="17"/>
    </i>
    <i>
      <x v="95"/>
    </i>
    <i r="1">
      <x v="17"/>
    </i>
    <i>
      <x v="73"/>
    </i>
    <i r="1">
      <x v="17"/>
    </i>
    <i r="1">
      <x v="28"/>
    </i>
    <i>
      <x v="7"/>
    </i>
    <i r="1">
      <x v="17"/>
    </i>
    <i>
      <x v="243"/>
    </i>
    <i r="1">
      <x v="17"/>
    </i>
    <i>
      <x v="171"/>
    </i>
    <i r="1">
      <x v="17"/>
    </i>
    <i>
      <x v="169"/>
    </i>
    <i r="1">
      <x v="17"/>
    </i>
    <i>
      <x v="165"/>
    </i>
    <i r="1">
      <x v="17"/>
    </i>
    <i>
      <x v="194"/>
    </i>
    <i r="1">
      <x v="17"/>
    </i>
    <i>
      <x v="44"/>
    </i>
    <i r="1">
      <x v="17"/>
    </i>
    <i>
      <x v="198"/>
    </i>
    <i r="1">
      <x v="17"/>
    </i>
    <i r="1">
      <x v="28"/>
    </i>
    <i>
      <x v="264"/>
    </i>
    <i r="1">
      <x v="17"/>
    </i>
    <i>
      <x v="138"/>
    </i>
    <i r="1">
      <x v="17"/>
    </i>
    <i>
      <x v="231"/>
    </i>
    <i r="1">
      <x v="17"/>
    </i>
    <i>
      <x v="182"/>
    </i>
    <i r="1">
      <x v="28"/>
    </i>
    <i>
      <x v="187"/>
    </i>
    <i r="1">
      <x v="28"/>
    </i>
    <i>
      <x v="64"/>
    </i>
    <i r="1">
      <x v="28"/>
    </i>
    <i>
      <x v="242"/>
    </i>
    <i r="1">
      <x v="28"/>
    </i>
    <i>
      <x v="257"/>
    </i>
    <i r="1">
      <x v="28"/>
    </i>
    <i>
      <x v="247"/>
    </i>
    <i r="1">
      <x v="25"/>
    </i>
    <i>
      <x v="123"/>
    </i>
    <i r="1">
      <x v="17"/>
    </i>
    <i r="1">
      <x v="28"/>
    </i>
    <i>
      <x v="176"/>
    </i>
    <i r="1">
      <x v="28"/>
    </i>
    <i>
      <x v="50"/>
    </i>
    <i r="1">
      <x v="28"/>
    </i>
    <i>
      <x v="105"/>
    </i>
    <i r="1">
      <x v="28"/>
    </i>
    <i t="grand">
      <x/>
    </i>
  </rowItems>
  <colItems count="1">
    <i/>
  </colItems>
  <pageFields count="4">
    <pageField fld="12" hier="-1"/>
    <pageField fld="4" hier="-1"/>
    <pageField fld="15" item="2" hier="-1"/>
    <pageField fld="13" item="9" hier="-1"/>
  </pageFields>
  <dataFields count="1">
    <dataField name="Sum of Valor" fld="10" baseField="0" baseItem="0" numFmtId="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F7E00-90A1-41A4-967A-58DC5B39A447}" name="PivotTable1" cacheId="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1" firstHeaderRow="1" firstDataRow="3" firstDataCol="1" rowPageCount="1" colPageCount="1"/>
  <pivotFields count="16">
    <pivotField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70"/>
        <item x="72"/>
        <item x="73"/>
        <item x="74"/>
        <item x="75"/>
        <item x="76"/>
        <item x="77"/>
        <item x="78"/>
        <item x="67"/>
        <item x="69"/>
        <item x="71"/>
        <item t="default"/>
      </items>
    </pivotField>
    <pivotField showAll="0"/>
    <pivotField showAll="0"/>
    <pivotField axis="axisRow" showAll="0" sortType="descending">
      <items count="35">
        <item x="17"/>
        <item x="1"/>
        <item x="6"/>
        <item x="10"/>
        <item x="21"/>
        <item x="8"/>
        <item x="11"/>
        <item x="9"/>
        <item x="14"/>
        <item x="26"/>
        <item x="3"/>
        <item x="12"/>
        <item x="27"/>
        <item x="7"/>
        <item x="22"/>
        <item x="23"/>
        <item x="4"/>
        <item x="2"/>
        <item x="0"/>
        <item x="25"/>
        <item x="24"/>
        <item x="18"/>
        <item x="19"/>
        <item x="15"/>
        <item x="13"/>
        <item x="20"/>
        <item x="5"/>
        <item x="16"/>
        <item x="28"/>
        <item x="29"/>
        <item x="30"/>
        <item x="31"/>
        <item x="32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1">
        <item sd="0" x="1"/>
        <item sd="0" x="4"/>
        <item sd="0" x="5"/>
        <item sd="0" x="8"/>
        <item sd="0" x="3"/>
        <item sd="0" x="2"/>
        <item sd="0" x="0"/>
        <item x="6"/>
        <item sd="0" x="7"/>
        <item sd="0" x="9"/>
        <item t="default"/>
      </items>
    </pivotField>
    <pivotField showAll="0"/>
    <pivotField showAll="0"/>
    <pivotField showAll="0"/>
    <pivotField showAll="0"/>
    <pivotField showAll="0"/>
    <pivotField dataField="1" numFmtId="4" showAll="0"/>
    <pivotField showAll="0"/>
    <pivotField axis="axisPage" multipleItemSelectionAllowed="1" showAll="0">
      <items count="5">
        <item h="1" x="2"/>
        <item x="0"/>
        <item x="1"/>
        <item h="1" x="3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Col" showAll="0" defaultSubtotal="0">
      <items count="4">
        <item sd="0" x="0"/>
        <item x="1"/>
        <item x="2"/>
        <item x="3"/>
      </items>
    </pivotField>
  </pivotFields>
  <rowFields count="2">
    <field x="4"/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 r="1">
      <x v="32"/>
    </i>
    <i r="1">
      <x v="21"/>
    </i>
    <i r="1">
      <x v="22"/>
    </i>
    <i r="1">
      <x v="24"/>
    </i>
    <i r="1">
      <x v="23"/>
    </i>
    <i>
      <x v="8"/>
    </i>
    <i>
      <x v="9"/>
    </i>
    <i t="grand">
      <x/>
    </i>
  </rowItems>
  <colFields count="2">
    <field x="15"/>
    <field x="13"/>
  </colFields>
  <colItems count="5">
    <i>
      <x v="1"/>
      <x v="12"/>
    </i>
    <i>
      <x v="2"/>
      <x v="1"/>
    </i>
    <i r="1">
      <x v="2"/>
    </i>
    <i r="1">
      <x v="3"/>
    </i>
    <i t="grand">
      <x/>
    </i>
  </colItems>
  <pageFields count="1">
    <pageField fld="12" hier="-1"/>
  </pageFields>
  <dataFields count="1">
    <dataField name="Sum of Valor" fld="10" baseField="0" baseItem="0" numFmtId="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88F14-7AC7-4426-BDA0-EA14E04E5CBB}" name="PivotTable1" cacheId="2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69" firstHeaderRow="1" firstDataRow="3" firstDataCol="1" rowPageCount="1" colPageCount="1"/>
  <pivotFields count="16">
    <pivotField showAll="0">
      <items count="2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70"/>
        <item x="72"/>
        <item x="73"/>
        <item x="74"/>
        <item x="75"/>
        <item x="76"/>
        <item x="77"/>
        <item x="78"/>
        <item x="67"/>
        <item x="69"/>
        <item x="71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5"/>
        <item x="182"/>
        <item x="196"/>
        <item x="197"/>
        <item x="180"/>
        <item x="194"/>
        <item x="187"/>
        <item x="186"/>
        <item x="181"/>
        <item x="184"/>
        <item x="183"/>
        <item x="179"/>
        <item x="192"/>
        <item x="199"/>
        <item x="189"/>
        <item x="188"/>
        <item x="198"/>
        <item x="190"/>
        <item x="193"/>
        <item x="195"/>
        <item x="191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50"/>
        <item x="246"/>
        <item x="248"/>
        <item x="254"/>
        <item x="249"/>
        <item x="257"/>
        <item x="244"/>
        <item x="243"/>
        <item x="245"/>
        <item x="255"/>
        <item x="247"/>
        <item x="252"/>
        <item x="261"/>
        <item x="259"/>
        <item x="253"/>
        <item x="263"/>
        <item x="260"/>
        <item x="251"/>
        <item x="262"/>
        <item x="258"/>
        <item x="256"/>
        <item x="264"/>
        <item x="265"/>
        <item x="269"/>
        <item x="266"/>
        <item x="270"/>
        <item x="271"/>
        <item x="272"/>
        <item x="267"/>
        <item x="275"/>
        <item x="276"/>
        <item x="268"/>
        <item x="277"/>
        <item x="278"/>
        <item x="279"/>
        <item x="280"/>
        <item x="281"/>
        <item x="282"/>
        <item x="274"/>
        <item x="273"/>
        <item x="283"/>
        <item x="284"/>
        <item x="285"/>
        <item t="default"/>
      </items>
    </pivotField>
    <pivotField showAll="0"/>
    <pivotField showAll="0"/>
    <pivotField axis="axisRow" showAll="0" sortType="ascending">
      <items count="57">
        <item x="17"/>
        <item x="44"/>
        <item x="1"/>
        <item x="36"/>
        <item x="6"/>
        <item x="10"/>
        <item x="21"/>
        <item x="40"/>
        <item x="8"/>
        <item x="30"/>
        <item x="11"/>
        <item x="9"/>
        <item x="14"/>
        <item m="1" x="53"/>
        <item m="1" x="52"/>
        <item x="26"/>
        <item x="42"/>
        <item x="45"/>
        <item x="3"/>
        <item x="12"/>
        <item x="32"/>
        <item x="16"/>
        <item m="1" x="50"/>
        <item x="27"/>
        <item x="28"/>
        <item x="33"/>
        <item x="5"/>
        <item x="7"/>
        <item x="22"/>
        <item x="23"/>
        <item x="4"/>
        <item x="2"/>
        <item x="0"/>
        <item x="47"/>
        <item m="1" x="51"/>
        <item x="25"/>
        <item x="24"/>
        <item x="39"/>
        <item m="1" x="55"/>
        <item x="37"/>
        <item x="35"/>
        <item x="18"/>
        <item x="48"/>
        <item x="19"/>
        <item x="15"/>
        <item x="13"/>
        <item x="43"/>
        <item x="34"/>
        <item x="38"/>
        <item x="46"/>
        <item x="49"/>
        <item m="1" x="54"/>
        <item x="31"/>
        <item x="41"/>
        <item x="29"/>
        <item x="20"/>
        <item t="default"/>
      </items>
    </pivotField>
    <pivotField axis="axisRow" showAll="0">
      <items count="15">
        <item x="1"/>
        <item x="4"/>
        <item x="5"/>
        <item x="8"/>
        <item x="3"/>
        <item x="2"/>
        <item x="0"/>
        <item x="6"/>
        <item x="7"/>
        <item x="9"/>
        <item x="10"/>
        <item x="11"/>
        <item x="12"/>
        <item m="1" x="13"/>
        <item t="default"/>
      </items>
    </pivotField>
    <pivotField showAll="0"/>
    <pivotField showAll="0"/>
    <pivotField showAll="0"/>
    <pivotField showAll="0"/>
    <pivotField showAll="0"/>
    <pivotField dataField="1" numFmtId="4" showAll="0"/>
    <pivotField showAll="0"/>
    <pivotField axis="axisPage" multipleItemSelectionAllowed="1" showAll="0">
      <items count="6">
        <item h="1" x="2"/>
        <item x="0"/>
        <item x="1"/>
        <item x="3"/>
        <item x="4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Col" showAll="0" defaultSubtotal="0">
      <items count="5">
        <item sd="0" x="0"/>
        <item x="1"/>
        <item x="2"/>
        <item x="3"/>
        <item x="4"/>
      </items>
    </pivotField>
  </pivotFields>
  <rowFields count="2">
    <field x="4"/>
    <field x="3"/>
  </rowFields>
  <rowItems count="6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7"/>
    </i>
    <i r="1">
      <x v="18"/>
    </i>
    <i r="1">
      <x v="19"/>
    </i>
    <i>
      <x v="1"/>
    </i>
    <i r="1">
      <x v="20"/>
    </i>
    <i r="1">
      <x v="21"/>
    </i>
    <i r="1">
      <x v="23"/>
    </i>
    <i r="1">
      <x v="24"/>
    </i>
    <i r="1">
      <x v="25"/>
    </i>
    <i r="1">
      <x v="26"/>
    </i>
    <i>
      <x v="2"/>
    </i>
    <i r="1">
      <x v="27"/>
    </i>
    <i>
      <x v="3"/>
    </i>
    <i r="1">
      <x v="28"/>
    </i>
    <i r="1">
      <x v="29"/>
    </i>
    <i>
      <x v="4"/>
    </i>
    <i r="1">
      <x v="30"/>
    </i>
    <i>
      <x v="5"/>
    </i>
    <i r="1">
      <x v="31"/>
    </i>
    <i>
      <x v="6"/>
    </i>
    <i r="1">
      <x v="32"/>
    </i>
    <i r="1">
      <x v="33"/>
    </i>
    <i r="1">
      <x v="35"/>
    </i>
    <i r="1">
      <x v="36"/>
    </i>
    <i r="1">
      <x v="37"/>
    </i>
    <i>
      <x v="7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8"/>
    </i>
    <i r="1">
      <x v="54"/>
    </i>
    <i r="1">
      <x v="55"/>
    </i>
    <i>
      <x v="9"/>
    </i>
    <i r="1">
      <x v="50"/>
    </i>
    <i r="1">
      <x v="52"/>
    </i>
    <i>
      <x v="10"/>
    </i>
    <i r="1">
      <x v="48"/>
    </i>
    <i>
      <x v="11"/>
    </i>
    <i r="1">
      <x v="53"/>
    </i>
    <i>
      <x v="12"/>
    </i>
    <i r="1">
      <x v="49"/>
    </i>
    <i t="grand">
      <x/>
    </i>
  </rowItems>
  <colFields count="2">
    <field x="15"/>
    <field x="13"/>
  </colFields>
  <colItems count="15">
    <i>
      <x v="1"/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t="grand">
      <x/>
    </i>
  </colItems>
  <pageFields count="1">
    <pageField fld="12" hier="-1"/>
  </pageFields>
  <dataFields count="1">
    <dataField name="Sum of Valor" fld="10" baseField="0" baseItem="0" numFmtId="4"/>
  </dataFields>
  <formats count="8">
    <format dxfId="7">
      <pivotArea field="4" type="button" dataOnly="0" labelOnly="1" outline="0" axis="axisRow" fieldPosition="0"/>
    </format>
    <format dxfId="6">
      <pivotArea dataOnly="0" labelOnly="1" grandCol="1" outline="0" fieldPosition="0"/>
    </format>
    <format dxfId="5">
      <pivotArea dataOnly="0" labelOnly="1" fieldPosition="0">
        <references count="2">
          <reference field="13" count="1">
            <x v="12"/>
          </reference>
          <reference field="15" count="1" selected="0">
            <x v="1"/>
          </reference>
        </references>
      </pivotArea>
    </format>
    <format dxfId="4">
      <pivotArea dataOnly="0" labelOnly="1" fieldPosition="0">
        <references count="2">
          <reference field="13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5" count="1" selected="0">
            <x v="2"/>
          </reference>
        </references>
      </pivotArea>
    </format>
    <format dxfId="3">
      <pivotArea field="4" type="button" dataOnly="0" labelOnly="1" outline="0" axis="axisRow" fieldPosition="0"/>
    </format>
    <format dxfId="2">
      <pivotArea dataOnly="0" labelOnly="1" grandCol="1" outline="0" fieldPosition="0"/>
    </format>
    <format dxfId="1">
      <pivotArea dataOnly="0" labelOnly="1" fieldPosition="0">
        <references count="2">
          <reference field="13" count="1">
            <x v="12"/>
          </reference>
          <reference field="15" count="1" selected="0">
            <x v="1"/>
          </reference>
        </references>
      </pivotArea>
    </format>
    <format dxfId="0">
      <pivotArea dataOnly="0" labelOnly="1" fieldPosition="0">
        <references count="2">
          <reference field="13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5" count="1" selected="0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6519B-21FB-42AE-98D0-FB1925B562CC}" name="PivotTable1" cacheId="2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69" firstHeaderRow="1" firstDataRow="3" firstDataCol="1" rowPageCount="1" colPageCount="1"/>
  <pivotFields count="16">
    <pivotField showAll="0">
      <items count="2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70"/>
        <item x="72"/>
        <item x="73"/>
        <item x="74"/>
        <item x="75"/>
        <item x="76"/>
        <item x="77"/>
        <item x="78"/>
        <item x="67"/>
        <item x="69"/>
        <item x="71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5"/>
        <item x="182"/>
        <item x="196"/>
        <item x="197"/>
        <item x="180"/>
        <item x="194"/>
        <item x="187"/>
        <item x="186"/>
        <item x="181"/>
        <item x="184"/>
        <item x="183"/>
        <item x="179"/>
        <item x="192"/>
        <item x="199"/>
        <item x="189"/>
        <item x="188"/>
        <item x="198"/>
        <item x="190"/>
        <item x="193"/>
        <item x="195"/>
        <item x="191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50"/>
        <item x="246"/>
        <item x="248"/>
        <item x="254"/>
        <item x="249"/>
        <item x="257"/>
        <item x="244"/>
        <item x="243"/>
        <item x="245"/>
        <item x="255"/>
        <item x="247"/>
        <item x="251"/>
        <item x="252"/>
        <item x="262"/>
        <item x="258"/>
        <item x="256"/>
        <item x="261"/>
        <item x="259"/>
        <item x="264"/>
        <item x="253"/>
        <item x="263"/>
        <item x="260"/>
        <item x="265"/>
        <item x="269"/>
        <item x="266"/>
        <item x="270"/>
        <item x="271"/>
        <item x="272"/>
        <item x="267"/>
        <item x="275"/>
        <item x="276"/>
        <item x="268"/>
        <item x="277"/>
        <item x="278"/>
        <item x="279"/>
        <item x="280"/>
        <item x="281"/>
        <item x="282"/>
        <item x="274"/>
        <item x="273"/>
        <item x="283"/>
        <item x="284"/>
        <item x="285"/>
        <item t="default"/>
      </items>
    </pivotField>
    <pivotField showAll="0"/>
    <pivotField showAll="0"/>
    <pivotField axis="axisRow" showAll="0" sortType="descending">
      <items count="57">
        <item x="17"/>
        <item x="1"/>
        <item x="6"/>
        <item x="10"/>
        <item x="21"/>
        <item x="8"/>
        <item x="11"/>
        <item x="9"/>
        <item x="14"/>
        <item x="26"/>
        <item x="3"/>
        <item x="12"/>
        <item x="33"/>
        <item x="7"/>
        <item x="22"/>
        <item x="23"/>
        <item x="4"/>
        <item x="2"/>
        <item x="0"/>
        <item x="25"/>
        <item x="24"/>
        <item x="18"/>
        <item x="19"/>
        <item x="15"/>
        <item x="13"/>
        <item x="20"/>
        <item x="5"/>
        <item x="16"/>
        <item x="29"/>
        <item x="30"/>
        <item x="31"/>
        <item m="1" x="50"/>
        <item x="34"/>
        <item x="28"/>
        <item x="36"/>
        <item x="27"/>
        <item x="32"/>
        <item x="38"/>
        <item x="39"/>
        <item x="40"/>
        <item x="41"/>
        <item x="42"/>
        <item x="43"/>
        <item x="44"/>
        <item x="45"/>
        <item x="37"/>
        <item x="46"/>
        <item x="48"/>
        <item x="49"/>
        <item m="1" x="54"/>
        <item m="1" x="55"/>
        <item m="1" x="53"/>
        <item m="1" x="52"/>
        <item x="47"/>
        <item m="1" x="51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15">
        <item x="1"/>
        <item x="4"/>
        <item x="5"/>
        <item x="8"/>
        <item x="3"/>
        <item x="2"/>
        <item x="0"/>
        <item m="1" x="13"/>
        <item x="6"/>
        <item x="10"/>
        <item x="12"/>
        <item x="9"/>
        <item x="11"/>
        <item x="7"/>
        <item t="default"/>
      </items>
    </pivotField>
    <pivotField showAll="0"/>
    <pivotField showAll="0"/>
    <pivotField showAll="0"/>
    <pivotField showAll="0"/>
    <pivotField showAll="0"/>
    <pivotField dataField="1" numFmtId="4" showAll="0"/>
    <pivotField showAll="0"/>
    <pivotField axis="axisPage" multipleItemSelectionAllowed="1" showAll="0">
      <items count="6">
        <item h="1" x="2"/>
        <item x="0"/>
        <item x="1"/>
        <item h="1" x="3"/>
        <item h="1" x="4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Col" showAll="0" defaultSubtotal="0">
      <items count="5">
        <item sd="0" x="0"/>
        <item h="1" x="1"/>
        <item x="2"/>
        <item x="3"/>
        <item h="1" x="4"/>
      </items>
    </pivotField>
  </pivotFields>
  <rowFields count="2">
    <field x="4"/>
    <field x="3"/>
  </rowFields>
  <rowItems count="64">
    <i>
      <x/>
    </i>
    <i r="1">
      <x v="39"/>
    </i>
    <i r="1">
      <x v="41"/>
    </i>
    <i r="1">
      <x/>
    </i>
    <i r="1">
      <x v="2"/>
    </i>
    <i r="1">
      <x v="44"/>
    </i>
    <i r="1">
      <x v="29"/>
    </i>
    <i r="1">
      <x v="43"/>
    </i>
    <i r="1">
      <x v="10"/>
    </i>
    <i r="1">
      <x v="5"/>
    </i>
    <i r="1">
      <x v="9"/>
    </i>
    <i r="1">
      <x v="34"/>
    </i>
    <i r="1">
      <x v="4"/>
    </i>
    <i r="1">
      <x v="6"/>
    </i>
    <i r="1">
      <x v="7"/>
    </i>
    <i r="1">
      <x v="11"/>
    </i>
    <i r="1">
      <x v="1"/>
    </i>
    <i r="1">
      <x v="3"/>
    </i>
    <i r="1">
      <x v="8"/>
    </i>
    <i>
      <x v="1"/>
    </i>
    <i r="1">
      <x v="33"/>
    </i>
    <i r="1">
      <x v="36"/>
    </i>
    <i r="1">
      <x v="35"/>
    </i>
    <i r="1">
      <x v="26"/>
    </i>
    <i r="1">
      <x v="27"/>
    </i>
    <i r="1">
      <x v="12"/>
    </i>
    <i>
      <x v="2"/>
    </i>
    <i r="1">
      <x v="13"/>
    </i>
    <i>
      <x v="3"/>
    </i>
    <i r="1">
      <x v="15"/>
    </i>
    <i r="1">
      <x v="14"/>
    </i>
    <i>
      <x v="4"/>
    </i>
    <i r="1">
      <x v="16"/>
    </i>
    <i>
      <x v="5"/>
    </i>
    <i r="1">
      <x v="17"/>
    </i>
    <i>
      <x v="6"/>
    </i>
    <i r="1">
      <x v="38"/>
    </i>
    <i r="1">
      <x v="20"/>
    </i>
    <i r="1">
      <x v="19"/>
    </i>
    <i r="1">
      <x v="53"/>
    </i>
    <i r="1">
      <x v="18"/>
    </i>
    <i>
      <x v="8"/>
    </i>
    <i r="1">
      <x v="55"/>
    </i>
    <i r="1">
      <x v="47"/>
    </i>
    <i r="1">
      <x v="32"/>
    </i>
    <i r="1">
      <x v="42"/>
    </i>
    <i r="1">
      <x v="45"/>
    </i>
    <i r="1">
      <x v="21"/>
    </i>
    <i r="1">
      <x v="24"/>
    </i>
    <i r="1">
      <x v="22"/>
    </i>
    <i r="1">
      <x v="23"/>
    </i>
    <i>
      <x v="9"/>
    </i>
    <i r="1">
      <x v="37"/>
    </i>
    <i>
      <x v="10"/>
    </i>
    <i r="1">
      <x v="46"/>
    </i>
    <i>
      <x v="11"/>
    </i>
    <i r="1">
      <x v="48"/>
    </i>
    <i r="1">
      <x v="30"/>
    </i>
    <i>
      <x v="12"/>
    </i>
    <i r="1">
      <x v="40"/>
    </i>
    <i>
      <x v="13"/>
    </i>
    <i r="1">
      <x v="25"/>
    </i>
    <i r="1">
      <x v="28"/>
    </i>
    <i t="grand">
      <x/>
    </i>
  </rowItems>
  <colFields count="2">
    <field x="15"/>
    <field x="13"/>
  </colFields>
  <colItems count="14"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t="grand">
      <x/>
    </i>
  </colItems>
  <pageFields count="1">
    <pageField fld="12" hier="-1"/>
  </pageFields>
  <dataFields count="1">
    <dataField name="Sum of Valor" fld="10" baseField="0" baseItem="0" numFmtId="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C0D73-4DBC-40FE-9464-9448DE358A52}" name="PivotTable1" cacheId="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66" firstHeaderRow="1" firstDataRow="3" firstDataCol="1" rowPageCount="1" colPageCount="1"/>
  <pivotFields count="16">
    <pivotField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70"/>
        <item x="72"/>
        <item x="73"/>
        <item x="74"/>
        <item x="75"/>
        <item x="76"/>
        <item x="77"/>
        <item x="78"/>
        <item x="67"/>
        <item x="69"/>
        <item x="71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showAll="0"/>
    <pivotField showAll="0"/>
    <pivotField axis="axisRow" showAll="0" sortType="descending">
      <items count="50">
        <item x="17"/>
        <item x="1"/>
        <item x="6"/>
        <item x="10"/>
        <item x="21"/>
        <item x="8"/>
        <item x="11"/>
        <item x="9"/>
        <item x="14"/>
        <item x="26"/>
        <item x="3"/>
        <item x="12"/>
        <item x="27"/>
        <item x="7"/>
        <item x="22"/>
        <item x="23"/>
        <item x="4"/>
        <item x="2"/>
        <item x="0"/>
        <item x="25"/>
        <item x="24"/>
        <item x="18"/>
        <item x="19"/>
        <item x="15"/>
        <item x="13"/>
        <item x="20"/>
        <item x="5"/>
        <item x="1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m="1" x="48"/>
        <item x="46"/>
        <item m="1"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15">
        <item x="1"/>
        <item x="4"/>
        <item x="5"/>
        <item x="8"/>
        <item x="3"/>
        <item x="2"/>
        <item x="0"/>
        <item m="1" x="13"/>
        <item x="6"/>
        <item x="10"/>
        <item x="12"/>
        <item x="9"/>
        <item x="11"/>
        <item x="7"/>
        <item t="default"/>
      </items>
    </pivotField>
    <pivotField showAll="0"/>
    <pivotField showAll="0"/>
    <pivotField showAll="0"/>
    <pivotField showAll="0"/>
    <pivotField showAll="0"/>
    <pivotField dataField="1" numFmtId="4" showAll="0"/>
    <pivotField showAll="0"/>
    <pivotField axis="axisPage" multipleItemSelectionAllowed="1" showAll="0">
      <items count="6">
        <item h="1" x="2"/>
        <item x="0"/>
        <item x="1"/>
        <item h="1" x="3"/>
        <item h="1" x="4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Col" showAll="0" defaultSubtotal="0">
      <items count="4">
        <item sd="0" x="0"/>
        <item h="1" x="1"/>
        <item x="2"/>
        <item h="1" x="3"/>
      </items>
    </pivotField>
  </pivotFields>
  <rowFields count="2">
    <field x="4"/>
    <field x="3"/>
  </rowFields>
  <rowItems count="61">
    <i>
      <x/>
    </i>
    <i r="1">
      <x v="39"/>
    </i>
    <i r="1">
      <x v="41"/>
    </i>
    <i r="1">
      <x/>
    </i>
    <i r="1">
      <x v="2"/>
    </i>
    <i r="1">
      <x v="43"/>
    </i>
    <i r="1">
      <x v="44"/>
    </i>
    <i r="1">
      <x v="10"/>
    </i>
    <i r="1">
      <x v="29"/>
    </i>
    <i r="1">
      <x v="34"/>
    </i>
    <i r="1">
      <x v="5"/>
    </i>
    <i r="1">
      <x v="9"/>
    </i>
    <i r="1">
      <x v="4"/>
    </i>
    <i r="1">
      <x v="6"/>
    </i>
    <i r="1">
      <x v="7"/>
    </i>
    <i r="1">
      <x v="11"/>
    </i>
    <i r="1">
      <x v="1"/>
    </i>
    <i r="1">
      <x v="8"/>
    </i>
    <i r="1">
      <x v="3"/>
    </i>
    <i>
      <x v="1"/>
    </i>
    <i r="1">
      <x v="33"/>
    </i>
    <i r="1">
      <x v="36"/>
    </i>
    <i r="1">
      <x v="31"/>
    </i>
    <i r="1">
      <x v="35"/>
    </i>
    <i r="1">
      <x v="27"/>
    </i>
    <i r="1">
      <x v="26"/>
    </i>
    <i r="1">
      <x v="12"/>
    </i>
    <i>
      <x v="2"/>
    </i>
    <i r="1">
      <x v="13"/>
    </i>
    <i>
      <x v="3"/>
    </i>
    <i r="1">
      <x v="15"/>
    </i>
    <i r="1">
      <x v="14"/>
    </i>
    <i>
      <x v="4"/>
    </i>
    <i r="1">
      <x v="16"/>
    </i>
    <i>
      <x v="5"/>
    </i>
    <i r="1">
      <x v="17"/>
    </i>
    <i>
      <x v="6"/>
    </i>
    <i r="1">
      <x v="38"/>
    </i>
    <i r="1">
      <x v="20"/>
    </i>
    <i r="1">
      <x v="19"/>
    </i>
    <i r="1">
      <x v="18"/>
    </i>
    <i>
      <x v="8"/>
    </i>
    <i r="1">
      <x v="32"/>
    </i>
    <i r="1">
      <x v="45"/>
    </i>
    <i r="1">
      <x v="42"/>
    </i>
    <i r="1">
      <x v="21"/>
    </i>
    <i r="1">
      <x v="24"/>
    </i>
    <i r="1">
      <x v="22"/>
    </i>
    <i r="1">
      <x v="23"/>
    </i>
    <i>
      <x v="9"/>
    </i>
    <i r="1">
      <x v="37"/>
    </i>
    <i>
      <x v="10"/>
    </i>
    <i r="1">
      <x v="47"/>
    </i>
    <i>
      <x v="11"/>
    </i>
    <i r="1">
      <x v="30"/>
    </i>
    <i>
      <x v="12"/>
    </i>
    <i r="1">
      <x v="40"/>
    </i>
    <i>
      <x v="13"/>
    </i>
    <i r="1">
      <x v="25"/>
    </i>
    <i r="1">
      <x v="28"/>
    </i>
    <i t="grand">
      <x/>
    </i>
  </rowItems>
  <colFields count="2">
    <field x="15"/>
    <field x="13"/>
  </colFields>
  <colItems count="12"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colItems>
  <pageFields count="1">
    <pageField fld="12" hier="-1"/>
  </pageFields>
  <dataFields count="1">
    <dataField name="Sum of Valor" fld="10" baseField="0" baseItem="0" numFmtId="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0816F-722B-42B3-AC5C-8DB928C8DCAE}" name="PivotTable1" cacheId="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66" firstHeaderRow="1" firstDataRow="3" firstDataCol="1" rowPageCount="1" colPageCount="1"/>
  <pivotFields count="16">
    <pivotField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70"/>
        <item x="72"/>
        <item x="73"/>
        <item x="74"/>
        <item x="75"/>
        <item x="76"/>
        <item x="77"/>
        <item x="78"/>
        <item x="67"/>
        <item x="69"/>
        <item x="71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showAll="0"/>
    <pivotField showAll="0"/>
    <pivotField axis="axisRow" showAll="0" sortType="ascending">
      <items count="50">
        <item x="17"/>
        <item x="1"/>
        <item x="6"/>
        <item x="10"/>
        <item x="21"/>
        <item x="8"/>
        <item x="11"/>
        <item x="9"/>
        <item x="14"/>
        <item x="26"/>
        <item x="3"/>
        <item x="12"/>
        <item x="27"/>
        <item x="7"/>
        <item x="22"/>
        <item x="23"/>
        <item x="4"/>
        <item x="2"/>
        <item x="0"/>
        <item x="25"/>
        <item x="24"/>
        <item x="18"/>
        <item x="19"/>
        <item x="15"/>
        <item x="13"/>
        <item x="20"/>
        <item x="5"/>
        <item x="1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m="1" x="48"/>
        <item x="46"/>
        <item m="1"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1"/>
        <item x="4"/>
        <item x="5"/>
        <item x="8"/>
        <item x="3"/>
        <item x="2"/>
        <item x="0"/>
        <item x="6"/>
        <item x="7"/>
        <item x="9"/>
        <item x="10"/>
        <item x="11"/>
        <item m="1" x="13"/>
        <item x="12"/>
        <item t="default"/>
      </items>
    </pivotField>
    <pivotField showAll="0"/>
    <pivotField showAll="0"/>
    <pivotField showAll="0"/>
    <pivotField showAll="0"/>
    <pivotField showAll="0"/>
    <pivotField dataField="1" numFmtId="4" showAll="0"/>
    <pivotField showAll="0"/>
    <pivotField axis="axisPage" multipleItemSelectionAllowed="1" showAll="0">
      <items count="6">
        <item h="1" x="2"/>
        <item x="0"/>
        <item x="1"/>
        <item h="1" x="3"/>
        <item h="1" x="4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Col" showAll="0" defaultSubtotal="0">
      <items count="4">
        <item sd="0" x="0"/>
        <item x="1"/>
        <item x="2"/>
        <item x="3"/>
      </items>
    </pivotField>
  </pivotFields>
  <rowFields count="2">
    <field x="4"/>
    <field x="3"/>
  </rowFields>
  <rowItems count="61">
    <i>
      <x/>
    </i>
    <i r="1">
      <x v="3"/>
    </i>
    <i r="1">
      <x v="8"/>
    </i>
    <i r="1">
      <x v="1"/>
    </i>
    <i r="1">
      <x v="11"/>
    </i>
    <i r="1">
      <x v="7"/>
    </i>
    <i r="1">
      <x v="6"/>
    </i>
    <i r="1">
      <x v="4"/>
    </i>
    <i r="1">
      <x v="9"/>
    </i>
    <i r="1">
      <x v="5"/>
    </i>
    <i r="1">
      <x v="2"/>
    </i>
    <i r="1">
      <x v="34"/>
    </i>
    <i r="1">
      <x v="29"/>
    </i>
    <i r="1">
      <x v="10"/>
    </i>
    <i r="1">
      <x v="44"/>
    </i>
    <i r="1">
      <x v="43"/>
    </i>
    <i r="1">
      <x/>
    </i>
    <i r="1">
      <x v="41"/>
    </i>
    <i r="1">
      <x v="39"/>
    </i>
    <i>
      <x v="1"/>
    </i>
    <i r="1">
      <x v="12"/>
    </i>
    <i r="1">
      <x v="26"/>
    </i>
    <i r="1">
      <x v="27"/>
    </i>
    <i r="1">
      <x v="35"/>
    </i>
    <i r="1">
      <x v="31"/>
    </i>
    <i r="1">
      <x v="36"/>
    </i>
    <i r="1">
      <x v="33"/>
    </i>
    <i>
      <x v="2"/>
    </i>
    <i r="1">
      <x v="13"/>
    </i>
    <i>
      <x v="3"/>
    </i>
    <i r="1">
      <x v="14"/>
    </i>
    <i r="1">
      <x v="15"/>
    </i>
    <i>
      <x v="4"/>
    </i>
    <i r="1">
      <x v="16"/>
    </i>
    <i>
      <x v="5"/>
    </i>
    <i r="1">
      <x v="17"/>
    </i>
    <i>
      <x v="6"/>
    </i>
    <i r="1">
      <x v="18"/>
    </i>
    <i r="1">
      <x v="19"/>
    </i>
    <i r="1">
      <x v="20"/>
    </i>
    <i r="1">
      <x v="38"/>
    </i>
    <i>
      <x v="7"/>
    </i>
    <i r="1">
      <x v="23"/>
    </i>
    <i r="1">
      <x v="22"/>
    </i>
    <i r="1">
      <x v="24"/>
    </i>
    <i r="1">
      <x v="21"/>
    </i>
    <i r="1">
      <x v="42"/>
    </i>
    <i r="1">
      <x v="45"/>
    </i>
    <i r="1">
      <x v="32"/>
    </i>
    <i>
      <x v="8"/>
    </i>
    <i r="1">
      <x v="28"/>
    </i>
    <i r="1">
      <x v="25"/>
    </i>
    <i>
      <x v="9"/>
    </i>
    <i r="1">
      <x v="30"/>
    </i>
    <i>
      <x v="10"/>
    </i>
    <i r="1">
      <x v="37"/>
    </i>
    <i>
      <x v="11"/>
    </i>
    <i r="1">
      <x v="40"/>
    </i>
    <i>
      <x v="13"/>
    </i>
    <i r="1">
      <x v="47"/>
    </i>
    <i t="grand">
      <x/>
    </i>
  </rowItems>
  <colFields count="2">
    <field x="15"/>
    <field x="13"/>
  </colFields>
  <colItems count="13">
    <i>
      <x v="1"/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colItems>
  <pageFields count="1">
    <pageField fld="12" hier="-1"/>
  </pageFields>
  <dataFields count="1">
    <dataField name="Sum of Valor" fld="10" baseField="0" baseItem="0" numFmtId="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CF7E-FA7C-4239-A0A1-E84D1EF48111}">
  <dimension ref="A1:X115"/>
  <sheetViews>
    <sheetView workbookViewId="0"/>
  </sheetViews>
  <sheetFormatPr defaultRowHeight="15.75" x14ac:dyDescent="0.25"/>
  <cols>
    <col min="1" max="1" width="52" bestFit="1" customWidth="1"/>
    <col min="2" max="2" width="16" bestFit="1" customWidth="1"/>
    <col min="3" max="3" width="10.5" bestFit="1" customWidth="1"/>
    <col min="4" max="4" width="11.375" bestFit="1" customWidth="1"/>
    <col min="5" max="6" width="9.5" bestFit="1" customWidth="1"/>
    <col min="7" max="7" width="9.875" bestFit="1" customWidth="1"/>
    <col min="8" max="8" width="9.5" bestFit="1" customWidth="1"/>
    <col min="9" max="9" width="8.875" bestFit="1" customWidth="1"/>
    <col min="10" max="10" width="9.875" bestFit="1" customWidth="1"/>
    <col min="11" max="11" width="10.5" customWidth="1"/>
    <col min="12" max="12" width="10.5" bestFit="1" customWidth="1"/>
    <col min="13" max="13" width="10.375" bestFit="1" customWidth="1"/>
    <col min="20" max="20" width="16.5" bestFit="1" customWidth="1"/>
    <col min="21" max="23" width="9.5" bestFit="1" customWidth="1"/>
    <col min="24" max="24" width="9.875" bestFit="1" customWidth="1"/>
  </cols>
  <sheetData>
    <row r="1" spans="1:24" x14ac:dyDescent="0.25">
      <c r="A1" s="3" t="s">
        <v>12</v>
      </c>
      <c r="B1" t="s">
        <v>214</v>
      </c>
      <c r="U1">
        <v>-1</v>
      </c>
    </row>
    <row r="2" spans="1:24" x14ac:dyDescent="0.25">
      <c r="A2" s="3" t="s">
        <v>4</v>
      </c>
      <c r="B2" t="s">
        <v>214</v>
      </c>
      <c r="P2" t="s">
        <v>83</v>
      </c>
      <c r="Q2" s="2">
        <v>3876.67</v>
      </c>
    </row>
    <row r="3" spans="1:24" x14ac:dyDescent="0.25">
      <c r="A3" s="3" t="s">
        <v>1023</v>
      </c>
      <c r="B3" t="s">
        <v>282</v>
      </c>
      <c r="P3" t="s">
        <v>210</v>
      </c>
      <c r="Q3" s="2">
        <v>4700.28</v>
      </c>
      <c r="U3" s="17">
        <v>8</v>
      </c>
      <c r="V3">
        <f>U3+1</f>
        <v>9</v>
      </c>
      <c r="W3">
        <f>V3+1</f>
        <v>10</v>
      </c>
    </row>
    <row r="4" spans="1:24" x14ac:dyDescent="0.25">
      <c r="A4" s="3" t="s">
        <v>1022</v>
      </c>
      <c r="B4" t="s">
        <v>1021</v>
      </c>
      <c r="T4" s="8" t="s">
        <v>211</v>
      </c>
      <c r="U4" s="13">
        <f>VLOOKUP($T4,$A:$I,U$3,0)</f>
        <v>0</v>
      </c>
      <c r="V4" s="13">
        <f>VLOOKUP($T4,$A:$I,V$3,0)</f>
        <v>0</v>
      </c>
      <c r="W4" s="13">
        <f>VLOOKUP($T4,$A:$J,W$3,0)</f>
        <v>0</v>
      </c>
      <c r="X4" s="14" t="s">
        <v>423</v>
      </c>
    </row>
    <row r="5" spans="1:24" x14ac:dyDescent="0.25">
      <c r="T5" s="15" t="s">
        <v>280</v>
      </c>
      <c r="U5" s="10" t="e">
        <f t="shared" ref="U5:V13" si="0">-VLOOKUP($T5,$A:$I,U$3,0)</f>
        <v>#N/A</v>
      </c>
      <c r="V5" s="10" t="e">
        <f t="shared" si="0"/>
        <v>#N/A</v>
      </c>
      <c r="W5" s="10" t="e">
        <f t="shared" ref="W5:W13" si="1">-VLOOKUP($T5,$A:$J,W$3,0)</f>
        <v>#N/A</v>
      </c>
      <c r="X5" s="11" t="e">
        <f t="shared" ref="X5:X13" si="2">SUM(U5:W5)</f>
        <v>#N/A</v>
      </c>
    </row>
    <row r="6" spans="1:24" x14ac:dyDescent="0.25">
      <c r="A6" s="3" t="s">
        <v>211</v>
      </c>
      <c r="B6" t="s">
        <v>213</v>
      </c>
      <c r="M6" s="2">
        <f>-K6</f>
        <v>0</v>
      </c>
      <c r="T6" s="15" t="s">
        <v>279</v>
      </c>
      <c r="U6" s="10" t="e">
        <f t="shared" si="0"/>
        <v>#N/A</v>
      </c>
      <c r="V6" s="10" t="e">
        <f t="shared" si="0"/>
        <v>#N/A</v>
      </c>
      <c r="W6" s="10" t="e">
        <f t="shared" si="1"/>
        <v>#N/A</v>
      </c>
      <c r="X6" s="11" t="e">
        <f t="shared" si="2"/>
        <v>#N/A</v>
      </c>
    </row>
    <row r="7" spans="1:24" x14ac:dyDescent="0.25">
      <c r="A7" s="4" t="s">
        <v>975</v>
      </c>
      <c r="B7" s="2">
        <v>76097.430000000008</v>
      </c>
      <c r="T7" s="15" t="s">
        <v>276</v>
      </c>
      <c r="U7" s="10" t="e">
        <f t="shared" si="0"/>
        <v>#N/A</v>
      </c>
      <c r="V7" s="10" t="e">
        <f t="shared" si="0"/>
        <v>#N/A</v>
      </c>
      <c r="W7" s="10" t="e">
        <f t="shared" si="1"/>
        <v>#N/A</v>
      </c>
      <c r="X7" s="11" t="e">
        <f t="shared" si="2"/>
        <v>#N/A</v>
      </c>
    </row>
    <row r="8" spans="1:24" x14ac:dyDescent="0.25">
      <c r="A8" s="6" t="s">
        <v>56</v>
      </c>
      <c r="B8" s="2">
        <v>201999.94</v>
      </c>
      <c r="T8" s="15" t="s">
        <v>274</v>
      </c>
      <c r="U8" s="10" t="e">
        <f t="shared" si="0"/>
        <v>#N/A</v>
      </c>
      <c r="V8" s="10" t="e">
        <f t="shared" si="0"/>
        <v>#N/A</v>
      </c>
      <c r="W8" s="10" t="e">
        <f t="shared" si="1"/>
        <v>#N/A</v>
      </c>
      <c r="X8" s="11" t="e">
        <f t="shared" si="2"/>
        <v>#N/A</v>
      </c>
    </row>
    <row r="9" spans="1:24" x14ac:dyDescent="0.25">
      <c r="A9" s="6" t="s">
        <v>300</v>
      </c>
      <c r="B9" s="2">
        <v>-125902.51</v>
      </c>
      <c r="C9" s="21">
        <f>B9/B8</f>
        <v>-0.62327993760790223</v>
      </c>
      <c r="T9" s="15" t="s">
        <v>418</v>
      </c>
      <c r="U9" s="10" t="e">
        <f t="shared" si="0"/>
        <v>#N/A</v>
      </c>
      <c r="V9" s="10" t="e">
        <f t="shared" si="0"/>
        <v>#N/A</v>
      </c>
      <c r="W9" s="10" t="e">
        <f t="shared" si="1"/>
        <v>#N/A</v>
      </c>
      <c r="X9" s="11" t="e">
        <f t="shared" si="2"/>
        <v>#N/A</v>
      </c>
    </row>
    <row r="10" spans="1:24" x14ac:dyDescent="0.25">
      <c r="A10" s="4" t="s">
        <v>829</v>
      </c>
      <c r="B10" s="2">
        <v>73754.080000000002</v>
      </c>
      <c r="T10" s="15" t="s">
        <v>278</v>
      </c>
      <c r="U10" s="10" t="e">
        <f t="shared" si="0"/>
        <v>#N/A</v>
      </c>
      <c r="V10" s="10" t="e">
        <f t="shared" si="0"/>
        <v>#N/A</v>
      </c>
      <c r="W10" s="10" t="e">
        <f t="shared" si="1"/>
        <v>#N/A</v>
      </c>
      <c r="X10" s="11" t="e">
        <f t="shared" si="2"/>
        <v>#N/A</v>
      </c>
    </row>
    <row r="11" spans="1:24" x14ac:dyDescent="0.25">
      <c r="A11" s="6" t="s">
        <v>56</v>
      </c>
      <c r="B11" s="2">
        <v>73754.080000000002</v>
      </c>
      <c r="C11" s="2">
        <f>$C$9*B11</f>
        <v>-45969.438380728228</v>
      </c>
      <c r="T11" s="15" t="s">
        <v>275</v>
      </c>
      <c r="U11" s="10" t="e">
        <f t="shared" si="0"/>
        <v>#N/A</v>
      </c>
      <c r="V11" s="10" t="e">
        <f t="shared" si="0"/>
        <v>#N/A</v>
      </c>
      <c r="W11" s="10" t="e">
        <f t="shared" si="1"/>
        <v>#N/A</v>
      </c>
      <c r="X11" s="11" t="e">
        <f t="shared" si="2"/>
        <v>#N/A</v>
      </c>
    </row>
    <row r="12" spans="1:24" x14ac:dyDescent="0.25">
      <c r="A12" s="4" t="s">
        <v>991</v>
      </c>
      <c r="B12" s="2">
        <v>66460.899999999994</v>
      </c>
      <c r="T12" s="15" t="s">
        <v>277</v>
      </c>
      <c r="U12" s="10" t="e">
        <f t="shared" si="0"/>
        <v>#N/A</v>
      </c>
      <c r="V12" s="10" t="e">
        <f t="shared" si="0"/>
        <v>#N/A</v>
      </c>
      <c r="W12" s="10" t="e">
        <f t="shared" si="1"/>
        <v>#N/A</v>
      </c>
      <c r="X12" s="11" t="e">
        <f t="shared" si="2"/>
        <v>#N/A</v>
      </c>
    </row>
    <row r="13" spans="1:24" x14ac:dyDescent="0.25">
      <c r="A13" s="6" t="s">
        <v>56</v>
      </c>
      <c r="B13" s="2">
        <v>66460.899999999994</v>
      </c>
      <c r="C13" s="2">
        <f>$C$9*B13</f>
        <v>-41423.745605365024</v>
      </c>
      <c r="T13" s="15" t="s">
        <v>77</v>
      </c>
      <c r="U13" s="10" t="e">
        <f t="shared" si="0"/>
        <v>#N/A</v>
      </c>
      <c r="V13" s="10" t="e">
        <f t="shared" si="0"/>
        <v>#N/A</v>
      </c>
      <c r="W13" s="10" t="e">
        <f t="shared" si="1"/>
        <v>#N/A</v>
      </c>
      <c r="X13" s="11" t="e">
        <f t="shared" si="2"/>
        <v>#N/A</v>
      </c>
    </row>
    <row r="14" spans="1:24" x14ac:dyDescent="0.25">
      <c r="A14" s="4" t="s">
        <v>65</v>
      </c>
      <c r="B14" s="2">
        <v>54081.919999999998</v>
      </c>
    </row>
    <row r="15" spans="1:24" x14ac:dyDescent="0.25">
      <c r="A15" s="6" t="s">
        <v>56</v>
      </c>
      <c r="B15" s="2">
        <v>54081.919999999998</v>
      </c>
      <c r="C15" s="2">
        <f>$C$9*B15</f>
        <v>-33708.175723315559</v>
      </c>
      <c r="U15" s="11" t="e">
        <f>SUM(U5:U14)</f>
        <v>#N/A</v>
      </c>
      <c r="V15" s="11" t="e">
        <f>SUM(V5:V14)</f>
        <v>#N/A</v>
      </c>
      <c r="W15" s="11" t="e">
        <f>SUM(W5:W14)</f>
        <v>#N/A</v>
      </c>
    </row>
    <row r="16" spans="1:24" x14ac:dyDescent="0.25">
      <c r="A16" s="4" t="s">
        <v>826</v>
      </c>
      <c r="B16" s="2">
        <v>45290.319999999992</v>
      </c>
    </row>
    <row r="17" spans="1:13" x14ac:dyDescent="0.25">
      <c r="A17" s="6" t="s">
        <v>56</v>
      </c>
      <c r="B17" s="2">
        <v>120222.73</v>
      </c>
    </row>
    <row r="18" spans="1:13" x14ac:dyDescent="0.25">
      <c r="A18" s="6" t="s">
        <v>300</v>
      </c>
      <c r="B18" s="2">
        <v>-74932.41</v>
      </c>
      <c r="C18" s="21"/>
    </row>
    <row r="19" spans="1:13" x14ac:dyDescent="0.25">
      <c r="A19" s="4" t="s">
        <v>609</v>
      </c>
      <c r="B19" s="2">
        <v>16720.940000000002</v>
      </c>
      <c r="D19" s="2">
        <v>212000</v>
      </c>
    </row>
    <row r="20" spans="1:13" x14ac:dyDescent="0.25">
      <c r="A20" s="6" t="s">
        <v>56</v>
      </c>
      <c r="B20" s="2">
        <v>16720.940000000002</v>
      </c>
      <c r="C20" s="2">
        <f>$C$9*B20</f>
        <v>-10421.826439945478</v>
      </c>
      <c r="D20" s="2">
        <f>SUM(C11:C20)</f>
        <v>-131523.18614935427</v>
      </c>
      <c r="M20" s="2"/>
    </row>
    <row r="21" spans="1:13" x14ac:dyDescent="0.25">
      <c r="A21" s="4" t="s">
        <v>818</v>
      </c>
      <c r="B21" s="2">
        <v>15319.160000000003</v>
      </c>
      <c r="D21" s="2">
        <f>SUM(D19:D20)</f>
        <v>80476.813850645733</v>
      </c>
      <c r="M21" s="2"/>
    </row>
    <row r="22" spans="1:13" x14ac:dyDescent="0.25">
      <c r="A22" s="6" t="s">
        <v>56</v>
      </c>
      <c r="B22" s="2">
        <v>40664.550000000003</v>
      </c>
      <c r="M22" s="2"/>
    </row>
    <row r="23" spans="1:13" x14ac:dyDescent="0.25">
      <c r="A23" s="6" t="s">
        <v>300</v>
      </c>
      <c r="B23" s="2">
        <v>-25345.39</v>
      </c>
      <c r="C23" s="21"/>
      <c r="M23" s="2"/>
    </row>
    <row r="24" spans="1:13" x14ac:dyDescent="0.25">
      <c r="A24" s="4" t="s">
        <v>184</v>
      </c>
      <c r="B24" s="2">
        <v>9632.8000000000029</v>
      </c>
      <c r="M24" s="2">
        <f>-K24</f>
        <v>0</v>
      </c>
    </row>
    <row r="25" spans="1:13" x14ac:dyDescent="0.25">
      <c r="A25" s="6" t="s">
        <v>56</v>
      </c>
      <c r="B25" s="2">
        <v>25570.120000000003</v>
      </c>
    </row>
    <row r="26" spans="1:13" x14ac:dyDescent="0.25">
      <c r="A26" s="6" t="s">
        <v>300</v>
      </c>
      <c r="B26" s="2">
        <v>-15937.32</v>
      </c>
      <c r="C26" s="21"/>
      <c r="M26" s="2"/>
    </row>
    <row r="27" spans="1:13" x14ac:dyDescent="0.25">
      <c r="A27" s="4" t="s">
        <v>698</v>
      </c>
      <c r="B27" s="2">
        <v>9505.36</v>
      </c>
    </row>
    <row r="28" spans="1:13" x14ac:dyDescent="0.25">
      <c r="A28" s="6" t="s">
        <v>56</v>
      </c>
      <c r="B28" s="2">
        <v>9505.36</v>
      </c>
      <c r="M28" s="2"/>
    </row>
    <row r="29" spans="1:13" x14ac:dyDescent="0.25">
      <c r="A29" s="4" t="s">
        <v>752</v>
      </c>
      <c r="B29" s="2">
        <v>8051.44</v>
      </c>
    </row>
    <row r="30" spans="1:13" x14ac:dyDescent="0.25">
      <c r="A30" s="6" t="s">
        <v>56</v>
      </c>
      <c r="B30" s="2">
        <v>8051.44</v>
      </c>
      <c r="M30" s="2"/>
    </row>
    <row r="31" spans="1:13" x14ac:dyDescent="0.25">
      <c r="A31" s="4" t="s">
        <v>762</v>
      </c>
      <c r="B31" s="2">
        <v>6273.9</v>
      </c>
      <c r="M31" s="2"/>
    </row>
    <row r="32" spans="1:13" x14ac:dyDescent="0.25">
      <c r="A32" s="6" t="s">
        <v>56</v>
      </c>
      <c r="B32" s="2">
        <v>6273.9</v>
      </c>
      <c r="M32" s="2">
        <f>-K32</f>
        <v>0</v>
      </c>
    </row>
    <row r="33" spans="1:13" x14ac:dyDescent="0.25">
      <c r="A33" s="4" t="s">
        <v>265</v>
      </c>
      <c r="B33" s="2">
        <v>4852.3999999999996</v>
      </c>
      <c r="M33" s="2"/>
    </row>
    <row r="34" spans="1:13" x14ac:dyDescent="0.25">
      <c r="A34" s="6" t="s">
        <v>56</v>
      </c>
      <c r="B34" s="2">
        <v>4852.3999999999996</v>
      </c>
      <c r="M34" s="2">
        <f>-K34</f>
        <v>0</v>
      </c>
    </row>
    <row r="35" spans="1:13" x14ac:dyDescent="0.25">
      <c r="A35" s="4" t="s">
        <v>964</v>
      </c>
      <c r="B35" s="2">
        <v>4155</v>
      </c>
      <c r="M35" s="2"/>
    </row>
    <row r="36" spans="1:13" x14ac:dyDescent="0.25">
      <c r="A36" s="6" t="s">
        <v>56</v>
      </c>
      <c r="B36" s="2">
        <v>4155</v>
      </c>
      <c r="M36" s="2"/>
    </row>
    <row r="37" spans="1:13" x14ac:dyDescent="0.25">
      <c r="A37" s="4" t="s">
        <v>866</v>
      </c>
      <c r="B37" s="2">
        <v>3525.48</v>
      </c>
      <c r="M37" s="2">
        <f>-K37</f>
        <v>0</v>
      </c>
    </row>
    <row r="38" spans="1:13" x14ac:dyDescent="0.25">
      <c r="A38" s="6" t="s">
        <v>56</v>
      </c>
      <c r="B38" s="2">
        <v>3525.48</v>
      </c>
      <c r="M38" s="2"/>
    </row>
    <row r="39" spans="1:13" x14ac:dyDescent="0.25">
      <c r="A39" s="4" t="s">
        <v>513</v>
      </c>
      <c r="B39" s="2">
        <v>3271.9199999999996</v>
      </c>
      <c r="M39" s="2" t="e">
        <f>GETPIVOTDATA("Valor",$A$3,"Centro de custo","Honorários","Months (Data)",9,"Years (Data)",2025)</f>
        <v>#REF!</v>
      </c>
    </row>
    <row r="40" spans="1:13" x14ac:dyDescent="0.25">
      <c r="A40" s="6" t="s">
        <v>56</v>
      </c>
      <c r="B40" s="2">
        <v>4298.4799999999996</v>
      </c>
      <c r="M40" s="2"/>
    </row>
    <row r="41" spans="1:13" x14ac:dyDescent="0.25">
      <c r="A41" s="6" t="s">
        <v>300</v>
      </c>
      <c r="B41" s="2">
        <v>-1026.56</v>
      </c>
      <c r="M41" s="2">
        <f>-K41</f>
        <v>0</v>
      </c>
    </row>
    <row r="42" spans="1:13" x14ac:dyDescent="0.25">
      <c r="A42" s="4" t="s">
        <v>925</v>
      </c>
      <c r="B42" s="2">
        <v>2816.4</v>
      </c>
    </row>
    <row r="43" spans="1:13" x14ac:dyDescent="0.25">
      <c r="A43" s="6" t="s">
        <v>56</v>
      </c>
      <c r="B43" s="2">
        <v>2816.4</v>
      </c>
      <c r="M43" s="2"/>
    </row>
    <row r="44" spans="1:13" x14ac:dyDescent="0.25">
      <c r="A44" s="4" t="s">
        <v>927</v>
      </c>
      <c r="B44" s="2">
        <v>2512.9899999999998</v>
      </c>
      <c r="M44" s="2"/>
    </row>
    <row r="45" spans="1:13" x14ac:dyDescent="0.25">
      <c r="A45" s="6" t="s">
        <v>56</v>
      </c>
      <c r="B45" s="2">
        <v>2512.9899999999998</v>
      </c>
      <c r="M45" s="2"/>
    </row>
    <row r="46" spans="1:13" x14ac:dyDescent="0.25">
      <c r="A46" s="4" t="s">
        <v>921</v>
      </c>
      <c r="B46" s="2">
        <v>2361</v>
      </c>
      <c r="M46" s="2">
        <f>-K46</f>
        <v>0</v>
      </c>
    </row>
    <row r="47" spans="1:13" x14ac:dyDescent="0.25">
      <c r="A47" s="6" t="s">
        <v>56</v>
      </c>
      <c r="B47" s="2">
        <v>2361</v>
      </c>
      <c r="M47" s="2"/>
    </row>
    <row r="48" spans="1:13" x14ac:dyDescent="0.25">
      <c r="A48" s="4" t="s">
        <v>913</v>
      </c>
      <c r="B48" s="2">
        <v>1595.1</v>
      </c>
      <c r="M48" s="2"/>
    </row>
    <row r="49" spans="1:13" x14ac:dyDescent="0.25">
      <c r="A49" s="6" t="s">
        <v>56</v>
      </c>
      <c r="B49" s="2">
        <v>1595.1</v>
      </c>
      <c r="M49" s="2"/>
    </row>
    <row r="50" spans="1:13" x14ac:dyDescent="0.25">
      <c r="A50" s="4" t="s">
        <v>888</v>
      </c>
      <c r="B50" s="2">
        <v>1341.63</v>
      </c>
      <c r="M50" s="2"/>
    </row>
    <row r="51" spans="1:13" x14ac:dyDescent="0.25">
      <c r="A51" s="6" t="s">
        <v>56</v>
      </c>
      <c r="B51" s="2">
        <v>2418.21</v>
      </c>
      <c r="M51" s="2">
        <f>-K51</f>
        <v>0</v>
      </c>
    </row>
    <row r="52" spans="1:13" x14ac:dyDescent="0.25">
      <c r="A52" s="6" t="s">
        <v>300</v>
      </c>
      <c r="B52" s="2">
        <v>-1076.58</v>
      </c>
      <c r="M52" s="2">
        <f>-K52</f>
        <v>0</v>
      </c>
    </row>
    <row r="53" spans="1:13" x14ac:dyDescent="0.25">
      <c r="A53" s="4" t="s">
        <v>978</v>
      </c>
      <c r="B53" s="2">
        <v>1251.8999999999999</v>
      </c>
      <c r="M53" s="2">
        <f>-K53</f>
        <v>0</v>
      </c>
    </row>
    <row r="54" spans="1:13" x14ac:dyDescent="0.25">
      <c r="A54" s="6" t="s">
        <v>56</v>
      </c>
      <c r="B54" s="2">
        <v>2503.79</v>
      </c>
      <c r="M54" s="2"/>
    </row>
    <row r="55" spans="1:13" x14ac:dyDescent="0.25">
      <c r="A55" s="6" t="s">
        <v>300</v>
      </c>
      <c r="B55" s="2">
        <v>-1251.8900000000001</v>
      </c>
    </row>
    <row r="56" spans="1:13" x14ac:dyDescent="0.25">
      <c r="A56" s="4" t="s">
        <v>721</v>
      </c>
      <c r="B56" s="2">
        <v>1127</v>
      </c>
      <c r="M56" s="2">
        <f>-K56</f>
        <v>0</v>
      </c>
    </row>
    <row r="57" spans="1:13" x14ac:dyDescent="0.25">
      <c r="A57" s="6" t="s">
        <v>56</v>
      </c>
      <c r="B57" s="2">
        <v>1127</v>
      </c>
    </row>
    <row r="58" spans="1:13" x14ac:dyDescent="0.25">
      <c r="A58" s="4" t="s">
        <v>923</v>
      </c>
      <c r="B58" s="2">
        <v>1122.5999999999999</v>
      </c>
      <c r="M58" s="2">
        <f>-K58</f>
        <v>0</v>
      </c>
    </row>
    <row r="59" spans="1:13" x14ac:dyDescent="0.25">
      <c r="A59" s="6" t="s">
        <v>56</v>
      </c>
      <c r="B59" s="2">
        <v>1122.5999999999999</v>
      </c>
    </row>
    <row r="60" spans="1:13" x14ac:dyDescent="0.25">
      <c r="A60" s="4" t="s">
        <v>966</v>
      </c>
      <c r="B60" s="2">
        <v>1052.19</v>
      </c>
    </row>
    <row r="61" spans="1:13" x14ac:dyDescent="0.25">
      <c r="A61" s="6" t="s">
        <v>56</v>
      </c>
      <c r="B61" s="2">
        <v>1052.19</v>
      </c>
    </row>
    <row r="62" spans="1:13" x14ac:dyDescent="0.25">
      <c r="A62" s="4" t="s">
        <v>837</v>
      </c>
      <c r="B62" s="2">
        <v>997.15</v>
      </c>
    </row>
    <row r="63" spans="1:13" x14ac:dyDescent="0.25">
      <c r="A63" s="6" t="s">
        <v>56</v>
      </c>
      <c r="B63" s="2">
        <v>997.15</v>
      </c>
    </row>
    <row r="64" spans="1:13" x14ac:dyDescent="0.25">
      <c r="A64" s="4" t="s">
        <v>1017</v>
      </c>
      <c r="B64" s="2">
        <v>910.8</v>
      </c>
    </row>
    <row r="65" spans="1:2" x14ac:dyDescent="0.25">
      <c r="A65" s="6" t="s">
        <v>56</v>
      </c>
      <c r="B65" s="2">
        <v>910.8</v>
      </c>
    </row>
    <row r="66" spans="1:2" x14ac:dyDescent="0.25">
      <c r="A66" s="4" t="s">
        <v>746</v>
      </c>
      <c r="B66" s="2">
        <v>759</v>
      </c>
    </row>
    <row r="67" spans="1:2" x14ac:dyDescent="0.25">
      <c r="A67" s="6" t="s">
        <v>56</v>
      </c>
      <c r="B67" s="2">
        <v>759</v>
      </c>
    </row>
    <row r="68" spans="1:2" x14ac:dyDescent="0.25">
      <c r="A68" s="4" t="s">
        <v>933</v>
      </c>
      <c r="B68" s="2">
        <v>750</v>
      </c>
    </row>
    <row r="69" spans="1:2" x14ac:dyDescent="0.25">
      <c r="A69" s="6" t="s">
        <v>56</v>
      </c>
      <c r="B69" s="2">
        <v>1500</v>
      </c>
    </row>
    <row r="70" spans="1:2" x14ac:dyDescent="0.25">
      <c r="A70" s="6" t="s">
        <v>300</v>
      </c>
      <c r="B70" s="2">
        <v>-750</v>
      </c>
    </row>
    <row r="71" spans="1:2" x14ac:dyDescent="0.25">
      <c r="A71" s="4" t="s">
        <v>764</v>
      </c>
      <c r="B71" s="2">
        <v>707.94999999999993</v>
      </c>
    </row>
    <row r="72" spans="1:2" x14ac:dyDescent="0.25">
      <c r="A72" s="6" t="s">
        <v>56</v>
      </c>
      <c r="B72" s="2">
        <v>707.94999999999993</v>
      </c>
    </row>
    <row r="73" spans="1:2" x14ac:dyDescent="0.25">
      <c r="A73" s="4" t="s">
        <v>726</v>
      </c>
      <c r="B73" s="2">
        <v>550</v>
      </c>
    </row>
    <row r="74" spans="1:2" x14ac:dyDescent="0.25">
      <c r="A74" s="6" t="s">
        <v>56</v>
      </c>
      <c r="B74" s="2">
        <v>550</v>
      </c>
    </row>
    <row r="75" spans="1:2" x14ac:dyDescent="0.25">
      <c r="A75" s="4" t="s">
        <v>81</v>
      </c>
      <c r="B75" s="2">
        <v>500</v>
      </c>
    </row>
    <row r="76" spans="1:2" x14ac:dyDescent="0.25">
      <c r="A76" s="6" t="s">
        <v>56</v>
      </c>
      <c r="B76" s="2">
        <v>500</v>
      </c>
    </row>
    <row r="77" spans="1:2" x14ac:dyDescent="0.25">
      <c r="A77" s="4" t="s">
        <v>723</v>
      </c>
      <c r="B77" s="2">
        <v>500</v>
      </c>
    </row>
    <row r="78" spans="1:2" x14ac:dyDescent="0.25">
      <c r="A78" s="6" t="s">
        <v>56</v>
      </c>
      <c r="B78" s="2">
        <v>500</v>
      </c>
    </row>
    <row r="79" spans="1:2" x14ac:dyDescent="0.25">
      <c r="A79" s="4" t="s">
        <v>529</v>
      </c>
      <c r="B79" s="2">
        <v>390</v>
      </c>
    </row>
    <row r="80" spans="1:2" x14ac:dyDescent="0.25">
      <c r="A80" s="6" t="s">
        <v>56</v>
      </c>
      <c r="B80" s="2">
        <v>390</v>
      </c>
    </row>
    <row r="81" spans="1:2" x14ac:dyDescent="0.25">
      <c r="A81" s="4" t="s">
        <v>986</v>
      </c>
      <c r="B81" s="2">
        <v>224.85</v>
      </c>
    </row>
    <row r="82" spans="1:2" x14ac:dyDescent="0.25">
      <c r="A82" s="6" t="s">
        <v>56</v>
      </c>
      <c r="B82" s="2">
        <v>224.85</v>
      </c>
    </row>
    <row r="83" spans="1:2" x14ac:dyDescent="0.25">
      <c r="A83" s="4" t="s">
        <v>984</v>
      </c>
      <c r="B83" s="2">
        <v>200</v>
      </c>
    </row>
    <row r="84" spans="1:2" x14ac:dyDescent="0.25">
      <c r="A84" s="6" t="s">
        <v>56</v>
      </c>
      <c r="B84" s="2">
        <v>200</v>
      </c>
    </row>
    <row r="85" spans="1:2" x14ac:dyDescent="0.25">
      <c r="A85" s="4" t="s">
        <v>483</v>
      </c>
      <c r="B85" s="2">
        <v>189.47999999999996</v>
      </c>
    </row>
    <row r="86" spans="1:2" x14ac:dyDescent="0.25">
      <c r="A86" s="6" t="s">
        <v>56</v>
      </c>
      <c r="B86" s="2">
        <v>489.47999999999996</v>
      </c>
    </row>
    <row r="87" spans="1:2" x14ac:dyDescent="0.25">
      <c r="A87" s="6" t="s">
        <v>300</v>
      </c>
      <c r="B87" s="2">
        <v>-300</v>
      </c>
    </row>
    <row r="88" spans="1:2" x14ac:dyDescent="0.25">
      <c r="A88" s="4" t="s">
        <v>776</v>
      </c>
      <c r="B88" s="2">
        <v>153.6</v>
      </c>
    </row>
    <row r="89" spans="1:2" x14ac:dyDescent="0.25">
      <c r="A89" s="6" t="s">
        <v>56</v>
      </c>
      <c r="B89" s="2">
        <v>153.6</v>
      </c>
    </row>
    <row r="90" spans="1:2" x14ac:dyDescent="0.25">
      <c r="A90" s="4" t="s">
        <v>681</v>
      </c>
      <c r="B90" s="2">
        <v>99.45</v>
      </c>
    </row>
    <row r="91" spans="1:2" x14ac:dyDescent="0.25">
      <c r="A91" s="6" t="s">
        <v>56</v>
      </c>
      <c r="B91" s="2">
        <v>99.45</v>
      </c>
    </row>
    <row r="92" spans="1:2" x14ac:dyDescent="0.25">
      <c r="A92" s="4" t="s">
        <v>981</v>
      </c>
      <c r="B92" s="2">
        <v>91.08</v>
      </c>
    </row>
    <row r="93" spans="1:2" x14ac:dyDescent="0.25">
      <c r="A93" s="6" t="s">
        <v>56</v>
      </c>
      <c r="B93" s="2">
        <v>91.08</v>
      </c>
    </row>
    <row r="94" spans="1:2" x14ac:dyDescent="0.25">
      <c r="A94" s="4" t="s">
        <v>944</v>
      </c>
      <c r="B94" s="2">
        <v>-100</v>
      </c>
    </row>
    <row r="95" spans="1:2" x14ac:dyDescent="0.25">
      <c r="A95" s="6" t="s">
        <v>300</v>
      </c>
      <c r="B95" s="2">
        <v>-100</v>
      </c>
    </row>
    <row r="96" spans="1:2" x14ac:dyDescent="0.25">
      <c r="A96" s="4" t="s">
        <v>993</v>
      </c>
      <c r="B96" s="2">
        <v>-200</v>
      </c>
    </row>
    <row r="97" spans="1:2" x14ac:dyDescent="0.25">
      <c r="A97" s="6" t="s">
        <v>300</v>
      </c>
      <c r="B97" s="2">
        <v>-200</v>
      </c>
    </row>
    <row r="98" spans="1:2" x14ac:dyDescent="0.25">
      <c r="A98" s="4" t="s">
        <v>875</v>
      </c>
      <c r="B98" s="2">
        <v>-400</v>
      </c>
    </row>
    <row r="99" spans="1:2" x14ac:dyDescent="0.25">
      <c r="A99" s="6" t="s">
        <v>300</v>
      </c>
      <c r="B99" s="2">
        <v>-400</v>
      </c>
    </row>
    <row r="100" spans="1:2" x14ac:dyDescent="0.25">
      <c r="A100" s="4" t="s">
        <v>942</v>
      </c>
      <c r="B100" s="2">
        <v>-1000</v>
      </c>
    </row>
    <row r="101" spans="1:2" x14ac:dyDescent="0.25">
      <c r="A101" s="6" t="s">
        <v>300</v>
      </c>
      <c r="B101" s="2">
        <v>-1000</v>
      </c>
    </row>
    <row r="102" spans="1:2" x14ac:dyDescent="0.25">
      <c r="A102" s="4" t="s">
        <v>895</v>
      </c>
      <c r="B102" s="2">
        <v>-2488.73</v>
      </c>
    </row>
    <row r="103" spans="1:2" x14ac:dyDescent="0.25">
      <c r="A103" s="6" t="s">
        <v>300</v>
      </c>
      <c r="B103" s="2">
        <v>-2488.73</v>
      </c>
    </row>
    <row r="104" spans="1:2" x14ac:dyDescent="0.25">
      <c r="A104" s="4" t="s">
        <v>151</v>
      </c>
      <c r="B104" s="2">
        <v>-2836.64</v>
      </c>
    </row>
    <row r="105" spans="1:2" x14ac:dyDescent="0.25">
      <c r="A105" s="6" t="s">
        <v>152</v>
      </c>
      <c r="B105" s="2">
        <v>-2836.64</v>
      </c>
    </row>
    <row r="106" spans="1:2" x14ac:dyDescent="0.25">
      <c r="A106" s="4" t="s">
        <v>739</v>
      </c>
      <c r="B106" s="2">
        <v>-4263.01</v>
      </c>
    </row>
    <row r="107" spans="1:2" x14ac:dyDescent="0.25">
      <c r="A107" s="6" t="s">
        <v>56</v>
      </c>
      <c r="B107" s="2">
        <v>577.74</v>
      </c>
    </row>
    <row r="108" spans="1:2" x14ac:dyDescent="0.25">
      <c r="A108" s="6" t="s">
        <v>300</v>
      </c>
      <c r="B108" s="2">
        <v>-4840.75</v>
      </c>
    </row>
    <row r="109" spans="1:2" x14ac:dyDescent="0.25">
      <c r="A109" s="4" t="s">
        <v>820</v>
      </c>
      <c r="B109" s="2">
        <v>-13574.26</v>
      </c>
    </row>
    <row r="110" spans="1:2" x14ac:dyDescent="0.25">
      <c r="A110" s="6" t="s">
        <v>300</v>
      </c>
      <c r="B110" s="2">
        <v>-13574.26</v>
      </c>
    </row>
    <row r="111" spans="1:2" x14ac:dyDescent="0.25">
      <c r="A111" s="4" t="s">
        <v>878</v>
      </c>
      <c r="B111" s="2">
        <v>-21452.83</v>
      </c>
    </row>
    <row r="112" spans="1:2" x14ac:dyDescent="0.25">
      <c r="A112" s="6" t="s">
        <v>300</v>
      </c>
      <c r="B112" s="2">
        <v>-21452.83</v>
      </c>
    </row>
    <row r="113" spans="1:2" x14ac:dyDescent="0.25">
      <c r="A113" s="4" t="s">
        <v>825</v>
      </c>
      <c r="B113" s="2">
        <v>-37283.33</v>
      </c>
    </row>
    <row r="114" spans="1:2" x14ac:dyDescent="0.25">
      <c r="A114" s="6" t="s">
        <v>300</v>
      </c>
      <c r="B114" s="2">
        <v>-37283.33</v>
      </c>
    </row>
    <row r="115" spans="1:2" x14ac:dyDescent="0.25">
      <c r="A115" s="4" t="s">
        <v>212</v>
      </c>
      <c r="B115" s="2">
        <v>335598.41999999993</v>
      </c>
    </row>
  </sheetData>
  <autoFilter ref="T4:X13" xr:uid="{2AA9A2E4-B9E9-458A-97E7-3A5983813D41}">
    <sortState xmlns:xlrd2="http://schemas.microsoft.com/office/spreadsheetml/2017/richdata2" ref="T5:X13">
      <sortCondition descending="1" ref="X4:X13"/>
    </sortState>
  </autoFilter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9866-BF00-4D44-9319-74F7430586A2}">
  <dimension ref="A2:D15"/>
  <sheetViews>
    <sheetView workbookViewId="0"/>
  </sheetViews>
  <sheetFormatPr defaultRowHeight="15.75" x14ac:dyDescent="0.25"/>
  <cols>
    <col min="1" max="1" width="35.875" bestFit="1" customWidth="1"/>
    <col min="2" max="4" width="11.5" customWidth="1"/>
  </cols>
  <sheetData>
    <row r="2" spans="1:4" x14ac:dyDescent="0.25">
      <c r="A2" t="s">
        <v>1490</v>
      </c>
      <c r="B2" s="23">
        <v>1300</v>
      </c>
      <c r="C2" s="2"/>
    </row>
    <row r="3" spans="1:4" x14ac:dyDescent="0.25">
      <c r="A3" t="s">
        <v>1478</v>
      </c>
      <c r="B3" s="23">
        <v>2500</v>
      </c>
      <c r="C3" s="2">
        <f t="shared" ref="C3:C10" si="0">B3*0.36</f>
        <v>900</v>
      </c>
      <c r="D3" s="2">
        <f>B3*1.5/2</f>
        <v>1875</v>
      </c>
    </row>
    <row r="4" spans="1:4" x14ac:dyDescent="0.25">
      <c r="A4" t="s">
        <v>1489</v>
      </c>
      <c r="B4" s="23">
        <v>4300</v>
      </c>
      <c r="C4" s="2"/>
    </row>
    <row r="5" spans="1:4" x14ac:dyDescent="0.25">
      <c r="A5" t="s">
        <v>1491</v>
      </c>
      <c r="B5" s="23">
        <v>1621</v>
      </c>
      <c r="C5" s="2"/>
    </row>
    <row r="6" spans="1:4" x14ac:dyDescent="0.25">
      <c r="A6" t="s">
        <v>1141</v>
      </c>
      <c r="B6" s="23">
        <v>2000</v>
      </c>
      <c r="C6" s="2">
        <f t="shared" si="0"/>
        <v>720</v>
      </c>
      <c r="D6" s="2">
        <f t="shared" ref="D6:D10" si="1">B6*1.5/2</f>
        <v>1500</v>
      </c>
    </row>
    <row r="7" spans="1:4" x14ac:dyDescent="0.25">
      <c r="A7" t="s">
        <v>1483</v>
      </c>
      <c r="B7" s="23">
        <v>2500</v>
      </c>
      <c r="C7" s="2">
        <f t="shared" si="0"/>
        <v>900</v>
      </c>
      <c r="D7" s="2">
        <f t="shared" si="1"/>
        <v>1875</v>
      </c>
    </row>
    <row r="8" spans="1:4" x14ac:dyDescent="0.25">
      <c r="A8" t="s">
        <v>199</v>
      </c>
      <c r="B8" s="23">
        <v>3632.69</v>
      </c>
      <c r="C8" s="2">
        <f t="shared" si="0"/>
        <v>1307.7683999999999</v>
      </c>
      <c r="D8" s="2">
        <f t="shared" si="1"/>
        <v>2724.5174999999999</v>
      </c>
    </row>
    <row r="9" spans="1:4" x14ac:dyDescent="0.25">
      <c r="A9" t="s">
        <v>645</v>
      </c>
      <c r="B9" s="23">
        <v>2500</v>
      </c>
      <c r="C9" s="2">
        <f t="shared" si="0"/>
        <v>900</v>
      </c>
      <c r="D9" s="2">
        <f t="shared" si="1"/>
        <v>1875</v>
      </c>
    </row>
    <row r="10" spans="1:4" x14ac:dyDescent="0.25">
      <c r="A10" t="s">
        <v>831</v>
      </c>
      <c r="B10" s="23">
        <v>2500</v>
      </c>
      <c r="C10" s="2">
        <f t="shared" si="0"/>
        <v>900</v>
      </c>
      <c r="D10" s="2">
        <f t="shared" si="1"/>
        <v>1875</v>
      </c>
    </row>
    <row r="12" spans="1:4" x14ac:dyDescent="0.25">
      <c r="B12" s="24">
        <f>SUM(B2:B11)</f>
        <v>22853.69</v>
      </c>
      <c r="C12" s="35">
        <f>SUM(C2:C11)</f>
        <v>5627.7683999999999</v>
      </c>
      <c r="D12" s="35">
        <f>SUM(D2:D11)</f>
        <v>11724.5175</v>
      </c>
    </row>
    <row r="13" spans="1:4" x14ac:dyDescent="0.25">
      <c r="C13" s="34">
        <f>C12/B12</f>
        <v>0.24625206695286408</v>
      </c>
      <c r="D13" s="35">
        <f>D12/2</f>
        <v>5862.25875</v>
      </c>
    </row>
    <row r="15" spans="1:4" x14ac:dyDescent="0.25">
      <c r="C15" s="2">
        <f>C12*0.5</f>
        <v>2813.8842</v>
      </c>
      <c r="D15" s="2">
        <f>D13+B12</f>
        <v>28715.94875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4364-EBD1-40D1-BDFC-BBDE29A4F9CD}">
  <dimension ref="A1:N49"/>
  <sheetViews>
    <sheetView workbookViewId="0"/>
  </sheetViews>
  <sheetFormatPr defaultRowHeight="15.75" x14ac:dyDescent="0.25"/>
  <cols>
    <col min="1" max="1" width="22.875" bestFit="1" customWidth="1"/>
    <col min="2" max="2" width="16" bestFit="1" customWidth="1"/>
    <col min="3" max="5" width="9.5" bestFit="1" customWidth="1"/>
    <col min="6" max="6" width="10.375" customWidth="1"/>
    <col min="7" max="7" width="9.875" bestFit="1" customWidth="1"/>
    <col min="8" max="8" width="10.375" bestFit="1" customWidth="1"/>
  </cols>
  <sheetData>
    <row r="1" spans="1:14" x14ac:dyDescent="0.25">
      <c r="A1" s="3" t="s">
        <v>12</v>
      </c>
      <c r="B1" t="s">
        <v>214</v>
      </c>
    </row>
    <row r="2" spans="1:14" x14ac:dyDescent="0.25">
      <c r="M2" t="s">
        <v>83</v>
      </c>
      <c r="N2" s="2">
        <v>3876.67</v>
      </c>
    </row>
    <row r="3" spans="1:14" x14ac:dyDescent="0.25">
      <c r="A3" s="3" t="s">
        <v>213</v>
      </c>
      <c r="B3" s="3" t="s">
        <v>283</v>
      </c>
      <c r="M3" t="s">
        <v>210</v>
      </c>
      <c r="N3" s="2">
        <v>4700.28</v>
      </c>
    </row>
    <row r="4" spans="1:14" x14ac:dyDescent="0.25">
      <c r="B4" t="s">
        <v>281</v>
      </c>
      <c r="C4" t="s">
        <v>282</v>
      </c>
      <c r="F4" t="s">
        <v>212</v>
      </c>
    </row>
    <row r="5" spans="1:14" x14ac:dyDescent="0.25">
      <c r="A5" s="3" t="s">
        <v>211</v>
      </c>
      <c r="B5" t="s">
        <v>422</v>
      </c>
      <c r="C5" t="s">
        <v>419</v>
      </c>
      <c r="D5" t="s">
        <v>420</v>
      </c>
      <c r="E5" t="s">
        <v>421</v>
      </c>
    </row>
    <row r="6" spans="1:14" x14ac:dyDescent="0.25">
      <c r="A6" s="4" t="s">
        <v>274</v>
      </c>
      <c r="B6" s="2">
        <v>-13352.839999999998</v>
      </c>
      <c r="C6" s="2">
        <v>-12371.08</v>
      </c>
      <c r="D6" s="2">
        <v>-13457.219999999998</v>
      </c>
      <c r="E6" s="2">
        <v>-11010.549999999997</v>
      </c>
      <c r="F6" s="2">
        <v>-50191.689999999995</v>
      </c>
      <c r="G6" s="2">
        <f>-E6</f>
        <v>11010.549999999997</v>
      </c>
      <c r="H6" s="2"/>
    </row>
    <row r="7" spans="1:14" x14ac:dyDescent="0.25">
      <c r="A7" s="4" t="s">
        <v>275</v>
      </c>
      <c r="B7" s="2">
        <v>-201.12</v>
      </c>
      <c r="C7" s="2">
        <v>-226.7</v>
      </c>
      <c r="D7" s="2">
        <v>-1508</v>
      </c>
      <c r="E7" s="2">
        <v>-423.4</v>
      </c>
      <c r="F7" s="2">
        <v>-2359.2199999999998</v>
      </c>
      <c r="G7" s="2">
        <f t="shared" ref="G7:G15" si="0">-E7</f>
        <v>423.4</v>
      </c>
    </row>
    <row r="8" spans="1:14" x14ac:dyDescent="0.25">
      <c r="A8" s="4" t="s">
        <v>77</v>
      </c>
      <c r="B8" s="2">
        <v>-10</v>
      </c>
      <c r="C8" s="2">
        <v>-198.18</v>
      </c>
      <c r="D8" s="2">
        <v>-447.97</v>
      </c>
      <c r="E8" s="2">
        <v>21.73</v>
      </c>
      <c r="F8" s="2">
        <v>-634.42000000000007</v>
      </c>
      <c r="G8" s="2">
        <f t="shared" si="0"/>
        <v>-21.73</v>
      </c>
    </row>
    <row r="9" spans="1:14" x14ac:dyDescent="0.25">
      <c r="A9" s="4" t="s">
        <v>276</v>
      </c>
      <c r="B9" s="2">
        <v>-25000</v>
      </c>
      <c r="C9" s="2">
        <v>-12500</v>
      </c>
      <c r="D9" s="2">
        <v>-12500</v>
      </c>
      <c r="E9" s="2">
        <v>-12500</v>
      </c>
      <c r="F9" s="2">
        <v>-62500</v>
      </c>
      <c r="G9" s="2">
        <f t="shared" si="0"/>
        <v>12500</v>
      </c>
    </row>
    <row r="10" spans="1:14" x14ac:dyDescent="0.25">
      <c r="A10" s="4" t="s">
        <v>277</v>
      </c>
      <c r="B10" s="2">
        <v>-276.3</v>
      </c>
      <c r="C10" s="2">
        <v>-276.3</v>
      </c>
      <c r="D10" s="2">
        <v>-84.05</v>
      </c>
      <c r="E10" s="2">
        <v>-94.5</v>
      </c>
      <c r="F10" s="2">
        <v>-731.15</v>
      </c>
      <c r="G10" s="2">
        <f t="shared" si="0"/>
        <v>94.5</v>
      </c>
    </row>
    <row r="11" spans="1:14" x14ac:dyDescent="0.25">
      <c r="A11" s="4" t="s">
        <v>56</v>
      </c>
      <c r="B11" s="2">
        <v>18876.89</v>
      </c>
      <c r="C11" s="2">
        <v>66901.980000000025</v>
      </c>
      <c r="D11" s="2">
        <v>43865.35</v>
      </c>
      <c r="E11" s="2">
        <v>89619.59</v>
      </c>
      <c r="F11" s="2">
        <v>219263.81000000003</v>
      </c>
      <c r="G11" s="2">
        <f>E11</f>
        <v>89619.59</v>
      </c>
    </row>
    <row r="12" spans="1:14" x14ac:dyDescent="0.25">
      <c r="A12" s="4" t="s">
        <v>278</v>
      </c>
      <c r="B12" s="2">
        <v>-1750</v>
      </c>
      <c r="C12" s="2">
        <v>-2584.29</v>
      </c>
      <c r="D12" s="2">
        <v>-2083.2399999999998</v>
      </c>
      <c r="E12" s="2">
        <v>-2083.2399999999998</v>
      </c>
      <c r="F12" s="2">
        <v>-8500.77</v>
      </c>
      <c r="G12" s="2">
        <f t="shared" si="0"/>
        <v>2083.2399999999998</v>
      </c>
    </row>
    <row r="13" spans="1:14" x14ac:dyDescent="0.25">
      <c r="A13" s="4" t="s">
        <v>279</v>
      </c>
      <c r="B13" s="2">
        <v>-13807.25</v>
      </c>
      <c r="C13" s="2">
        <v>-11522.76</v>
      </c>
      <c r="D13" s="2">
        <v>-11940.75</v>
      </c>
      <c r="E13" s="2">
        <v>-12556.59</v>
      </c>
      <c r="F13" s="2">
        <v>-49827.349999999991</v>
      </c>
      <c r="G13" s="2">
        <f t="shared" si="0"/>
        <v>12556.59</v>
      </c>
    </row>
    <row r="14" spans="1:14" x14ac:dyDescent="0.25">
      <c r="A14" s="6" t="s">
        <v>382</v>
      </c>
      <c r="B14" s="2"/>
      <c r="C14" s="2"/>
      <c r="D14" s="2"/>
      <c r="E14" s="2">
        <v>-309.11</v>
      </c>
      <c r="F14" s="2">
        <v>-309.11</v>
      </c>
      <c r="G14" s="2">
        <f t="shared" si="0"/>
        <v>309.11</v>
      </c>
    </row>
    <row r="15" spans="1:14" x14ac:dyDescent="0.25">
      <c r="A15" s="6" t="s">
        <v>159</v>
      </c>
      <c r="B15" s="2">
        <v>-392.19</v>
      </c>
      <c r="C15" s="2">
        <v>-415.96</v>
      </c>
      <c r="D15" s="2">
        <v>-285.23</v>
      </c>
      <c r="E15" s="2">
        <v>-285.23</v>
      </c>
      <c r="F15" s="2">
        <v>-1378.6100000000001</v>
      </c>
      <c r="G15" s="2">
        <f t="shared" si="0"/>
        <v>285.23</v>
      </c>
    </row>
    <row r="16" spans="1:14" x14ac:dyDescent="0.25">
      <c r="A16" s="6" t="s">
        <v>166</v>
      </c>
      <c r="B16" s="2">
        <v>-2844.9700000000003</v>
      </c>
      <c r="C16" s="2">
        <v>-1980.52</v>
      </c>
      <c r="D16" s="2">
        <v>-2041.63</v>
      </c>
      <c r="E16" s="2">
        <v>-2041.63</v>
      </c>
      <c r="F16" s="2">
        <v>-8908.75</v>
      </c>
      <c r="G16" s="2">
        <f>E16</f>
        <v>-2041.63</v>
      </c>
    </row>
    <row r="17" spans="1:8" x14ac:dyDescent="0.25">
      <c r="A17" s="6" t="s">
        <v>128</v>
      </c>
      <c r="B17" s="2">
        <v>-2700</v>
      </c>
      <c r="C17" s="2">
        <v>-2800</v>
      </c>
      <c r="D17" s="2">
        <v>-2700</v>
      </c>
      <c r="E17" s="2">
        <v>-2706.73</v>
      </c>
      <c r="F17" s="2">
        <v>-10906.73</v>
      </c>
      <c r="G17" s="2"/>
    </row>
    <row r="18" spans="1:8" x14ac:dyDescent="0.25">
      <c r="A18" s="6" t="s">
        <v>198</v>
      </c>
      <c r="B18" s="2">
        <v>-7870.09</v>
      </c>
      <c r="C18" s="2">
        <v>-6326.28</v>
      </c>
      <c r="D18" s="2">
        <v>-6913.8899999999994</v>
      </c>
      <c r="E18" s="2">
        <v>-7213.8899999999994</v>
      </c>
      <c r="F18" s="2">
        <v>-28324.149999999998</v>
      </c>
      <c r="G18" s="2"/>
    </row>
    <row r="19" spans="1:8" x14ac:dyDescent="0.25">
      <c r="A19" s="4" t="s">
        <v>280</v>
      </c>
      <c r="B19" s="2">
        <v>-1623.52</v>
      </c>
      <c r="C19" s="2">
        <v>-3049.39</v>
      </c>
      <c r="D19" s="2">
        <v>-28408.15</v>
      </c>
      <c r="E19" s="2">
        <v>-30700.54</v>
      </c>
      <c r="F19" s="2">
        <v>-63781.599999999999</v>
      </c>
      <c r="G19" s="2"/>
    </row>
    <row r="20" spans="1:8" x14ac:dyDescent="0.25">
      <c r="A20" s="4" t="s">
        <v>418</v>
      </c>
      <c r="B20" s="2"/>
      <c r="C20" s="2"/>
      <c r="D20" s="2">
        <v>-2052.5699999999997</v>
      </c>
      <c r="E20" s="2">
        <v>-15000</v>
      </c>
      <c r="F20" s="2">
        <v>-17052.57</v>
      </c>
      <c r="G20" s="2"/>
      <c r="H20" s="2"/>
    </row>
    <row r="21" spans="1:8" x14ac:dyDescent="0.25">
      <c r="A21" s="4" t="s">
        <v>212</v>
      </c>
      <c r="B21" s="2">
        <v>-37144.14</v>
      </c>
      <c r="C21" s="2">
        <v>24173.280000000035</v>
      </c>
      <c r="D21" s="2">
        <v>-28616.599999999995</v>
      </c>
      <c r="E21" s="2">
        <v>5272.4999999999927</v>
      </c>
      <c r="F21" s="2">
        <v>-36314.959999999948</v>
      </c>
      <c r="G21" s="2"/>
    </row>
    <row r="22" spans="1:8" x14ac:dyDescent="0.25">
      <c r="G22" s="2"/>
    </row>
    <row r="23" spans="1:8" x14ac:dyDescent="0.25">
      <c r="G23" s="2"/>
    </row>
    <row r="24" spans="1:8" x14ac:dyDescent="0.25">
      <c r="G24" s="2"/>
    </row>
    <row r="25" spans="1:8" x14ac:dyDescent="0.25">
      <c r="G25" s="2"/>
      <c r="H25" s="2"/>
    </row>
    <row r="26" spans="1:8" x14ac:dyDescent="0.25">
      <c r="G26" s="2"/>
    </row>
    <row r="27" spans="1:8" x14ac:dyDescent="0.25">
      <c r="G27" s="2"/>
      <c r="H27" s="2"/>
    </row>
    <row r="28" spans="1:8" x14ac:dyDescent="0.25">
      <c r="G28" s="2"/>
    </row>
    <row r="29" spans="1:8" x14ac:dyDescent="0.25">
      <c r="G29" s="2"/>
    </row>
    <row r="30" spans="1:8" x14ac:dyDescent="0.25">
      <c r="G30" s="2"/>
      <c r="H30" s="2"/>
    </row>
    <row r="31" spans="1:8" x14ac:dyDescent="0.25">
      <c r="G31" s="2"/>
    </row>
    <row r="32" spans="1:8" x14ac:dyDescent="0.25">
      <c r="G32" s="2"/>
    </row>
    <row r="33" spans="7:8" x14ac:dyDescent="0.25">
      <c r="G33" s="2"/>
    </row>
    <row r="34" spans="7:8" x14ac:dyDescent="0.25">
      <c r="G34" s="2"/>
      <c r="H34" s="2"/>
    </row>
    <row r="35" spans="7:8" x14ac:dyDescent="0.25">
      <c r="G35" s="2"/>
    </row>
    <row r="36" spans="7:8" x14ac:dyDescent="0.25">
      <c r="G36" s="2"/>
    </row>
    <row r="37" spans="7:8" x14ac:dyDescent="0.25">
      <c r="G37" s="2"/>
    </row>
    <row r="38" spans="7:8" x14ac:dyDescent="0.25">
      <c r="G38" s="2"/>
      <c r="H38" s="2"/>
    </row>
    <row r="39" spans="7:8" x14ac:dyDescent="0.25">
      <c r="G39" s="2"/>
    </row>
    <row r="40" spans="7:8" x14ac:dyDescent="0.25">
      <c r="G40" s="2"/>
    </row>
    <row r="41" spans="7:8" x14ac:dyDescent="0.25">
      <c r="G41" s="2"/>
    </row>
    <row r="42" spans="7:8" x14ac:dyDescent="0.25">
      <c r="G42" s="2"/>
    </row>
    <row r="43" spans="7:8" x14ac:dyDescent="0.25">
      <c r="G43" s="2"/>
    </row>
    <row r="44" spans="7:8" x14ac:dyDescent="0.25">
      <c r="G44" s="2"/>
      <c r="H44" s="2"/>
    </row>
    <row r="45" spans="7:8" x14ac:dyDescent="0.25">
      <c r="G45" s="2"/>
    </row>
    <row r="46" spans="7:8" x14ac:dyDescent="0.25">
      <c r="G46" s="2"/>
    </row>
    <row r="47" spans="7:8" x14ac:dyDescent="0.25">
      <c r="G47" s="2"/>
      <c r="H47" s="2"/>
    </row>
    <row r="48" spans="7:8" x14ac:dyDescent="0.25">
      <c r="G48" s="2"/>
    </row>
    <row r="49" spans="7:8" x14ac:dyDescent="0.25">
      <c r="G49" s="2"/>
      <c r="H4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1"/>
  </sheetPr>
  <dimension ref="A1:P1920"/>
  <sheetViews>
    <sheetView zoomScale="85" zoomScaleNormal="85" workbookViewId="0">
      <pane ySplit="1" topLeftCell="A1771" activePane="bottomLeft" state="frozen"/>
      <selection pane="bottomLeft" activeCell="F1925" sqref="F1925"/>
    </sheetView>
  </sheetViews>
  <sheetFormatPr defaultRowHeight="15.75" x14ac:dyDescent="0.25"/>
  <cols>
    <col min="1" max="1" width="10.875" customWidth="1"/>
    <col min="2" max="2" width="30.875" customWidth="1"/>
    <col min="3" max="3" width="42.25" customWidth="1"/>
    <col min="4" max="4" width="40.125" customWidth="1"/>
    <col min="5" max="5" width="16" customWidth="1"/>
    <col min="6" max="6" width="42.75" customWidth="1"/>
    <col min="7" max="7" width="27.875" hidden="1" customWidth="1"/>
    <col min="8" max="8" width="9.875" hidden="1" customWidth="1"/>
    <col min="9" max="9" width="14.375" hidden="1" customWidth="1"/>
    <col min="10" max="10" width="15.875" hidden="1" customWidth="1"/>
    <col min="11" max="11" width="11.5" style="23" bestFit="1" customWidth="1"/>
    <col min="12" max="12" width="7.875" customWidth="1"/>
    <col min="13" max="13" width="12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2" t="s">
        <v>10</v>
      </c>
      <c r="L1" s="1" t="s">
        <v>11</v>
      </c>
      <c r="M1" s="1" t="s">
        <v>12</v>
      </c>
    </row>
    <row r="2" spans="1:14" hidden="1" x14ac:dyDescent="0.25">
      <c r="A2" s="5">
        <v>45628</v>
      </c>
      <c r="B2" t="s">
        <v>50</v>
      </c>
      <c r="C2" t="s">
        <v>61</v>
      </c>
      <c r="D2" t="s">
        <v>62</v>
      </c>
      <c r="E2" t="str">
        <f t="shared" ref="E2:E15" si="0">IF(OR(D2="Honorários",D2="Despesa do cliente"),D2,LEFT(D2,3))</f>
        <v>INV</v>
      </c>
      <c r="F2" t="s">
        <v>63</v>
      </c>
      <c r="G2" t="s">
        <v>63</v>
      </c>
      <c r="J2" t="s">
        <v>17</v>
      </c>
      <c r="K2" s="23">
        <v>-1750</v>
      </c>
      <c r="L2" t="s">
        <v>24</v>
      </c>
      <c r="M2" t="s">
        <v>25</v>
      </c>
      <c r="N2">
        <f>FIND("-",D2,1)</f>
        <v>5</v>
      </c>
    </row>
    <row r="3" spans="1:14" hidden="1" x14ac:dyDescent="0.25">
      <c r="A3" s="5">
        <v>45628</v>
      </c>
      <c r="B3" t="s">
        <v>50</v>
      </c>
      <c r="C3" t="s">
        <v>216</v>
      </c>
      <c r="D3" t="s">
        <v>52</v>
      </c>
      <c r="E3" t="str">
        <f t="shared" si="0"/>
        <v>ADM</v>
      </c>
      <c r="F3" t="s">
        <v>53</v>
      </c>
      <c r="G3" t="s">
        <v>53</v>
      </c>
      <c r="J3" t="s">
        <v>17</v>
      </c>
      <c r="K3" s="23">
        <v>-1412</v>
      </c>
      <c r="L3" t="s">
        <v>24</v>
      </c>
      <c r="M3" t="s">
        <v>25</v>
      </c>
    </row>
    <row r="4" spans="1:14" hidden="1" x14ac:dyDescent="0.25">
      <c r="A4" s="5">
        <v>45628</v>
      </c>
      <c r="B4" t="s">
        <v>67</v>
      </c>
      <c r="C4" t="s">
        <v>68</v>
      </c>
      <c r="D4" t="s">
        <v>56</v>
      </c>
      <c r="E4" t="str">
        <f>IF(ISERROR(FIND("-",D4,1)),D4,LEFT(D4,3))</f>
        <v>Honorários</v>
      </c>
      <c r="F4" t="s">
        <v>69</v>
      </c>
      <c r="G4" t="s">
        <v>69</v>
      </c>
      <c r="I4" t="s">
        <v>70</v>
      </c>
      <c r="J4" t="s">
        <v>17</v>
      </c>
      <c r="K4" s="23">
        <v>250</v>
      </c>
      <c r="L4" t="s">
        <v>18</v>
      </c>
      <c r="M4" t="s">
        <v>19</v>
      </c>
      <c r="N4" t="str">
        <f>IF(ISERROR(FIND("-",D4,1)),D4,LEFT(D4,3))</f>
        <v>Honorários</v>
      </c>
    </row>
    <row r="5" spans="1:14" hidden="1" x14ac:dyDescent="0.25">
      <c r="A5" s="5">
        <v>45628</v>
      </c>
      <c r="B5" t="s">
        <v>50</v>
      </c>
      <c r="C5" t="s">
        <v>217</v>
      </c>
      <c r="D5" t="s">
        <v>56</v>
      </c>
      <c r="E5" t="str">
        <f t="shared" si="0"/>
        <v>Honorários</v>
      </c>
      <c r="F5" t="s">
        <v>218</v>
      </c>
      <c r="G5" t="s">
        <v>218</v>
      </c>
      <c r="I5" t="s">
        <v>75</v>
      </c>
      <c r="J5" t="s">
        <v>17</v>
      </c>
      <c r="K5" s="23">
        <v>423.6</v>
      </c>
      <c r="L5" t="s">
        <v>18</v>
      </c>
      <c r="M5" t="s">
        <v>19</v>
      </c>
      <c r="N5" t="e">
        <f>FIND("-",D5,1)</f>
        <v>#VALUE!</v>
      </c>
    </row>
    <row r="6" spans="1:14" hidden="1" x14ac:dyDescent="0.25">
      <c r="A6" s="5">
        <v>45628</v>
      </c>
      <c r="B6" t="s">
        <v>50</v>
      </c>
      <c r="C6" t="s">
        <v>219</v>
      </c>
      <c r="D6" t="s">
        <v>103</v>
      </c>
      <c r="E6" t="str">
        <f t="shared" si="0"/>
        <v>ADM</v>
      </c>
      <c r="F6" t="s">
        <v>104</v>
      </c>
      <c r="G6" t="s">
        <v>104</v>
      </c>
      <c r="J6" t="s">
        <v>17</v>
      </c>
      <c r="K6" s="23">
        <v>-60</v>
      </c>
      <c r="L6" t="s">
        <v>24</v>
      </c>
      <c r="M6" t="s">
        <v>25</v>
      </c>
    </row>
    <row r="7" spans="1:14" hidden="1" x14ac:dyDescent="0.25">
      <c r="A7" s="5">
        <v>45629</v>
      </c>
      <c r="B7" t="s">
        <v>50</v>
      </c>
      <c r="C7" t="s">
        <v>220</v>
      </c>
      <c r="D7" t="s">
        <v>72</v>
      </c>
      <c r="E7" t="str">
        <f t="shared" si="0"/>
        <v>FIN</v>
      </c>
      <c r="F7" t="s">
        <v>23</v>
      </c>
      <c r="G7" t="s">
        <v>23</v>
      </c>
      <c r="J7" t="s">
        <v>17</v>
      </c>
      <c r="K7" s="23">
        <v>-261.75</v>
      </c>
      <c r="L7" t="s">
        <v>24</v>
      </c>
      <c r="M7" t="s">
        <v>25</v>
      </c>
    </row>
    <row r="8" spans="1:14" hidden="1" x14ac:dyDescent="0.25">
      <c r="A8" s="5">
        <v>45630</v>
      </c>
      <c r="B8" t="s">
        <v>67</v>
      </c>
      <c r="C8" t="s">
        <v>221</v>
      </c>
      <c r="D8" t="s">
        <v>56</v>
      </c>
      <c r="E8" t="str">
        <f t="shared" si="0"/>
        <v>Honorários</v>
      </c>
      <c r="F8" t="s">
        <v>222</v>
      </c>
      <c r="G8" t="s">
        <v>222</v>
      </c>
      <c r="J8" t="s">
        <v>17</v>
      </c>
      <c r="K8" s="23">
        <v>450</v>
      </c>
      <c r="L8" t="s">
        <v>18</v>
      </c>
      <c r="M8" t="s">
        <v>19</v>
      </c>
    </row>
    <row r="9" spans="1:14" hidden="1" x14ac:dyDescent="0.25">
      <c r="A9" s="5">
        <v>45630</v>
      </c>
      <c r="B9" t="s">
        <v>54</v>
      </c>
      <c r="C9" t="s">
        <v>223</v>
      </c>
      <c r="D9" t="s">
        <v>224</v>
      </c>
      <c r="E9" t="str">
        <f t="shared" si="0"/>
        <v>COM</v>
      </c>
      <c r="F9" t="s">
        <v>54</v>
      </c>
      <c r="G9" t="s">
        <v>54</v>
      </c>
      <c r="J9" t="s">
        <v>17</v>
      </c>
      <c r="K9" s="23">
        <v>-36.119999999999997</v>
      </c>
      <c r="L9" t="s">
        <v>24</v>
      </c>
      <c r="M9" t="s">
        <v>25</v>
      </c>
    </row>
    <row r="10" spans="1:14" hidden="1" x14ac:dyDescent="0.25">
      <c r="A10" s="5">
        <v>45630</v>
      </c>
      <c r="B10" t="s">
        <v>67</v>
      </c>
      <c r="C10" t="s">
        <v>225</v>
      </c>
      <c r="D10" t="s">
        <v>56</v>
      </c>
      <c r="E10" t="str">
        <f t="shared" si="0"/>
        <v>Honorários</v>
      </c>
      <c r="F10" t="s">
        <v>226</v>
      </c>
      <c r="G10" t="s">
        <v>226</v>
      </c>
      <c r="I10" t="s">
        <v>75</v>
      </c>
      <c r="J10" t="s">
        <v>17</v>
      </c>
      <c r="K10" s="23">
        <v>268.3</v>
      </c>
      <c r="L10" t="s">
        <v>18</v>
      </c>
      <c r="M10" t="s">
        <v>19</v>
      </c>
    </row>
    <row r="11" spans="1:14" hidden="1" x14ac:dyDescent="0.25">
      <c r="A11" s="5">
        <v>45631</v>
      </c>
      <c r="B11" t="s">
        <v>50</v>
      </c>
      <c r="C11" t="s">
        <v>227</v>
      </c>
      <c r="D11" t="s">
        <v>15</v>
      </c>
      <c r="E11" t="str">
        <f t="shared" si="0"/>
        <v>ADM</v>
      </c>
      <c r="F11" t="s">
        <v>228</v>
      </c>
      <c r="G11" t="s">
        <v>23</v>
      </c>
      <c r="J11" t="s">
        <v>17</v>
      </c>
      <c r="K11" s="23">
        <v>-1924.77</v>
      </c>
      <c r="L11" t="s">
        <v>24</v>
      </c>
      <c r="M11" t="s">
        <v>25</v>
      </c>
    </row>
    <row r="12" spans="1:14" hidden="1" x14ac:dyDescent="0.25">
      <c r="A12" s="5">
        <v>45631</v>
      </c>
      <c r="B12" t="s">
        <v>50</v>
      </c>
      <c r="C12" t="s">
        <v>91</v>
      </c>
      <c r="D12" t="s">
        <v>56</v>
      </c>
      <c r="E12" t="str">
        <f t="shared" si="0"/>
        <v>Honorários</v>
      </c>
      <c r="F12" t="s">
        <v>92</v>
      </c>
      <c r="G12" t="s">
        <v>92</v>
      </c>
      <c r="I12" t="s">
        <v>93</v>
      </c>
      <c r="J12" t="s">
        <v>17</v>
      </c>
      <c r="K12" s="23">
        <v>471</v>
      </c>
      <c r="L12" t="s">
        <v>18</v>
      </c>
      <c r="M12" t="s">
        <v>19</v>
      </c>
    </row>
    <row r="13" spans="1:14" hidden="1" x14ac:dyDescent="0.25">
      <c r="A13" s="5">
        <v>45631</v>
      </c>
      <c r="B13" t="s">
        <v>50</v>
      </c>
      <c r="C13" t="s">
        <v>229</v>
      </c>
      <c r="D13" t="s">
        <v>56</v>
      </c>
      <c r="E13" t="str">
        <f t="shared" si="0"/>
        <v>Honorários</v>
      </c>
      <c r="F13" t="s">
        <v>230</v>
      </c>
      <c r="G13" t="s">
        <v>230</v>
      </c>
      <c r="I13" t="s">
        <v>231</v>
      </c>
      <c r="J13" t="s">
        <v>17</v>
      </c>
      <c r="K13" s="23">
        <v>284.39999999999998</v>
      </c>
      <c r="L13" t="s">
        <v>18</v>
      </c>
      <c r="M13" t="s">
        <v>19</v>
      </c>
    </row>
    <row r="14" spans="1:14" hidden="1" x14ac:dyDescent="0.25">
      <c r="A14" s="5">
        <v>45632</v>
      </c>
      <c r="B14" t="s">
        <v>67</v>
      </c>
      <c r="C14" t="s">
        <v>232</v>
      </c>
      <c r="D14" t="s">
        <v>56</v>
      </c>
      <c r="E14" t="str">
        <f t="shared" si="0"/>
        <v>Honorários</v>
      </c>
      <c r="F14" t="s">
        <v>233</v>
      </c>
      <c r="G14" t="s">
        <v>233</v>
      </c>
      <c r="I14" t="s">
        <v>93</v>
      </c>
      <c r="J14" t="s">
        <v>17</v>
      </c>
      <c r="K14" s="23">
        <v>1059</v>
      </c>
      <c r="L14" t="s">
        <v>18</v>
      </c>
      <c r="M14" t="s">
        <v>19</v>
      </c>
    </row>
    <row r="15" spans="1:14" hidden="1" x14ac:dyDescent="0.25">
      <c r="A15" s="5">
        <v>45632</v>
      </c>
      <c r="B15" t="s">
        <v>54</v>
      </c>
      <c r="C15" t="s">
        <v>234</v>
      </c>
      <c r="D15" t="s">
        <v>77</v>
      </c>
      <c r="E15" t="str">
        <f t="shared" si="0"/>
        <v>Despesa do cliente</v>
      </c>
      <c r="F15" t="s">
        <v>235</v>
      </c>
      <c r="G15" t="s">
        <v>235</v>
      </c>
      <c r="I15" t="s">
        <v>236</v>
      </c>
      <c r="J15" t="s">
        <v>17</v>
      </c>
      <c r="K15" s="23">
        <v>-10</v>
      </c>
      <c r="L15" t="s">
        <v>24</v>
      </c>
      <c r="M15" t="s">
        <v>25</v>
      </c>
    </row>
    <row r="16" spans="1:14" hidden="1" x14ac:dyDescent="0.25">
      <c r="A16" s="5">
        <v>45632</v>
      </c>
      <c r="B16" t="s">
        <v>50</v>
      </c>
      <c r="C16" t="s">
        <v>237</v>
      </c>
      <c r="D16" t="s">
        <v>113</v>
      </c>
      <c r="E16" t="str">
        <f>IF(OR(D16="Honorários",D16="Despesa do cliente"),D16,LEFT(D16,3))</f>
        <v>ADM</v>
      </c>
      <c r="F16" t="s">
        <v>114</v>
      </c>
      <c r="G16" t="s">
        <v>114</v>
      </c>
      <c r="J16" t="s">
        <v>17</v>
      </c>
      <c r="K16" s="23">
        <v>-130.37</v>
      </c>
      <c r="L16" t="s">
        <v>24</v>
      </c>
      <c r="M16" t="s">
        <v>25</v>
      </c>
    </row>
    <row r="17" spans="1:13" hidden="1" x14ac:dyDescent="0.25">
      <c r="A17" s="5">
        <v>45632</v>
      </c>
      <c r="B17" t="s">
        <v>67</v>
      </c>
      <c r="C17" t="s">
        <v>98</v>
      </c>
      <c r="D17" t="s">
        <v>99</v>
      </c>
      <c r="E17" t="str">
        <f t="shared" ref="E17:E80" si="1">IF(OR(D17="Honorários",D17="Despesa do cliente"),D17,LEFT(D17,3))</f>
        <v>ADM</v>
      </c>
      <c r="F17" t="s">
        <v>100</v>
      </c>
      <c r="G17" t="s">
        <v>100</v>
      </c>
      <c r="J17" t="s">
        <v>17</v>
      </c>
      <c r="K17" s="23">
        <v>-340</v>
      </c>
      <c r="L17" t="s">
        <v>24</v>
      </c>
      <c r="M17" t="s">
        <v>25</v>
      </c>
    </row>
    <row r="18" spans="1:13" hidden="1" x14ac:dyDescent="0.25">
      <c r="A18" s="5">
        <v>45632</v>
      </c>
      <c r="B18" t="s">
        <v>50</v>
      </c>
      <c r="C18" t="s">
        <v>95</v>
      </c>
      <c r="D18" t="s">
        <v>96</v>
      </c>
      <c r="E18" t="str">
        <f t="shared" si="1"/>
        <v>ADM</v>
      </c>
      <c r="F18" t="s">
        <v>97</v>
      </c>
      <c r="G18" t="s">
        <v>97</v>
      </c>
      <c r="J18" t="s">
        <v>17</v>
      </c>
      <c r="K18" s="23">
        <v>-2977.01</v>
      </c>
      <c r="L18" t="s">
        <v>24</v>
      </c>
      <c r="M18" t="s">
        <v>25</v>
      </c>
    </row>
    <row r="19" spans="1:13" hidden="1" x14ac:dyDescent="0.25">
      <c r="A19" s="5">
        <v>45635</v>
      </c>
      <c r="B19" t="s">
        <v>50</v>
      </c>
      <c r="C19" t="s">
        <v>126</v>
      </c>
      <c r="D19" t="s">
        <v>56</v>
      </c>
      <c r="E19" t="str">
        <f t="shared" si="1"/>
        <v>Honorários</v>
      </c>
      <c r="F19" t="s">
        <v>122</v>
      </c>
      <c r="G19" t="s">
        <v>122</v>
      </c>
      <c r="I19" t="s">
        <v>123</v>
      </c>
      <c r="J19" t="s">
        <v>17</v>
      </c>
      <c r="K19" s="23">
        <v>282.39999999999998</v>
      </c>
      <c r="L19" t="s">
        <v>18</v>
      </c>
      <c r="M19" t="s">
        <v>19</v>
      </c>
    </row>
    <row r="20" spans="1:13" hidden="1" x14ac:dyDescent="0.25">
      <c r="A20" s="5">
        <v>45635</v>
      </c>
      <c r="B20" t="s">
        <v>54</v>
      </c>
      <c r="C20" t="s">
        <v>238</v>
      </c>
      <c r="D20" t="s">
        <v>28</v>
      </c>
      <c r="E20" t="str">
        <f t="shared" si="1"/>
        <v>ADM</v>
      </c>
      <c r="F20" t="s">
        <v>205</v>
      </c>
      <c r="G20" t="s">
        <v>205</v>
      </c>
      <c r="J20" t="s">
        <v>17</v>
      </c>
      <c r="K20" s="23">
        <v>-67.64</v>
      </c>
      <c r="L20" t="s">
        <v>24</v>
      </c>
      <c r="M20" t="s">
        <v>25</v>
      </c>
    </row>
    <row r="21" spans="1:13" hidden="1" x14ac:dyDescent="0.25">
      <c r="A21" s="5">
        <v>45635</v>
      </c>
      <c r="B21" t="s">
        <v>50</v>
      </c>
      <c r="C21" t="s">
        <v>239</v>
      </c>
      <c r="D21" t="s">
        <v>113</v>
      </c>
      <c r="E21" t="str">
        <f t="shared" si="1"/>
        <v>ADM</v>
      </c>
      <c r="F21" t="s">
        <v>114</v>
      </c>
      <c r="G21" t="s">
        <v>114</v>
      </c>
      <c r="J21" t="s">
        <v>17</v>
      </c>
      <c r="K21" s="23">
        <v>-371.57</v>
      </c>
      <c r="L21" t="s">
        <v>24</v>
      </c>
      <c r="M21" t="s">
        <v>25</v>
      </c>
    </row>
    <row r="22" spans="1:13" hidden="1" x14ac:dyDescent="0.25">
      <c r="A22" s="5">
        <v>45636</v>
      </c>
      <c r="B22" t="s">
        <v>50</v>
      </c>
      <c r="C22" t="s">
        <v>124</v>
      </c>
      <c r="D22" t="s">
        <v>30</v>
      </c>
      <c r="E22" t="str">
        <f t="shared" si="1"/>
        <v>ADM</v>
      </c>
      <c r="F22" t="s">
        <v>125</v>
      </c>
      <c r="G22" t="s">
        <v>125</v>
      </c>
      <c r="J22" t="s">
        <v>17</v>
      </c>
      <c r="K22" s="23">
        <v>-100</v>
      </c>
      <c r="L22" t="s">
        <v>24</v>
      </c>
      <c r="M22" t="s">
        <v>25</v>
      </c>
    </row>
    <row r="23" spans="1:13" hidden="1" x14ac:dyDescent="0.25">
      <c r="A23" s="5">
        <v>45636</v>
      </c>
      <c r="B23" t="s">
        <v>50</v>
      </c>
      <c r="C23" t="s">
        <v>240</v>
      </c>
      <c r="D23" t="s">
        <v>56</v>
      </c>
      <c r="E23" t="str">
        <f t="shared" si="1"/>
        <v>Honorários</v>
      </c>
      <c r="F23" t="s">
        <v>241</v>
      </c>
      <c r="G23" t="s">
        <v>241</v>
      </c>
      <c r="I23" t="s">
        <v>242</v>
      </c>
      <c r="J23" t="s">
        <v>17</v>
      </c>
      <c r="K23" s="23">
        <v>600</v>
      </c>
      <c r="L23" t="s">
        <v>18</v>
      </c>
      <c r="M23" t="s">
        <v>19</v>
      </c>
    </row>
    <row r="24" spans="1:13" hidden="1" x14ac:dyDescent="0.25">
      <c r="A24" s="5">
        <v>45636</v>
      </c>
      <c r="B24" t="s">
        <v>50</v>
      </c>
      <c r="C24" t="s">
        <v>243</v>
      </c>
      <c r="D24" t="s">
        <v>128</v>
      </c>
      <c r="E24" t="str">
        <f t="shared" si="1"/>
        <v>PES</v>
      </c>
      <c r="F24" t="s">
        <v>129</v>
      </c>
      <c r="G24" t="s">
        <v>129</v>
      </c>
      <c r="J24" t="s">
        <v>17</v>
      </c>
      <c r="K24" s="23">
        <v>-300</v>
      </c>
      <c r="L24" t="s">
        <v>24</v>
      </c>
      <c r="M24" t="s">
        <v>25</v>
      </c>
    </row>
    <row r="25" spans="1:13" hidden="1" x14ac:dyDescent="0.25">
      <c r="A25" s="5">
        <v>45636</v>
      </c>
      <c r="B25" t="s">
        <v>54</v>
      </c>
      <c r="C25" t="s">
        <v>119</v>
      </c>
      <c r="D25" t="s">
        <v>72</v>
      </c>
      <c r="E25" t="str">
        <f t="shared" si="1"/>
        <v>FIN</v>
      </c>
      <c r="F25" t="s">
        <v>120</v>
      </c>
      <c r="G25" t="s">
        <v>120</v>
      </c>
      <c r="J25" t="s">
        <v>17</v>
      </c>
      <c r="K25" s="23">
        <v>-14.55</v>
      </c>
      <c r="L25" t="s">
        <v>24</v>
      </c>
      <c r="M25" t="s">
        <v>25</v>
      </c>
    </row>
    <row r="26" spans="1:13" hidden="1" x14ac:dyDescent="0.25">
      <c r="A26" s="5">
        <v>45637</v>
      </c>
      <c r="B26" t="s">
        <v>50</v>
      </c>
      <c r="C26" t="s">
        <v>137</v>
      </c>
      <c r="D26" t="s">
        <v>56</v>
      </c>
      <c r="E26" t="str">
        <f t="shared" si="1"/>
        <v>Honorários</v>
      </c>
      <c r="F26" t="s">
        <v>138</v>
      </c>
      <c r="G26" t="s">
        <v>138</v>
      </c>
      <c r="I26" t="s">
        <v>139</v>
      </c>
      <c r="J26" t="s">
        <v>17</v>
      </c>
      <c r="K26" s="23">
        <v>450</v>
      </c>
      <c r="L26" t="s">
        <v>18</v>
      </c>
      <c r="M26" t="s">
        <v>83</v>
      </c>
    </row>
    <row r="27" spans="1:13" hidden="1" x14ac:dyDescent="0.25">
      <c r="A27" s="5">
        <v>45638</v>
      </c>
      <c r="B27" t="s">
        <v>50</v>
      </c>
      <c r="C27" t="s">
        <v>121</v>
      </c>
      <c r="D27" t="s">
        <v>56</v>
      </c>
      <c r="E27" t="str">
        <f t="shared" si="1"/>
        <v>Honorários</v>
      </c>
      <c r="F27" t="s">
        <v>235</v>
      </c>
      <c r="G27" t="s">
        <v>235</v>
      </c>
      <c r="I27" t="s">
        <v>236</v>
      </c>
      <c r="J27" t="s">
        <v>17</v>
      </c>
      <c r="K27" s="23">
        <v>2464.31</v>
      </c>
      <c r="L27" t="s">
        <v>18</v>
      </c>
      <c r="M27" t="s">
        <v>19</v>
      </c>
    </row>
    <row r="28" spans="1:13" hidden="1" x14ac:dyDescent="0.25">
      <c r="A28" s="5">
        <v>45639</v>
      </c>
      <c r="B28" t="s">
        <v>67</v>
      </c>
      <c r="C28" t="s">
        <v>244</v>
      </c>
      <c r="D28" t="s">
        <v>149</v>
      </c>
      <c r="E28" t="str">
        <f t="shared" si="1"/>
        <v>ADM</v>
      </c>
      <c r="F28" t="s">
        <v>245</v>
      </c>
      <c r="G28" t="s">
        <v>245</v>
      </c>
      <c r="J28" t="s">
        <v>17</v>
      </c>
      <c r="K28" s="23">
        <v>-1083</v>
      </c>
      <c r="L28" t="s">
        <v>24</v>
      </c>
      <c r="M28" t="s">
        <v>25</v>
      </c>
    </row>
    <row r="29" spans="1:13" hidden="1" x14ac:dyDescent="0.25">
      <c r="A29" s="5">
        <v>45639</v>
      </c>
      <c r="B29" t="s">
        <v>50</v>
      </c>
      <c r="C29" t="s">
        <v>246</v>
      </c>
      <c r="D29" t="s">
        <v>56</v>
      </c>
      <c r="E29" t="str">
        <f t="shared" si="1"/>
        <v>Honorários</v>
      </c>
      <c r="F29" t="s">
        <v>247</v>
      </c>
      <c r="G29" t="s">
        <v>247</v>
      </c>
      <c r="I29" t="s">
        <v>175</v>
      </c>
      <c r="J29" t="s">
        <v>17</v>
      </c>
      <c r="K29" s="23">
        <v>6691.29</v>
      </c>
      <c r="L29" t="s">
        <v>18</v>
      </c>
      <c r="M29" t="s">
        <v>19</v>
      </c>
    </row>
    <row r="30" spans="1:13" hidden="1" x14ac:dyDescent="0.25">
      <c r="A30" s="5">
        <v>45639</v>
      </c>
      <c r="B30" t="s">
        <v>50</v>
      </c>
      <c r="C30" t="s">
        <v>248</v>
      </c>
      <c r="D30" t="s">
        <v>56</v>
      </c>
      <c r="E30" t="str">
        <f t="shared" si="1"/>
        <v>Honorários</v>
      </c>
      <c r="F30" t="s">
        <v>247</v>
      </c>
      <c r="G30" t="s">
        <v>247</v>
      </c>
      <c r="I30" t="s">
        <v>175</v>
      </c>
      <c r="J30" t="s">
        <v>17</v>
      </c>
      <c r="K30" s="23">
        <v>1331.36</v>
      </c>
      <c r="L30" t="s">
        <v>18</v>
      </c>
      <c r="M30" t="s">
        <v>19</v>
      </c>
    </row>
    <row r="31" spans="1:13" hidden="1" x14ac:dyDescent="0.25">
      <c r="A31" s="5">
        <v>45639</v>
      </c>
      <c r="B31" t="s">
        <v>54</v>
      </c>
      <c r="C31" t="s">
        <v>98</v>
      </c>
      <c r="D31" t="s">
        <v>99</v>
      </c>
      <c r="E31" t="str">
        <f t="shared" si="1"/>
        <v>ADM</v>
      </c>
      <c r="F31" t="s">
        <v>100</v>
      </c>
      <c r="G31" t="s">
        <v>100</v>
      </c>
      <c r="J31" t="s">
        <v>17</v>
      </c>
      <c r="K31" s="23">
        <v>-340</v>
      </c>
      <c r="L31" t="s">
        <v>24</v>
      </c>
      <c r="M31" t="s">
        <v>25</v>
      </c>
    </row>
    <row r="32" spans="1:13" hidden="1" x14ac:dyDescent="0.25">
      <c r="A32" s="5">
        <v>45640</v>
      </c>
      <c r="B32" t="s">
        <v>50</v>
      </c>
      <c r="C32" t="s">
        <v>249</v>
      </c>
      <c r="D32" t="s">
        <v>56</v>
      </c>
      <c r="E32" t="str">
        <f t="shared" si="1"/>
        <v>Honorários</v>
      </c>
      <c r="F32" t="s">
        <v>250</v>
      </c>
      <c r="G32" t="s">
        <v>250</v>
      </c>
      <c r="I32" t="s">
        <v>251</v>
      </c>
      <c r="J32" t="s">
        <v>17</v>
      </c>
      <c r="K32" s="23">
        <v>150</v>
      </c>
      <c r="L32" t="s">
        <v>18</v>
      </c>
      <c r="M32" t="s">
        <v>19</v>
      </c>
    </row>
    <row r="33" spans="1:13" hidden="1" x14ac:dyDescent="0.25">
      <c r="A33" s="5">
        <v>45640</v>
      </c>
      <c r="B33" t="s">
        <v>50</v>
      </c>
      <c r="C33" t="s">
        <v>249</v>
      </c>
      <c r="D33" t="s">
        <v>56</v>
      </c>
      <c r="E33" t="str">
        <f t="shared" si="1"/>
        <v>Honorários</v>
      </c>
      <c r="F33" t="s">
        <v>250</v>
      </c>
      <c r="G33" t="s">
        <v>250</v>
      </c>
      <c r="I33" t="s">
        <v>251</v>
      </c>
      <c r="J33" t="s">
        <v>17</v>
      </c>
      <c r="K33" s="23">
        <v>150</v>
      </c>
      <c r="L33" t="s">
        <v>18</v>
      </c>
      <c r="M33" t="s">
        <v>19</v>
      </c>
    </row>
    <row r="34" spans="1:13" hidden="1" x14ac:dyDescent="0.25">
      <c r="A34" s="5">
        <v>45642</v>
      </c>
      <c r="B34" t="s">
        <v>67</v>
      </c>
      <c r="C34" t="s">
        <v>252</v>
      </c>
      <c r="D34" t="s">
        <v>15</v>
      </c>
      <c r="E34" t="str">
        <f t="shared" si="1"/>
        <v>ADM</v>
      </c>
      <c r="F34" t="s">
        <v>67</v>
      </c>
      <c r="G34" t="s">
        <v>16</v>
      </c>
      <c r="J34" t="s">
        <v>17</v>
      </c>
      <c r="K34" s="23">
        <v>-1012.15</v>
      </c>
      <c r="L34" t="s">
        <v>24</v>
      </c>
      <c r="M34" t="s">
        <v>25</v>
      </c>
    </row>
    <row r="35" spans="1:13" hidden="1" x14ac:dyDescent="0.25">
      <c r="A35" s="5">
        <v>45642</v>
      </c>
      <c r="B35" t="s">
        <v>67</v>
      </c>
      <c r="C35" t="s">
        <v>110</v>
      </c>
      <c r="D35" t="s">
        <v>56</v>
      </c>
      <c r="E35" t="str">
        <f t="shared" si="1"/>
        <v>Honorários</v>
      </c>
      <c r="F35" t="s">
        <v>253</v>
      </c>
      <c r="G35" t="s">
        <v>253</v>
      </c>
      <c r="J35" t="s">
        <v>17</v>
      </c>
      <c r="K35" s="23">
        <v>150</v>
      </c>
      <c r="L35" t="s">
        <v>18</v>
      </c>
      <c r="M35" t="s">
        <v>19</v>
      </c>
    </row>
    <row r="36" spans="1:13" hidden="1" x14ac:dyDescent="0.25">
      <c r="A36" s="5">
        <v>45642</v>
      </c>
      <c r="B36" t="s">
        <v>50</v>
      </c>
      <c r="C36" t="s">
        <v>254</v>
      </c>
      <c r="D36" t="s">
        <v>30</v>
      </c>
      <c r="E36" t="str">
        <f t="shared" si="1"/>
        <v>ADM</v>
      </c>
      <c r="F36" t="s">
        <v>147</v>
      </c>
      <c r="G36" t="s">
        <v>147</v>
      </c>
      <c r="J36" t="s">
        <v>17</v>
      </c>
      <c r="K36" s="23">
        <v>-507.3</v>
      </c>
      <c r="L36" t="s">
        <v>24</v>
      </c>
      <c r="M36" t="s">
        <v>25</v>
      </c>
    </row>
    <row r="37" spans="1:13" hidden="1" x14ac:dyDescent="0.25">
      <c r="A37" s="5">
        <v>45643</v>
      </c>
      <c r="B37" t="s">
        <v>50</v>
      </c>
      <c r="C37" t="s">
        <v>156</v>
      </c>
      <c r="D37" t="s">
        <v>56</v>
      </c>
      <c r="E37" t="str">
        <f t="shared" si="1"/>
        <v>Honorários</v>
      </c>
      <c r="F37" t="s">
        <v>157</v>
      </c>
      <c r="G37" t="s">
        <v>157</v>
      </c>
      <c r="I37" t="s">
        <v>93</v>
      </c>
      <c r="J37" t="s">
        <v>17</v>
      </c>
      <c r="K37" s="23">
        <v>211.8</v>
      </c>
      <c r="L37" t="s">
        <v>18</v>
      </c>
      <c r="M37" t="s">
        <v>19</v>
      </c>
    </row>
    <row r="38" spans="1:13" hidden="1" x14ac:dyDescent="0.25">
      <c r="A38" s="5">
        <v>45643</v>
      </c>
      <c r="B38" t="s">
        <v>54</v>
      </c>
      <c r="C38" t="s">
        <v>255</v>
      </c>
      <c r="D38" t="s">
        <v>56</v>
      </c>
      <c r="E38" t="str">
        <f t="shared" si="1"/>
        <v>Honorários</v>
      </c>
      <c r="F38" t="s">
        <v>256</v>
      </c>
      <c r="G38" t="s">
        <v>256</v>
      </c>
      <c r="I38" t="s">
        <v>257</v>
      </c>
      <c r="J38" t="s">
        <v>17</v>
      </c>
      <c r="K38" s="23">
        <v>386.8</v>
      </c>
      <c r="L38" t="s">
        <v>18</v>
      </c>
      <c r="M38" t="s">
        <v>19</v>
      </c>
    </row>
    <row r="39" spans="1:13" hidden="1" x14ac:dyDescent="0.25">
      <c r="A39" s="5">
        <v>45645</v>
      </c>
      <c r="B39" t="s">
        <v>67</v>
      </c>
      <c r="C39" t="s">
        <v>258</v>
      </c>
      <c r="D39" t="s">
        <v>198</v>
      </c>
      <c r="E39" t="str">
        <f t="shared" si="1"/>
        <v>PES</v>
      </c>
      <c r="F39" t="s">
        <v>209</v>
      </c>
      <c r="G39" t="s">
        <v>209</v>
      </c>
      <c r="J39" t="s">
        <v>17</v>
      </c>
      <c r="K39" s="23">
        <v>-1100</v>
      </c>
      <c r="L39" t="s">
        <v>24</v>
      </c>
      <c r="M39" t="s">
        <v>25</v>
      </c>
    </row>
    <row r="40" spans="1:13" hidden="1" x14ac:dyDescent="0.25">
      <c r="A40" s="5">
        <v>45645</v>
      </c>
      <c r="B40" t="s">
        <v>50</v>
      </c>
      <c r="C40" t="s">
        <v>259</v>
      </c>
      <c r="D40" t="s">
        <v>52</v>
      </c>
      <c r="E40" t="str">
        <f t="shared" si="1"/>
        <v>ADM</v>
      </c>
      <c r="F40" t="s">
        <v>53</v>
      </c>
      <c r="G40" t="s">
        <v>53</v>
      </c>
      <c r="J40" t="s">
        <v>17</v>
      </c>
      <c r="K40" s="23">
        <v>-1412</v>
      </c>
      <c r="L40" t="s">
        <v>24</v>
      </c>
      <c r="M40" t="s">
        <v>25</v>
      </c>
    </row>
    <row r="41" spans="1:13" hidden="1" x14ac:dyDescent="0.25">
      <c r="A41" s="5">
        <v>45645</v>
      </c>
      <c r="B41" t="s">
        <v>67</v>
      </c>
      <c r="C41" t="s">
        <v>260</v>
      </c>
      <c r="D41" t="s">
        <v>215</v>
      </c>
      <c r="E41" t="str">
        <f t="shared" si="1"/>
        <v>COM</v>
      </c>
      <c r="F41" t="s">
        <v>261</v>
      </c>
      <c r="G41" t="s">
        <v>261</v>
      </c>
      <c r="J41" t="s">
        <v>17</v>
      </c>
      <c r="K41" s="23">
        <v>-165</v>
      </c>
      <c r="L41" t="s">
        <v>24</v>
      </c>
      <c r="M41" t="s">
        <v>25</v>
      </c>
    </row>
    <row r="42" spans="1:13" hidden="1" x14ac:dyDescent="0.25">
      <c r="A42" s="5">
        <v>45646</v>
      </c>
      <c r="B42" t="s">
        <v>50</v>
      </c>
      <c r="C42" t="s">
        <v>153</v>
      </c>
      <c r="D42" t="s">
        <v>154</v>
      </c>
      <c r="E42" t="str">
        <f t="shared" si="1"/>
        <v>ADM</v>
      </c>
      <c r="F42" t="s">
        <v>155</v>
      </c>
      <c r="G42" t="s">
        <v>155</v>
      </c>
      <c r="J42" t="s">
        <v>17</v>
      </c>
      <c r="K42" s="23">
        <v>-106.3</v>
      </c>
      <c r="L42" t="s">
        <v>24</v>
      </c>
      <c r="M42" t="s">
        <v>25</v>
      </c>
    </row>
    <row r="43" spans="1:13" hidden="1" x14ac:dyDescent="0.25">
      <c r="A43" s="5">
        <v>45646</v>
      </c>
      <c r="B43" t="s">
        <v>50</v>
      </c>
      <c r="C43" t="s">
        <v>158</v>
      </c>
      <c r="D43" t="s">
        <v>159</v>
      </c>
      <c r="E43" t="str">
        <f t="shared" si="1"/>
        <v>PES</v>
      </c>
      <c r="F43" t="s">
        <v>160</v>
      </c>
      <c r="G43" t="s">
        <v>160</v>
      </c>
      <c r="J43" t="s">
        <v>17</v>
      </c>
      <c r="K43" s="23">
        <v>-392.19</v>
      </c>
      <c r="L43" t="s">
        <v>24</v>
      </c>
      <c r="M43" t="s">
        <v>25</v>
      </c>
    </row>
    <row r="44" spans="1:13" hidden="1" x14ac:dyDescent="0.25">
      <c r="A44" s="5">
        <v>45646</v>
      </c>
      <c r="B44" t="s">
        <v>50</v>
      </c>
      <c r="C44" t="s">
        <v>170</v>
      </c>
      <c r="D44" t="s">
        <v>56</v>
      </c>
      <c r="E44" t="str">
        <f t="shared" si="1"/>
        <v>Honorários</v>
      </c>
      <c r="F44" t="s">
        <v>171</v>
      </c>
      <c r="G44" t="s">
        <v>171</v>
      </c>
      <c r="I44" t="s">
        <v>172</v>
      </c>
      <c r="J44" t="s">
        <v>17</v>
      </c>
      <c r="K44" s="23">
        <v>119.35</v>
      </c>
      <c r="L44" t="s">
        <v>18</v>
      </c>
      <c r="M44" t="s">
        <v>19</v>
      </c>
    </row>
    <row r="45" spans="1:13" hidden="1" x14ac:dyDescent="0.25">
      <c r="A45" s="5">
        <v>45646</v>
      </c>
      <c r="B45" t="s">
        <v>50</v>
      </c>
      <c r="C45" t="s">
        <v>262</v>
      </c>
      <c r="D45" t="s">
        <v>198</v>
      </c>
      <c r="E45" t="str">
        <f t="shared" si="1"/>
        <v>PES</v>
      </c>
      <c r="F45" t="s">
        <v>199</v>
      </c>
      <c r="G45" t="s">
        <v>199</v>
      </c>
      <c r="J45" t="s">
        <v>17</v>
      </c>
      <c r="K45" s="23">
        <v>-1378.81</v>
      </c>
      <c r="L45" t="s">
        <v>24</v>
      </c>
      <c r="M45" t="s">
        <v>25</v>
      </c>
    </row>
    <row r="46" spans="1:13" hidden="1" x14ac:dyDescent="0.25">
      <c r="A46" s="5">
        <v>45646</v>
      </c>
      <c r="B46" t="s">
        <v>50</v>
      </c>
      <c r="C46" t="s">
        <v>263</v>
      </c>
      <c r="D46" t="s">
        <v>166</v>
      </c>
      <c r="E46" t="str">
        <f t="shared" si="1"/>
        <v>PES</v>
      </c>
      <c r="F46" t="s">
        <v>167</v>
      </c>
      <c r="G46" t="s">
        <v>167</v>
      </c>
      <c r="J46" t="s">
        <v>17</v>
      </c>
      <c r="K46" s="23">
        <v>-864.45</v>
      </c>
      <c r="L46" t="s">
        <v>24</v>
      </c>
      <c r="M46" t="s">
        <v>25</v>
      </c>
    </row>
    <row r="47" spans="1:13" hidden="1" x14ac:dyDescent="0.25">
      <c r="A47" s="5">
        <v>45646</v>
      </c>
      <c r="B47" t="s">
        <v>50</v>
      </c>
      <c r="C47" t="s">
        <v>151</v>
      </c>
      <c r="D47" t="s">
        <v>152</v>
      </c>
      <c r="E47" t="str">
        <f t="shared" si="1"/>
        <v>VAR</v>
      </c>
      <c r="F47" t="s">
        <v>151</v>
      </c>
      <c r="G47" t="s">
        <v>151</v>
      </c>
      <c r="J47" t="s">
        <v>17</v>
      </c>
      <c r="K47" s="23">
        <v>-1623.52</v>
      </c>
      <c r="L47" t="s">
        <v>24</v>
      </c>
      <c r="M47" t="s">
        <v>25</v>
      </c>
    </row>
    <row r="48" spans="1:13" hidden="1" x14ac:dyDescent="0.25">
      <c r="A48" s="5">
        <v>45646</v>
      </c>
      <c r="B48" t="s">
        <v>50</v>
      </c>
      <c r="C48" t="s">
        <v>165</v>
      </c>
      <c r="D48" t="s">
        <v>166</v>
      </c>
      <c r="E48" t="str">
        <f t="shared" si="1"/>
        <v>PES</v>
      </c>
      <c r="F48" t="s">
        <v>167</v>
      </c>
      <c r="G48" t="s">
        <v>167</v>
      </c>
      <c r="J48" t="s">
        <v>17</v>
      </c>
      <c r="K48" s="23">
        <v>-1980.52</v>
      </c>
      <c r="L48" t="s">
        <v>24</v>
      </c>
      <c r="M48" t="s">
        <v>25</v>
      </c>
    </row>
    <row r="49" spans="1:13" hidden="1" x14ac:dyDescent="0.25">
      <c r="A49" s="5">
        <v>45646</v>
      </c>
      <c r="B49" t="s">
        <v>67</v>
      </c>
      <c r="C49" t="s">
        <v>98</v>
      </c>
      <c r="D49" t="s">
        <v>99</v>
      </c>
      <c r="E49" t="str">
        <f t="shared" si="1"/>
        <v>ADM</v>
      </c>
      <c r="F49" t="s">
        <v>100</v>
      </c>
      <c r="G49" t="s">
        <v>100</v>
      </c>
      <c r="J49" t="s">
        <v>17</v>
      </c>
      <c r="K49" s="23">
        <v>-340</v>
      </c>
      <c r="L49" t="s">
        <v>24</v>
      </c>
      <c r="M49" t="s">
        <v>25</v>
      </c>
    </row>
    <row r="50" spans="1:13" hidden="1" x14ac:dyDescent="0.25">
      <c r="A50" s="5">
        <v>45649</v>
      </c>
      <c r="B50" t="s">
        <v>67</v>
      </c>
      <c r="C50" t="s">
        <v>178</v>
      </c>
      <c r="D50" t="s">
        <v>56</v>
      </c>
      <c r="E50" t="str">
        <f t="shared" si="1"/>
        <v>Honorários</v>
      </c>
      <c r="F50" t="s">
        <v>179</v>
      </c>
      <c r="G50" t="s">
        <v>179</v>
      </c>
      <c r="I50" t="s">
        <v>180</v>
      </c>
      <c r="J50" t="s">
        <v>17</v>
      </c>
      <c r="K50" s="23">
        <v>150</v>
      </c>
      <c r="L50" t="s">
        <v>18</v>
      </c>
      <c r="M50" t="s">
        <v>19</v>
      </c>
    </row>
    <row r="51" spans="1:13" hidden="1" x14ac:dyDescent="0.25">
      <c r="A51" s="5">
        <v>45653</v>
      </c>
      <c r="B51" t="s">
        <v>54</v>
      </c>
      <c r="C51" t="s">
        <v>264</v>
      </c>
      <c r="D51" t="s">
        <v>56</v>
      </c>
      <c r="E51" t="str">
        <f t="shared" si="1"/>
        <v>Honorários</v>
      </c>
      <c r="F51" t="s">
        <v>265</v>
      </c>
      <c r="G51" t="s">
        <v>265</v>
      </c>
      <c r="I51" t="s">
        <v>75</v>
      </c>
      <c r="J51" t="s">
        <v>17</v>
      </c>
      <c r="K51" s="23">
        <v>338.88</v>
      </c>
      <c r="L51" t="s">
        <v>18</v>
      </c>
      <c r="M51" t="s">
        <v>19</v>
      </c>
    </row>
    <row r="52" spans="1:13" hidden="1" x14ac:dyDescent="0.25">
      <c r="A52" s="5">
        <v>45653</v>
      </c>
      <c r="B52" t="s">
        <v>54</v>
      </c>
      <c r="C52" t="s">
        <v>186</v>
      </c>
      <c r="D52" t="s">
        <v>56</v>
      </c>
      <c r="E52" t="str">
        <f t="shared" si="1"/>
        <v>Honorários</v>
      </c>
      <c r="F52" t="s">
        <v>187</v>
      </c>
      <c r="G52" t="s">
        <v>187</v>
      </c>
      <c r="I52" t="s">
        <v>93</v>
      </c>
      <c r="J52" t="s">
        <v>17</v>
      </c>
      <c r="K52" s="23">
        <v>282.39999999999998</v>
      </c>
      <c r="L52" t="s">
        <v>18</v>
      </c>
      <c r="M52" t="s">
        <v>19</v>
      </c>
    </row>
    <row r="53" spans="1:13" hidden="1" x14ac:dyDescent="0.25">
      <c r="A53" s="5">
        <v>45653</v>
      </c>
      <c r="B53" t="s">
        <v>50</v>
      </c>
      <c r="C53" t="s">
        <v>266</v>
      </c>
      <c r="D53" t="s">
        <v>56</v>
      </c>
      <c r="E53" t="str">
        <f t="shared" si="1"/>
        <v>Honorários</v>
      </c>
      <c r="F53" t="s">
        <v>194</v>
      </c>
      <c r="G53" t="s">
        <v>194</v>
      </c>
      <c r="I53" t="s">
        <v>196</v>
      </c>
      <c r="J53" t="s">
        <v>17</v>
      </c>
      <c r="K53" s="23">
        <v>400</v>
      </c>
      <c r="L53" t="s">
        <v>18</v>
      </c>
      <c r="M53" t="s">
        <v>19</v>
      </c>
    </row>
    <row r="54" spans="1:13" hidden="1" x14ac:dyDescent="0.25">
      <c r="A54" s="5">
        <v>45653</v>
      </c>
      <c r="B54" t="s">
        <v>54</v>
      </c>
      <c r="C54" t="s">
        <v>267</v>
      </c>
      <c r="D54" t="s">
        <v>56</v>
      </c>
      <c r="E54" t="str">
        <f t="shared" si="1"/>
        <v>Honorários</v>
      </c>
      <c r="F54" t="s">
        <v>268</v>
      </c>
      <c r="G54" t="s">
        <v>268</v>
      </c>
      <c r="I54" t="s">
        <v>82</v>
      </c>
      <c r="J54" t="s">
        <v>17</v>
      </c>
      <c r="K54" s="23">
        <v>1962</v>
      </c>
      <c r="L54" t="s">
        <v>18</v>
      </c>
      <c r="M54" t="s">
        <v>19</v>
      </c>
    </row>
    <row r="55" spans="1:13" hidden="1" x14ac:dyDescent="0.25">
      <c r="A55" s="5">
        <v>45653</v>
      </c>
      <c r="B55" t="s">
        <v>50</v>
      </c>
      <c r="C55" t="s">
        <v>269</v>
      </c>
      <c r="D55" t="s">
        <v>191</v>
      </c>
      <c r="E55" t="str">
        <f t="shared" si="1"/>
        <v>ADM</v>
      </c>
      <c r="F55" t="s">
        <v>192</v>
      </c>
      <c r="G55" t="s">
        <v>192</v>
      </c>
      <c r="J55" t="s">
        <v>17</v>
      </c>
      <c r="K55" s="23">
        <v>-1168.73</v>
      </c>
      <c r="L55" t="s">
        <v>24</v>
      </c>
      <c r="M55" t="s">
        <v>25</v>
      </c>
    </row>
    <row r="56" spans="1:13" hidden="1" x14ac:dyDescent="0.25">
      <c r="A56" s="5">
        <v>45656</v>
      </c>
      <c r="B56" t="s">
        <v>67</v>
      </c>
      <c r="C56" t="s">
        <v>270</v>
      </c>
      <c r="D56" t="s">
        <v>201</v>
      </c>
      <c r="E56" t="str">
        <f t="shared" si="1"/>
        <v>DIR</v>
      </c>
      <c r="F56" t="s">
        <v>67</v>
      </c>
      <c r="G56" t="s">
        <v>67</v>
      </c>
      <c r="J56" t="s">
        <v>17</v>
      </c>
      <c r="K56" s="23">
        <v>-8743.32</v>
      </c>
      <c r="L56" t="s">
        <v>24</v>
      </c>
      <c r="M56" t="s">
        <v>25</v>
      </c>
    </row>
    <row r="57" spans="1:13" hidden="1" x14ac:dyDescent="0.25">
      <c r="A57" s="5">
        <v>45656</v>
      </c>
      <c r="B57" t="s">
        <v>67</v>
      </c>
      <c r="C57" t="s">
        <v>270</v>
      </c>
      <c r="D57" t="s">
        <v>201</v>
      </c>
      <c r="E57" t="str">
        <f t="shared" si="1"/>
        <v>DIR</v>
      </c>
      <c r="F57" t="s">
        <v>54</v>
      </c>
      <c r="G57" t="s">
        <v>54</v>
      </c>
      <c r="J57" t="s">
        <v>17</v>
      </c>
      <c r="K57" s="23">
        <v>-13743.32</v>
      </c>
      <c r="L57" t="s">
        <v>24</v>
      </c>
      <c r="M57" t="s">
        <v>25</v>
      </c>
    </row>
    <row r="58" spans="1:13" hidden="1" x14ac:dyDescent="0.25">
      <c r="A58" s="5">
        <v>45657</v>
      </c>
      <c r="B58" t="s">
        <v>50</v>
      </c>
      <c r="C58" t="s">
        <v>271</v>
      </c>
      <c r="D58" t="s">
        <v>128</v>
      </c>
      <c r="E58" t="str">
        <f t="shared" si="1"/>
        <v>PES</v>
      </c>
      <c r="F58" t="s">
        <v>205</v>
      </c>
      <c r="G58" t="s">
        <v>205</v>
      </c>
      <c r="J58" t="s">
        <v>17</v>
      </c>
      <c r="K58" s="23">
        <v>-1200</v>
      </c>
      <c r="L58" t="s">
        <v>24</v>
      </c>
      <c r="M58" t="s">
        <v>25</v>
      </c>
    </row>
    <row r="59" spans="1:13" hidden="1" x14ac:dyDescent="0.25">
      <c r="A59" s="5">
        <v>45657</v>
      </c>
      <c r="B59" t="s">
        <v>50</v>
      </c>
      <c r="C59" t="s">
        <v>272</v>
      </c>
      <c r="D59" t="s">
        <v>198</v>
      </c>
      <c r="E59" t="str">
        <f t="shared" si="1"/>
        <v>PES</v>
      </c>
      <c r="F59" t="s">
        <v>199</v>
      </c>
      <c r="G59" t="s">
        <v>199</v>
      </c>
      <c r="J59" t="s">
        <v>17</v>
      </c>
      <c r="K59" s="23">
        <v>-3191.28</v>
      </c>
      <c r="L59" t="s">
        <v>24</v>
      </c>
      <c r="M59" t="s">
        <v>25</v>
      </c>
    </row>
    <row r="60" spans="1:13" hidden="1" x14ac:dyDescent="0.25">
      <c r="A60" s="5">
        <v>45657</v>
      </c>
      <c r="B60" t="s">
        <v>50</v>
      </c>
      <c r="C60" t="s">
        <v>273</v>
      </c>
      <c r="D60" t="s">
        <v>207</v>
      </c>
      <c r="E60" t="str">
        <f t="shared" si="1"/>
        <v>DIR</v>
      </c>
      <c r="F60" t="s">
        <v>54</v>
      </c>
      <c r="G60" t="s">
        <v>54</v>
      </c>
      <c r="J60" t="s">
        <v>17</v>
      </c>
      <c r="K60" s="23">
        <v>-1256.68</v>
      </c>
      <c r="L60" t="s">
        <v>24</v>
      </c>
      <c r="M60" t="s">
        <v>25</v>
      </c>
    </row>
    <row r="61" spans="1:13" hidden="1" x14ac:dyDescent="0.25">
      <c r="A61" s="5">
        <v>45657</v>
      </c>
      <c r="B61" t="s">
        <v>67</v>
      </c>
      <c r="C61" t="s">
        <v>272</v>
      </c>
      <c r="D61" t="s">
        <v>198</v>
      </c>
      <c r="E61" t="str">
        <f t="shared" si="1"/>
        <v>PES</v>
      </c>
      <c r="F61" t="s">
        <v>209</v>
      </c>
      <c r="G61" t="s">
        <v>209</v>
      </c>
      <c r="J61" t="s">
        <v>17</v>
      </c>
      <c r="K61" s="23">
        <v>-2200</v>
      </c>
      <c r="L61" t="s">
        <v>24</v>
      </c>
      <c r="M61" t="s">
        <v>25</v>
      </c>
    </row>
    <row r="62" spans="1:13" hidden="1" x14ac:dyDescent="0.25">
      <c r="A62" s="5">
        <v>45657</v>
      </c>
      <c r="B62" t="s">
        <v>50</v>
      </c>
      <c r="C62" t="s">
        <v>273</v>
      </c>
      <c r="D62" t="s">
        <v>207</v>
      </c>
      <c r="E62" t="str">
        <f t="shared" si="1"/>
        <v>DIR</v>
      </c>
      <c r="F62" t="s">
        <v>67</v>
      </c>
      <c r="G62" t="s">
        <v>67</v>
      </c>
      <c r="J62" t="s">
        <v>17</v>
      </c>
      <c r="K62" s="23">
        <v>-1256.68</v>
      </c>
      <c r="L62" t="s">
        <v>24</v>
      </c>
      <c r="M62" t="s">
        <v>25</v>
      </c>
    </row>
    <row r="63" spans="1:13" hidden="1" x14ac:dyDescent="0.25">
      <c r="A63" s="5">
        <v>45657</v>
      </c>
      <c r="B63" t="s">
        <v>50</v>
      </c>
      <c r="C63" t="s">
        <v>271</v>
      </c>
      <c r="D63" t="s">
        <v>128</v>
      </c>
      <c r="E63" t="str">
        <f t="shared" si="1"/>
        <v>PES</v>
      </c>
      <c r="F63" t="s">
        <v>208</v>
      </c>
      <c r="G63" t="s">
        <v>208</v>
      </c>
      <c r="J63" t="s">
        <v>17</v>
      </c>
      <c r="K63" s="23">
        <v>-1200</v>
      </c>
      <c r="L63" t="s">
        <v>24</v>
      </c>
      <c r="M63" t="s">
        <v>25</v>
      </c>
    </row>
    <row r="64" spans="1:13" hidden="1" x14ac:dyDescent="0.25">
      <c r="A64" s="5">
        <v>45658</v>
      </c>
      <c r="B64" t="s">
        <v>13</v>
      </c>
      <c r="C64" t="s">
        <v>14</v>
      </c>
      <c r="D64" t="s">
        <v>15</v>
      </c>
      <c r="E64" t="str">
        <f t="shared" si="1"/>
        <v>ADM</v>
      </c>
      <c r="F64" t="s">
        <v>16</v>
      </c>
      <c r="G64" t="s">
        <v>16</v>
      </c>
      <c r="J64" t="s">
        <v>17</v>
      </c>
      <c r="K64" s="23">
        <v>1012.15</v>
      </c>
      <c r="L64" t="s">
        <v>18</v>
      </c>
    </row>
    <row r="65" spans="1:13" hidden="1" x14ac:dyDescent="0.25">
      <c r="A65" s="5">
        <v>45658</v>
      </c>
      <c r="B65" t="s">
        <v>20</v>
      </c>
      <c r="C65" t="s">
        <v>21</v>
      </c>
      <c r="D65" t="s">
        <v>22</v>
      </c>
      <c r="E65" t="str">
        <f t="shared" si="1"/>
        <v>INV</v>
      </c>
      <c r="F65" t="s">
        <v>23</v>
      </c>
      <c r="G65" t="s">
        <v>23</v>
      </c>
      <c r="J65" t="s">
        <v>17</v>
      </c>
      <c r="K65" s="23">
        <v>-233.15</v>
      </c>
      <c r="L65" t="s">
        <v>24</v>
      </c>
      <c r="M65" t="s">
        <v>25</v>
      </c>
    </row>
    <row r="66" spans="1:13" hidden="1" x14ac:dyDescent="0.25">
      <c r="A66" s="5">
        <v>45658</v>
      </c>
      <c r="B66" t="s">
        <v>20</v>
      </c>
      <c r="C66" t="s">
        <v>26</v>
      </c>
      <c r="D66" t="s">
        <v>215</v>
      </c>
      <c r="E66" t="str">
        <f t="shared" si="1"/>
        <v>COM</v>
      </c>
      <c r="F66" t="s">
        <v>23</v>
      </c>
      <c r="G66" t="s">
        <v>23</v>
      </c>
      <c r="J66" t="s">
        <v>17</v>
      </c>
      <c r="K66" s="23">
        <v>-126.7</v>
      </c>
      <c r="L66" t="s">
        <v>24</v>
      </c>
      <c r="M66" t="s">
        <v>25</v>
      </c>
    </row>
    <row r="67" spans="1:13" hidden="1" x14ac:dyDescent="0.25">
      <c r="A67" s="5">
        <v>45658</v>
      </c>
      <c r="B67" t="s">
        <v>20</v>
      </c>
      <c r="C67" t="s">
        <v>27</v>
      </c>
      <c r="D67" t="s">
        <v>28</v>
      </c>
      <c r="E67" t="str">
        <f t="shared" si="1"/>
        <v>ADM</v>
      </c>
      <c r="F67" t="s">
        <v>23</v>
      </c>
      <c r="G67" t="s">
        <v>23</v>
      </c>
      <c r="J67" t="s">
        <v>17</v>
      </c>
      <c r="K67" s="23">
        <v>-26</v>
      </c>
      <c r="L67" t="s">
        <v>24</v>
      </c>
      <c r="M67" t="s">
        <v>25</v>
      </c>
    </row>
    <row r="68" spans="1:13" hidden="1" x14ac:dyDescent="0.25">
      <c r="A68" s="5">
        <v>45658</v>
      </c>
      <c r="B68" t="s">
        <v>13</v>
      </c>
      <c r="C68" t="s">
        <v>29</v>
      </c>
      <c r="D68" t="s">
        <v>30</v>
      </c>
      <c r="E68" t="str">
        <f t="shared" si="1"/>
        <v>ADM</v>
      </c>
      <c r="F68" t="s">
        <v>16</v>
      </c>
      <c r="G68" t="s">
        <v>16</v>
      </c>
      <c r="J68" t="s">
        <v>17</v>
      </c>
      <c r="K68" s="23">
        <v>-456.75</v>
      </c>
      <c r="L68" t="s">
        <v>24</v>
      </c>
      <c r="M68" t="s">
        <v>25</v>
      </c>
    </row>
    <row r="69" spans="1:13" hidden="1" x14ac:dyDescent="0.25">
      <c r="A69" s="5">
        <v>45658</v>
      </c>
      <c r="B69" t="s">
        <v>20</v>
      </c>
      <c r="C69" t="s">
        <v>31</v>
      </c>
      <c r="D69" t="s">
        <v>28</v>
      </c>
      <c r="E69" t="str">
        <f t="shared" si="1"/>
        <v>ADM</v>
      </c>
      <c r="F69" t="s">
        <v>23</v>
      </c>
      <c r="G69" t="s">
        <v>23</v>
      </c>
      <c r="J69" t="s">
        <v>17</v>
      </c>
      <c r="K69" s="23">
        <v>-1212.29</v>
      </c>
      <c r="L69" t="s">
        <v>24</v>
      </c>
      <c r="M69" t="s">
        <v>25</v>
      </c>
    </row>
    <row r="70" spans="1:13" hidden="1" x14ac:dyDescent="0.25">
      <c r="A70" s="5">
        <v>45658</v>
      </c>
      <c r="B70" t="s">
        <v>20</v>
      </c>
      <c r="C70" t="s">
        <v>32</v>
      </c>
      <c r="D70" t="s">
        <v>30</v>
      </c>
      <c r="E70" t="str">
        <f t="shared" si="1"/>
        <v>ADM</v>
      </c>
      <c r="F70" t="s">
        <v>23</v>
      </c>
      <c r="G70" t="s">
        <v>23</v>
      </c>
      <c r="J70" t="s">
        <v>17</v>
      </c>
      <c r="K70" s="23">
        <v>-58.9</v>
      </c>
      <c r="L70" t="s">
        <v>24</v>
      </c>
      <c r="M70" t="s">
        <v>25</v>
      </c>
    </row>
    <row r="71" spans="1:13" hidden="1" x14ac:dyDescent="0.25">
      <c r="A71" s="5">
        <v>45658</v>
      </c>
      <c r="B71" t="s">
        <v>33</v>
      </c>
      <c r="C71" t="s">
        <v>34</v>
      </c>
      <c r="D71" t="s">
        <v>22</v>
      </c>
      <c r="E71" t="str">
        <f t="shared" si="1"/>
        <v>INV</v>
      </c>
      <c r="F71" t="s">
        <v>23</v>
      </c>
      <c r="G71" t="s">
        <v>23</v>
      </c>
      <c r="J71" t="s">
        <v>17</v>
      </c>
      <c r="K71" s="23">
        <v>-308.25</v>
      </c>
      <c r="L71" t="s">
        <v>24</v>
      </c>
      <c r="M71" t="s">
        <v>25</v>
      </c>
    </row>
    <row r="72" spans="1:13" hidden="1" x14ac:dyDescent="0.25">
      <c r="A72" s="5">
        <v>45658</v>
      </c>
      <c r="B72" t="s">
        <v>13</v>
      </c>
      <c r="C72" t="s">
        <v>35</v>
      </c>
      <c r="D72" t="s">
        <v>30</v>
      </c>
      <c r="E72" t="str">
        <f t="shared" si="1"/>
        <v>ADM</v>
      </c>
      <c r="F72" t="s">
        <v>16</v>
      </c>
      <c r="G72" t="s">
        <v>16</v>
      </c>
      <c r="J72" t="s">
        <v>17</v>
      </c>
      <c r="K72" s="23">
        <v>-120.29</v>
      </c>
      <c r="L72" t="s">
        <v>24</v>
      </c>
      <c r="M72" t="s">
        <v>25</v>
      </c>
    </row>
    <row r="73" spans="1:13" hidden="1" x14ac:dyDescent="0.25">
      <c r="A73" s="5">
        <v>45658</v>
      </c>
      <c r="B73" t="s">
        <v>13</v>
      </c>
      <c r="C73" t="s">
        <v>36</v>
      </c>
      <c r="D73" s="7" t="s">
        <v>30</v>
      </c>
      <c r="E73" t="str">
        <f t="shared" si="1"/>
        <v>ADM</v>
      </c>
      <c r="F73" t="s">
        <v>16</v>
      </c>
      <c r="G73" t="s">
        <v>16</v>
      </c>
      <c r="J73" t="s">
        <v>17</v>
      </c>
      <c r="K73" s="23">
        <v>-59.9</v>
      </c>
      <c r="L73" t="s">
        <v>24</v>
      </c>
      <c r="M73" t="s">
        <v>25</v>
      </c>
    </row>
    <row r="74" spans="1:13" hidden="1" x14ac:dyDescent="0.25">
      <c r="A74" s="5">
        <v>45658</v>
      </c>
      <c r="B74" t="s">
        <v>20</v>
      </c>
      <c r="C74" t="s">
        <v>37</v>
      </c>
      <c r="D74" t="s">
        <v>30</v>
      </c>
      <c r="E74" t="str">
        <f t="shared" si="1"/>
        <v>ADM</v>
      </c>
      <c r="F74" t="s">
        <v>23</v>
      </c>
      <c r="G74" t="s">
        <v>23</v>
      </c>
      <c r="J74" t="s">
        <v>17</v>
      </c>
      <c r="K74" s="23">
        <v>-80.91</v>
      </c>
      <c r="L74" t="s">
        <v>24</v>
      </c>
      <c r="M74" t="s">
        <v>25</v>
      </c>
    </row>
    <row r="75" spans="1:13" hidden="1" x14ac:dyDescent="0.25">
      <c r="A75" s="5">
        <v>45658</v>
      </c>
      <c r="B75" t="s">
        <v>20</v>
      </c>
      <c r="C75" t="s">
        <v>38</v>
      </c>
      <c r="D75" t="s">
        <v>39</v>
      </c>
      <c r="E75" t="str">
        <f t="shared" si="1"/>
        <v>INV</v>
      </c>
      <c r="F75" t="s">
        <v>23</v>
      </c>
      <c r="G75" t="s">
        <v>23</v>
      </c>
      <c r="J75" t="s">
        <v>17</v>
      </c>
      <c r="K75" s="23">
        <v>-292.89</v>
      </c>
      <c r="L75" t="s">
        <v>24</v>
      </c>
      <c r="M75" t="s">
        <v>25</v>
      </c>
    </row>
    <row r="76" spans="1:13" hidden="1" x14ac:dyDescent="0.25">
      <c r="A76" s="5">
        <v>45658</v>
      </c>
      <c r="B76" t="s">
        <v>20</v>
      </c>
      <c r="C76" t="s">
        <v>40</v>
      </c>
      <c r="D76" t="s">
        <v>30</v>
      </c>
      <c r="E76" t="str">
        <f t="shared" si="1"/>
        <v>ADM</v>
      </c>
      <c r="F76" t="s">
        <v>23</v>
      </c>
      <c r="G76" t="s">
        <v>23</v>
      </c>
      <c r="J76" t="s">
        <v>17</v>
      </c>
      <c r="K76" s="23">
        <v>-19.899999999999999</v>
      </c>
      <c r="L76" t="s">
        <v>24</v>
      </c>
      <c r="M76" t="s">
        <v>25</v>
      </c>
    </row>
    <row r="77" spans="1:13" hidden="1" x14ac:dyDescent="0.25">
      <c r="A77" s="5">
        <v>45658</v>
      </c>
      <c r="B77" t="s">
        <v>20</v>
      </c>
      <c r="C77" t="s">
        <v>32</v>
      </c>
      <c r="D77" t="s">
        <v>30</v>
      </c>
      <c r="E77" t="str">
        <f t="shared" si="1"/>
        <v>ADM</v>
      </c>
      <c r="F77" t="s">
        <v>23</v>
      </c>
      <c r="G77" t="s">
        <v>23</v>
      </c>
      <c r="J77" t="s">
        <v>17</v>
      </c>
      <c r="K77" s="23">
        <v>-58.9</v>
      </c>
      <c r="L77" t="s">
        <v>24</v>
      </c>
      <c r="M77" t="s">
        <v>25</v>
      </c>
    </row>
    <row r="78" spans="1:13" hidden="1" x14ac:dyDescent="0.25">
      <c r="A78" s="5">
        <v>45658</v>
      </c>
      <c r="B78" t="s">
        <v>20</v>
      </c>
      <c r="C78" t="s">
        <v>41</v>
      </c>
      <c r="D78" t="s">
        <v>30</v>
      </c>
      <c r="E78" t="str">
        <f t="shared" si="1"/>
        <v>ADM</v>
      </c>
      <c r="F78" t="s">
        <v>23</v>
      </c>
      <c r="G78" t="s">
        <v>23</v>
      </c>
      <c r="J78" t="s">
        <v>17</v>
      </c>
      <c r="K78" s="23">
        <v>-38.99</v>
      </c>
      <c r="L78" t="s">
        <v>24</v>
      </c>
      <c r="M78" t="s">
        <v>25</v>
      </c>
    </row>
    <row r="79" spans="1:13" hidden="1" x14ac:dyDescent="0.25">
      <c r="A79" s="5">
        <v>45658</v>
      </c>
      <c r="B79" t="s">
        <v>20</v>
      </c>
      <c r="C79" t="s">
        <v>42</v>
      </c>
      <c r="D79" t="s">
        <v>28</v>
      </c>
      <c r="E79" t="str">
        <f t="shared" si="1"/>
        <v>ADM</v>
      </c>
      <c r="F79" t="s">
        <v>23</v>
      </c>
      <c r="G79" t="s">
        <v>23</v>
      </c>
      <c r="J79" t="s">
        <v>17</v>
      </c>
      <c r="K79" s="23">
        <v>-170.99</v>
      </c>
      <c r="L79" t="s">
        <v>24</v>
      </c>
      <c r="M79" t="s">
        <v>25</v>
      </c>
    </row>
    <row r="80" spans="1:13" hidden="1" x14ac:dyDescent="0.25">
      <c r="A80" s="5">
        <v>45658</v>
      </c>
      <c r="B80" t="s">
        <v>33</v>
      </c>
      <c r="C80" t="s">
        <v>43</v>
      </c>
      <c r="D80" t="s">
        <v>15</v>
      </c>
      <c r="E80" t="str">
        <f t="shared" si="1"/>
        <v>ADM</v>
      </c>
      <c r="F80" t="s">
        <v>23</v>
      </c>
      <c r="G80" t="s">
        <v>23</v>
      </c>
      <c r="J80" t="s">
        <v>17</v>
      </c>
      <c r="K80" s="23">
        <v>308.25</v>
      </c>
      <c r="L80" t="s">
        <v>18</v>
      </c>
    </row>
    <row r="81" spans="1:13" hidden="1" x14ac:dyDescent="0.25">
      <c r="A81" s="5">
        <v>45658</v>
      </c>
      <c r="B81" t="s">
        <v>20</v>
      </c>
      <c r="C81" t="s">
        <v>44</v>
      </c>
      <c r="D81" t="s">
        <v>28</v>
      </c>
      <c r="E81" t="str">
        <f t="shared" ref="E81:E144" si="2">IF(OR(D81="Honorários",D81="Despesa do cliente"),D81,LEFT(D81,3))</f>
        <v>ADM</v>
      </c>
      <c r="F81" t="s">
        <v>23</v>
      </c>
      <c r="G81" t="s">
        <v>23</v>
      </c>
      <c r="J81" t="s">
        <v>17</v>
      </c>
      <c r="K81" s="23">
        <v>-725</v>
      </c>
      <c r="L81" t="s">
        <v>24</v>
      </c>
      <c r="M81" t="s">
        <v>25</v>
      </c>
    </row>
    <row r="82" spans="1:13" hidden="1" x14ac:dyDescent="0.25">
      <c r="A82" s="5">
        <v>45658</v>
      </c>
      <c r="B82" t="s">
        <v>20</v>
      </c>
      <c r="C82" t="s">
        <v>45</v>
      </c>
      <c r="D82" t="s">
        <v>15</v>
      </c>
      <c r="E82" t="str">
        <f t="shared" si="2"/>
        <v>ADM</v>
      </c>
      <c r="F82" t="s">
        <v>23</v>
      </c>
      <c r="G82" t="s">
        <v>23</v>
      </c>
      <c r="J82" t="s">
        <v>17</v>
      </c>
      <c r="K82" s="23">
        <v>3379.88</v>
      </c>
      <c r="L82" t="s">
        <v>18</v>
      </c>
    </row>
    <row r="83" spans="1:13" hidden="1" x14ac:dyDescent="0.25">
      <c r="A83" s="5">
        <v>45658</v>
      </c>
      <c r="B83" t="s">
        <v>20</v>
      </c>
      <c r="C83" t="s">
        <v>46</v>
      </c>
      <c r="D83" t="s">
        <v>30</v>
      </c>
      <c r="E83" t="str">
        <f t="shared" si="2"/>
        <v>ADM</v>
      </c>
      <c r="F83" t="s">
        <v>23</v>
      </c>
      <c r="G83" t="s">
        <v>23</v>
      </c>
      <c r="J83" t="s">
        <v>17</v>
      </c>
      <c r="K83" s="23">
        <v>-99.9</v>
      </c>
      <c r="L83" t="s">
        <v>24</v>
      </c>
      <c r="M83" t="s">
        <v>25</v>
      </c>
    </row>
    <row r="84" spans="1:13" hidden="1" x14ac:dyDescent="0.25">
      <c r="A84" s="5">
        <v>45658</v>
      </c>
      <c r="B84" t="s">
        <v>13</v>
      </c>
      <c r="C84" t="s">
        <v>47</v>
      </c>
      <c r="D84" s="7" t="s">
        <v>30</v>
      </c>
      <c r="E84" t="str">
        <f t="shared" si="2"/>
        <v>ADM</v>
      </c>
      <c r="F84" t="s">
        <v>16</v>
      </c>
      <c r="G84" t="s">
        <v>16</v>
      </c>
      <c r="J84" t="s">
        <v>17</v>
      </c>
      <c r="K84" s="23">
        <v>-249.21</v>
      </c>
      <c r="L84" t="s">
        <v>24</v>
      </c>
      <c r="M84" t="s">
        <v>25</v>
      </c>
    </row>
    <row r="85" spans="1:13" hidden="1" x14ac:dyDescent="0.25">
      <c r="A85" s="5">
        <v>45658</v>
      </c>
      <c r="B85" t="s">
        <v>20</v>
      </c>
      <c r="C85" t="s">
        <v>41</v>
      </c>
      <c r="D85" t="s">
        <v>30</v>
      </c>
      <c r="E85" t="str">
        <f t="shared" si="2"/>
        <v>ADM</v>
      </c>
      <c r="F85" t="s">
        <v>23</v>
      </c>
      <c r="G85" t="s">
        <v>23</v>
      </c>
      <c r="J85" t="s">
        <v>17</v>
      </c>
      <c r="K85" s="23">
        <v>-11.99</v>
      </c>
      <c r="L85" t="s">
        <v>24</v>
      </c>
      <c r="M85" t="s">
        <v>25</v>
      </c>
    </row>
    <row r="86" spans="1:13" hidden="1" x14ac:dyDescent="0.25">
      <c r="A86" s="5">
        <v>45658</v>
      </c>
      <c r="B86" t="s">
        <v>13</v>
      </c>
      <c r="C86" t="s">
        <v>48</v>
      </c>
      <c r="D86" t="s">
        <v>30</v>
      </c>
      <c r="E86" t="str">
        <f t="shared" si="2"/>
        <v>ADM</v>
      </c>
      <c r="F86" t="s">
        <v>16</v>
      </c>
      <c r="G86" t="s">
        <v>16</v>
      </c>
      <c r="J86" t="s">
        <v>17</v>
      </c>
      <c r="K86" s="23">
        <v>-126</v>
      </c>
      <c r="L86" t="s">
        <v>24</v>
      </c>
      <c r="M86" t="s">
        <v>25</v>
      </c>
    </row>
    <row r="87" spans="1:13" hidden="1" x14ac:dyDescent="0.25">
      <c r="A87" s="5">
        <v>45658</v>
      </c>
      <c r="B87" t="s">
        <v>20</v>
      </c>
      <c r="C87" t="s">
        <v>49</v>
      </c>
      <c r="D87" t="s">
        <v>28</v>
      </c>
      <c r="E87" t="str">
        <f t="shared" si="2"/>
        <v>ADM</v>
      </c>
      <c r="F87" t="s">
        <v>23</v>
      </c>
      <c r="G87" t="s">
        <v>23</v>
      </c>
      <c r="J87" t="s">
        <v>17</v>
      </c>
      <c r="K87" s="23">
        <v>-170.6</v>
      </c>
      <c r="L87" t="s">
        <v>24</v>
      </c>
      <c r="M87" t="s">
        <v>25</v>
      </c>
    </row>
    <row r="88" spans="1:13" hidden="1" x14ac:dyDescent="0.25">
      <c r="A88" s="5">
        <v>45658</v>
      </c>
      <c r="B88" t="s">
        <v>20</v>
      </c>
      <c r="C88" t="s">
        <v>27</v>
      </c>
      <c r="D88" t="s">
        <v>28</v>
      </c>
      <c r="E88" t="str">
        <f t="shared" si="2"/>
        <v>ADM</v>
      </c>
      <c r="F88" t="s">
        <v>23</v>
      </c>
      <c r="G88" t="s">
        <v>23</v>
      </c>
      <c r="J88" t="s">
        <v>17</v>
      </c>
      <c r="K88" s="23">
        <v>-52.77</v>
      </c>
      <c r="L88" t="s">
        <v>24</v>
      </c>
      <c r="M88" t="s">
        <v>25</v>
      </c>
    </row>
    <row r="89" spans="1:13" hidden="1" x14ac:dyDescent="0.25">
      <c r="A89" s="5">
        <v>45659</v>
      </c>
      <c r="B89" t="s">
        <v>50</v>
      </c>
      <c r="C89" t="s">
        <v>51</v>
      </c>
      <c r="D89" t="s">
        <v>52</v>
      </c>
      <c r="E89" t="str">
        <f t="shared" si="2"/>
        <v>ADM</v>
      </c>
      <c r="F89" t="s">
        <v>53</v>
      </c>
      <c r="G89" t="s">
        <v>53</v>
      </c>
      <c r="J89" t="s">
        <v>17</v>
      </c>
      <c r="K89" s="23">
        <v>-1412</v>
      </c>
      <c r="L89" t="s">
        <v>24</v>
      </c>
      <c r="M89" t="s">
        <v>25</v>
      </c>
    </row>
    <row r="90" spans="1:13" hidden="1" x14ac:dyDescent="0.25">
      <c r="A90" s="5">
        <v>45659</v>
      </c>
      <c r="B90" t="s">
        <v>54</v>
      </c>
      <c r="C90" t="s">
        <v>55</v>
      </c>
      <c r="D90" t="s">
        <v>56</v>
      </c>
      <c r="E90" t="str">
        <f t="shared" si="2"/>
        <v>Honorários</v>
      </c>
      <c r="F90" t="s">
        <v>57</v>
      </c>
      <c r="G90" t="s">
        <v>57</v>
      </c>
      <c r="I90" t="s">
        <v>58</v>
      </c>
      <c r="J90" t="s">
        <v>17</v>
      </c>
      <c r="K90" s="23">
        <v>2385</v>
      </c>
      <c r="L90" t="s">
        <v>18</v>
      </c>
      <c r="M90" t="s">
        <v>19</v>
      </c>
    </row>
    <row r="91" spans="1:13" hidden="1" x14ac:dyDescent="0.25">
      <c r="A91" s="5">
        <v>45659</v>
      </c>
      <c r="B91" t="s">
        <v>54</v>
      </c>
      <c r="C91" t="s">
        <v>59</v>
      </c>
      <c r="D91" t="s">
        <v>56</v>
      </c>
      <c r="E91" t="str">
        <f t="shared" si="2"/>
        <v>Honorários</v>
      </c>
      <c r="F91" t="s">
        <v>60</v>
      </c>
      <c r="G91" t="s">
        <v>60</v>
      </c>
      <c r="I91" t="s">
        <v>58</v>
      </c>
      <c r="J91" t="s">
        <v>17</v>
      </c>
      <c r="K91" s="23">
        <v>1945</v>
      </c>
      <c r="L91" t="s">
        <v>18</v>
      </c>
      <c r="M91" t="s">
        <v>19</v>
      </c>
    </row>
    <row r="92" spans="1:13" hidden="1" x14ac:dyDescent="0.25">
      <c r="A92" s="5">
        <v>45659</v>
      </c>
      <c r="B92" t="s">
        <v>50</v>
      </c>
      <c r="C92" t="s">
        <v>61</v>
      </c>
      <c r="D92" t="s">
        <v>62</v>
      </c>
      <c r="E92" t="str">
        <f t="shared" si="2"/>
        <v>INV</v>
      </c>
      <c r="F92" t="s">
        <v>63</v>
      </c>
      <c r="G92" t="s">
        <v>63</v>
      </c>
      <c r="J92" t="s">
        <v>17</v>
      </c>
      <c r="K92" s="23">
        <v>-1750</v>
      </c>
      <c r="L92" t="s">
        <v>24</v>
      </c>
      <c r="M92" t="s">
        <v>25</v>
      </c>
    </row>
    <row r="93" spans="1:13" hidden="1" x14ac:dyDescent="0.25">
      <c r="A93" s="5">
        <v>45659</v>
      </c>
      <c r="B93" t="s">
        <v>50</v>
      </c>
      <c r="C93" t="s">
        <v>64</v>
      </c>
      <c r="D93" t="s">
        <v>56</v>
      </c>
      <c r="E93" t="str">
        <f t="shared" si="2"/>
        <v>Honorários</v>
      </c>
      <c r="F93" t="s">
        <v>65</v>
      </c>
      <c r="G93" t="s">
        <v>65</v>
      </c>
      <c r="I93" t="s">
        <v>66</v>
      </c>
      <c r="J93" t="s">
        <v>17</v>
      </c>
      <c r="K93" s="23">
        <v>3692.45</v>
      </c>
      <c r="L93" t="s">
        <v>18</v>
      </c>
      <c r="M93" t="s">
        <v>19</v>
      </c>
    </row>
    <row r="94" spans="1:13" hidden="1" x14ac:dyDescent="0.25">
      <c r="A94" s="5">
        <v>45659</v>
      </c>
      <c r="B94" t="s">
        <v>67</v>
      </c>
      <c r="C94" t="s">
        <v>68</v>
      </c>
      <c r="D94" t="s">
        <v>56</v>
      </c>
      <c r="E94" t="str">
        <f t="shared" si="2"/>
        <v>Honorários</v>
      </c>
      <c r="F94" t="s">
        <v>69</v>
      </c>
      <c r="G94" t="s">
        <v>69</v>
      </c>
      <c r="I94" t="s">
        <v>70</v>
      </c>
      <c r="J94" t="s">
        <v>17</v>
      </c>
      <c r="K94" s="23">
        <v>250</v>
      </c>
      <c r="L94" t="s">
        <v>18</v>
      </c>
      <c r="M94" t="s">
        <v>19</v>
      </c>
    </row>
    <row r="95" spans="1:13" hidden="1" x14ac:dyDescent="0.25">
      <c r="A95" s="5">
        <v>45660</v>
      </c>
      <c r="B95" t="s">
        <v>50</v>
      </c>
      <c r="C95" t="s">
        <v>71</v>
      </c>
      <c r="D95" t="s">
        <v>72</v>
      </c>
      <c r="E95" t="str">
        <f t="shared" si="2"/>
        <v>FIN</v>
      </c>
      <c r="F95" t="s">
        <v>23</v>
      </c>
      <c r="G95" t="s">
        <v>23</v>
      </c>
      <c r="J95" t="s">
        <v>17</v>
      </c>
      <c r="K95" s="23">
        <v>-261.75</v>
      </c>
      <c r="L95" t="s">
        <v>24</v>
      </c>
      <c r="M95" t="s">
        <v>25</v>
      </c>
    </row>
    <row r="96" spans="1:13" hidden="1" x14ac:dyDescent="0.25">
      <c r="A96" s="5">
        <v>45660</v>
      </c>
      <c r="B96" t="s">
        <v>54</v>
      </c>
      <c r="C96" t="s">
        <v>73</v>
      </c>
      <c r="D96" t="s">
        <v>56</v>
      </c>
      <c r="E96" t="str">
        <f t="shared" si="2"/>
        <v>Honorários</v>
      </c>
      <c r="F96" t="s">
        <v>74</v>
      </c>
      <c r="G96" t="s">
        <v>74</v>
      </c>
      <c r="I96" t="s">
        <v>75</v>
      </c>
      <c r="J96" t="s">
        <v>17</v>
      </c>
      <c r="K96" s="23">
        <v>560</v>
      </c>
      <c r="L96" t="s">
        <v>18</v>
      </c>
      <c r="M96" t="s">
        <v>19</v>
      </c>
    </row>
    <row r="97" spans="1:13" hidden="1" x14ac:dyDescent="0.25">
      <c r="A97" s="5">
        <v>45663</v>
      </c>
      <c r="B97" t="s">
        <v>54</v>
      </c>
      <c r="C97" t="s">
        <v>76</v>
      </c>
      <c r="D97" t="s">
        <v>77</v>
      </c>
      <c r="E97" t="str">
        <f t="shared" si="2"/>
        <v>Despesa do cliente</v>
      </c>
      <c r="F97" t="s">
        <v>78</v>
      </c>
      <c r="G97" t="s">
        <v>78</v>
      </c>
      <c r="I97" t="s">
        <v>79</v>
      </c>
      <c r="J97" t="s">
        <v>17</v>
      </c>
      <c r="K97" s="23">
        <v>-21.73</v>
      </c>
      <c r="L97" t="s">
        <v>24</v>
      </c>
      <c r="M97" t="s">
        <v>25</v>
      </c>
    </row>
    <row r="98" spans="1:13" hidden="1" x14ac:dyDescent="0.25">
      <c r="A98" s="5">
        <v>45663</v>
      </c>
      <c r="B98" t="s">
        <v>50</v>
      </c>
      <c r="C98" t="s">
        <v>80</v>
      </c>
      <c r="D98" t="s">
        <v>56</v>
      </c>
      <c r="E98" t="str">
        <f t="shared" si="2"/>
        <v>Honorários</v>
      </c>
      <c r="F98" t="s">
        <v>81</v>
      </c>
      <c r="G98" t="s">
        <v>81</v>
      </c>
      <c r="I98" t="s">
        <v>82</v>
      </c>
      <c r="J98" t="s">
        <v>17</v>
      </c>
      <c r="K98" s="23">
        <v>1507.81</v>
      </c>
      <c r="L98" t="s">
        <v>18</v>
      </c>
      <c r="M98" t="s">
        <v>83</v>
      </c>
    </row>
    <row r="99" spans="1:13" hidden="1" x14ac:dyDescent="0.25">
      <c r="A99" s="5">
        <v>45663</v>
      </c>
      <c r="B99" t="s">
        <v>50</v>
      </c>
      <c r="C99" t="s">
        <v>84</v>
      </c>
      <c r="D99" t="s">
        <v>56</v>
      </c>
      <c r="E99" t="str">
        <f t="shared" si="2"/>
        <v>Honorários</v>
      </c>
      <c r="F99" t="s">
        <v>85</v>
      </c>
      <c r="G99" t="s">
        <v>85</v>
      </c>
      <c r="I99" t="s">
        <v>86</v>
      </c>
      <c r="J99" t="s">
        <v>17</v>
      </c>
      <c r="K99" s="23">
        <v>361.22</v>
      </c>
      <c r="L99" t="s">
        <v>18</v>
      </c>
      <c r="M99" t="s">
        <v>83</v>
      </c>
    </row>
    <row r="100" spans="1:13" hidden="1" x14ac:dyDescent="0.25">
      <c r="A100" s="5">
        <v>45663</v>
      </c>
      <c r="B100" t="s">
        <v>50</v>
      </c>
      <c r="C100" t="s">
        <v>87</v>
      </c>
      <c r="D100" t="s">
        <v>56</v>
      </c>
      <c r="E100" t="str">
        <f t="shared" si="2"/>
        <v>Honorários</v>
      </c>
      <c r="F100" t="s">
        <v>85</v>
      </c>
      <c r="G100" t="s">
        <v>85</v>
      </c>
      <c r="I100" t="s">
        <v>86</v>
      </c>
      <c r="J100" t="s">
        <v>17</v>
      </c>
      <c r="K100" s="23">
        <v>1083.6400000000001</v>
      </c>
      <c r="L100" t="s">
        <v>18</v>
      </c>
      <c r="M100" t="s">
        <v>83</v>
      </c>
    </row>
    <row r="101" spans="1:13" hidden="1" x14ac:dyDescent="0.25">
      <c r="A101" s="5">
        <v>45663</v>
      </c>
      <c r="B101" t="s">
        <v>67</v>
      </c>
      <c r="C101" t="s">
        <v>88</v>
      </c>
      <c r="D101" t="s">
        <v>89</v>
      </c>
      <c r="E101" t="str">
        <f t="shared" si="2"/>
        <v>ADM</v>
      </c>
      <c r="F101" t="s">
        <v>90</v>
      </c>
      <c r="G101" t="s">
        <v>90</v>
      </c>
      <c r="J101" t="s">
        <v>17</v>
      </c>
      <c r="K101" s="23">
        <v>-70.22</v>
      </c>
      <c r="L101" t="s">
        <v>24</v>
      </c>
      <c r="M101" t="s">
        <v>25</v>
      </c>
    </row>
    <row r="102" spans="1:13" hidden="1" x14ac:dyDescent="0.25">
      <c r="A102" s="5">
        <v>45663</v>
      </c>
      <c r="B102" t="s">
        <v>50</v>
      </c>
      <c r="C102" t="s">
        <v>91</v>
      </c>
      <c r="D102" t="s">
        <v>56</v>
      </c>
      <c r="E102" t="str">
        <f t="shared" si="2"/>
        <v>Honorários</v>
      </c>
      <c r="F102" t="s">
        <v>92</v>
      </c>
      <c r="G102" t="s">
        <v>92</v>
      </c>
      <c r="I102" t="s">
        <v>93</v>
      </c>
      <c r="J102" t="s">
        <v>17</v>
      </c>
      <c r="K102" s="23">
        <v>470.66</v>
      </c>
      <c r="L102" t="s">
        <v>18</v>
      </c>
      <c r="M102" t="s">
        <v>19</v>
      </c>
    </row>
    <row r="103" spans="1:13" hidden="1" x14ac:dyDescent="0.25">
      <c r="A103" s="5">
        <v>45663</v>
      </c>
      <c r="B103" t="s">
        <v>54</v>
      </c>
      <c r="C103" t="s">
        <v>76</v>
      </c>
      <c r="D103" t="s">
        <v>77</v>
      </c>
      <c r="E103" t="str">
        <f t="shared" si="2"/>
        <v>Despesa do cliente</v>
      </c>
      <c r="F103" t="s">
        <v>94</v>
      </c>
      <c r="G103" t="s">
        <v>94</v>
      </c>
      <c r="I103" t="s">
        <v>82</v>
      </c>
      <c r="J103" t="s">
        <v>17</v>
      </c>
      <c r="K103" s="23">
        <v>-21.73</v>
      </c>
      <c r="L103" t="s">
        <v>24</v>
      </c>
      <c r="M103" t="s">
        <v>25</v>
      </c>
    </row>
    <row r="104" spans="1:13" hidden="1" x14ac:dyDescent="0.25">
      <c r="A104" s="5">
        <v>45663</v>
      </c>
      <c r="B104" t="s">
        <v>50</v>
      </c>
      <c r="C104" t="s">
        <v>95</v>
      </c>
      <c r="D104" t="s">
        <v>96</v>
      </c>
      <c r="E104" t="str">
        <f t="shared" si="2"/>
        <v>ADM</v>
      </c>
      <c r="F104" t="s">
        <v>97</v>
      </c>
      <c r="G104" t="s">
        <v>97</v>
      </c>
      <c r="J104" t="s">
        <v>17</v>
      </c>
      <c r="K104" s="23">
        <v>-2967.49</v>
      </c>
      <c r="L104" t="s">
        <v>24</v>
      </c>
      <c r="M104" t="s">
        <v>25</v>
      </c>
    </row>
    <row r="105" spans="1:13" hidden="1" x14ac:dyDescent="0.25">
      <c r="A105" s="5">
        <v>45663</v>
      </c>
      <c r="B105" t="s">
        <v>54</v>
      </c>
      <c r="C105" t="s">
        <v>76</v>
      </c>
      <c r="D105" t="s">
        <v>77</v>
      </c>
      <c r="E105" t="str">
        <f t="shared" si="2"/>
        <v>Despesa do cliente</v>
      </c>
      <c r="F105" t="s">
        <v>81</v>
      </c>
      <c r="G105" t="s">
        <v>81</v>
      </c>
      <c r="I105" t="s">
        <v>82</v>
      </c>
      <c r="J105" t="s">
        <v>17</v>
      </c>
      <c r="K105" s="23">
        <v>-21.73</v>
      </c>
      <c r="L105" t="s">
        <v>24</v>
      </c>
      <c r="M105" t="s">
        <v>25</v>
      </c>
    </row>
    <row r="106" spans="1:13" hidden="1" x14ac:dyDescent="0.25">
      <c r="A106" s="5">
        <v>45663</v>
      </c>
      <c r="B106" t="s">
        <v>54</v>
      </c>
      <c r="C106" t="s">
        <v>98</v>
      </c>
      <c r="D106" t="s">
        <v>99</v>
      </c>
      <c r="E106" t="str">
        <f t="shared" si="2"/>
        <v>ADM</v>
      </c>
      <c r="F106" t="s">
        <v>100</v>
      </c>
      <c r="G106" t="s">
        <v>100</v>
      </c>
      <c r="J106" t="s">
        <v>17</v>
      </c>
      <c r="K106" s="23">
        <v>-170</v>
      </c>
      <c r="L106" t="s">
        <v>24</v>
      </c>
      <c r="M106" t="s">
        <v>25</v>
      </c>
    </row>
    <row r="107" spans="1:13" hidden="1" x14ac:dyDescent="0.25">
      <c r="A107" s="5">
        <v>45663</v>
      </c>
      <c r="B107" t="s">
        <v>50</v>
      </c>
      <c r="C107" t="s">
        <v>101</v>
      </c>
      <c r="D107" t="s">
        <v>15</v>
      </c>
      <c r="E107" t="str">
        <f t="shared" si="2"/>
        <v>ADM</v>
      </c>
      <c r="F107" t="s">
        <v>23</v>
      </c>
      <c r="G107" t="s">
        <v>23</v>
      </c>
      <c r="J107" t="s">
        <v>17</v>
      </c>
      <c r="K107" s="23">
        <v>-3379.88</v>
      </c>
      <c r="L107" t="s">
        <v>24</v>
      </c>
    </row>
    <row r="108" spans="1:13" hidden="1" x14ac:dyDescent="0.25">
      <c r="A108" s="5">
        <v>45664</v>
      </c>
      <c r="B108" t="s">
        <v>50</v>
      </c>
      <c r="C108" t="s">
        <v>102</v>
      </c>
      <c r="D108" t="s">
        <v>103</v>
      </c>
      <c r="E108" t="str">
        <f t="shared" si="2"/>
        <v>ADM</v>
      </c>
      <c r="F108" t="s">
        <v>104</v>
      </c>
      <c r="G108" t="s">
        <v>104</v>
      </c>
      <c r="J108" t="s">
        <v>17</v>
      </c>
      <c r="K108" s="23">
        <v>-30</v>
      </c>
      <c r="L108" t="s">
        <v>24</v>
      </c>
      <c r="M108" t="s">
        <v>25</v>
      </c>
    </row>
    <row r="109" spans="1:13" hidden="1" x14ac:dyDescent="0.25">
      <c r="A109" s="5">
        <v>45664</v>
      </c>
      <c r="B109" t="s">
        <v>54</v>
      </c>
      <c r="C109" t="s">
        <v>105</v>
      </c>
      <c r="D109" t="s">
        <v>56</v>
      </c>
      <c r="E109" t="str">
        <f t="shared" si="2"/>
        <v>Honorários</v>
      </c>
      <c r="F109" t="s">
        <v>106</v>
      </c>
      <c r="G109" t="s">
        <v>106</v>
      </c>
      <c r="I109" t="s">
        <v>75</v>
      </c>
      <c r="J109" t="s">
        <v>17</v>
      </c>
      <c r="K109" s="23">
        <v>1523.1</v>
      </c>
      <c r="L109" t="s">
        <v>18</v>
      </c>
      <c r="M109" t="s">
        <v>19</v>
      </c>
    </row>
    <row r="110" spans="1:13" hidden="1" x14ac:dyDescent="0.25">
      <c r="A110" s="5">
        <v>45664</v>
      </c>
      <c r="B110" t="s">
        <v>67</v>
      </c>
      <c r="C110" t="s">
        <v>107</v>
      </c>
      <c r="D110" t="s">
        <v>56</v>
      </c>
      <c r="E110" t="str">
        <f t="shared" si="2"/>
        <v>Honorários</v>
      </c>
      <c r="F110" t="s">
        <v>108</v>
      </c>
      <c r="G110" t="s">
        <v>108</v>
      </c>
      <c r="I110" t="s">
        <v>109</v>
      </c>
      <c r="J110" t="s">
        <v>17</v>
      </c>
      <c r="K110" s="23">
        <v>201.46</v>
      </c>
      <c r="L110" t="s">
        <v>18</v>
      </c>
      <c r="M110" t="s">
        <v>19</v>
      </c>
    </row>
    <row r="111" spans="1:13" hidden="1" x14ac:dyDescent="0.25">
      <c r="A111" s="5">
        <v>45664</v>
      </c>
      <c r="B111" t="s">
        <v>67</v>
      </c>
      <c r="C111" t="s">
        <v>110</v>
      </c>
      <c r="D111" t="s">
        <v>56</v>
      </c>
      <c r="E111" t="str">
        <f t="shared" si="2"/>
        <v>Honorários</v>
      </c>
      <c r="F111" t="s">
        <v>111</v>
      </c>
      <c r="G111" t="s">
        <v>111</v>
      </c>
      <c r="J111" t="s">
        <v>17</v>
      </c>
      <c r="K111" s="23">
        <v>354</v>
      </c>
      <c r="L111" t="s">
        <v>18</v>
      </c>
      <c r="M111" t="s">
        <v>19</v>
      </c>
    </row>
    <row r="112" spans="1:13" hidden="1" x14ac:dyDescent="0.25">
      <c r="A112" s="5">
        <v>45665</v>
      </c>
      <c r="B112" t="s">
        <v>50</v>
      </c>
      <c r="C112" t="s">
        <v>112</v>
      </c>
      <c r="D112" t="s">
        <v>113</v>
      </c>
      <c r="E112" t="str">
        <f t="shared" si="2"/>
        <v>ADM</v>
      </c>
      <c r="F112" t="s">
        <v>114</v>
      </c>
      <c r="G112" t="s">
        <v>114</v>
      </c>
      <c r="J112" t="s">
        <v>17</v>
      </c>
      <c r="K112" s="23">
        <v>-367.84</v>
      </c>
      <c r="L112" t="s">
        <v>24</v>
      </c>
      <c r="M112" t="s">
        <v>25</v>
      </c>
    </row>
    <row r="113" spans="1:16" hidden="1" x14ac:dyDescent="0.25">
      <c r="A113" s="5">
        <v>45665</v>
      </c>
      <c r="B113" t="s">
        <v>50</v>
      </c>
      <c r="C113" t="s">
        <v>115</v>
      </c>
      <c r="D113" t="s">
        <v>56</v>
      </c>
      <c r="E113" t="str">
        <f t="shared" si="2"/>
        <v>Honorários</v>
      </c>
      <c r="F113" t="s">
        <v>116</v>
      </c>
      <c r="G113" t="s">
        <v>116</v>
      </c>
      <c r="I113" t="s">
        <v>117</v>
      </c>
      <c r="J113" t="s">
        <v>17</v>
      </c>
      <c r="K113" s="23">
        <v>1589.62</v>
      </c>
      <c r="L113" t="s">
        <v>18</v>
      </c>
      <c r="M113" t="s">
        <v>19</v>
      </c>
      <c r="P113" s="2"/>
    </row>
    <row r="114" spans="1:16" hidden="1" x14ac:dyDescent="0.25">
      <c r="A114" s="5">
        <v>45666</v>
      </c>
      <c r="B114" t="s">
        <v>54</v>
      </c>
      <c r="C114" t="s">
        <v>118</v>
      </c>
      <c r="D114" t="s">
        <v>113</v>
      </c>
      <c r="E114" t="str">
        <f t="shared" si="2"/>
        <v>ADM</v>
      </c>
      <c r="F114" t="s">
        <v>114</v>
      </c>
      <c r="G114" t="s">
        <v>114</v>
      </c>
      <c r="J114" t="s">
        <v>17</v>
      </c>
      <c r="K114" s="23">
        <v>-130.37</v>
      </c>
      <c r="L114" t="s">
        <v>24</v>
      </c>
      <c r="M114" t="s">
        <v>25</v>
      </c>
      <c r="P114" s="2"/>
    </row>
    <row r="115" spans="1:16" hidden="1" x14ac:dyDescent="0.25">
      <c r="A115" s="5">
        <v>45666</v>
      </c>
      <c r="B115" t="s">
        <v>50</v>
      </c>
      <c r="C115" t="s">
        <v>33</v>
      </c>
      <c r="D115" t="s">
        <v>15</v>
      </c>
      <c r="E115" t="str">
        <f t="shared" si="2"/>
        <v>ADM</v>
      </c>
      <c r="F115" t="s">
        <v>23</v>
      </c>
      <c r="G115" t="s">
        <v>23</v>
      </c>
      <c r="J115" t="s">
        <v>17</v>
      </c>
      <c r="K115" s="23">
        <v>-308.25</v>
      </c>
      <c r="L115" t="s">
        <v>24</v>
      </c>
    </row>
    <row r="116" spans="1:16" hidden="1" x14ac:dyDescent="0.25">
      <c r="A116" s="5">
        <v>45667</v>
      </c>
      <c r="B116" t="s">
        <v>54</v>
      </c>
      <c r="C116" t="s">
        <v>119</v>
      </c>
      <c r="D116" t="s">
        <v>72</v>
      </c>
      <c r="E116" t="str">
        <f t="shared" si="2"/>
        <v>FIN</v>
      </c>
      <c r="F116" t="s">
        <v>120</v>
      </c>
      <c r="G116" t="s">
        <v>120</v>
      </c>
      <c r="J116" t="s">
        <v>17</v>
      </c>
      <c r="K116" s="23">
        <v>-14.55</v>
      </c>
      <c r="L116" t="s">
        <v>24</v>
      </c>
      <c r="M116" t="s">
        <v>25</v>
      </c>
    </row>
    <row r="117" spans="1:16" hidden="1" x14ac:dyDescent="0.25">
      <c r="A117" s="5">
        <v>45667</v>
      </c>
      <c r="B117" t="s">
        <v>50</v>
      </c>
      <c r="C117" t="s">
        <v>121</v>
      </c>
      <c r="D117" t="s">
        <v>56</v>
      </c>
      <c r="E117" t="str">
        <f t="shared" si="2"/>
        <v>Honorários</v>
      </c>
      <c r="F117" t="s">
        <v>122</v>
      </c>
      <c r="G117" t="s">
        <v>122</v>
      </c>
      <c r="I117" t="s">
        <v>123</v>
      </c>
      <c r="J117" t="s">
        <v>17</v>
      </c>
      <c r="K117" s="23">
        <v>12957.89</v>
      </c>
      <c r="L117" t="s">
        <v>18</v>
      </c>
      <c r="M117" t="s">
        <v>19</v>
      </c>
    </row>
    <row r="118" spans="1:16" hidden="1" x14ac:dyDescent="0.25">
      <c r="A118" s="5">
        <v>45667</v>
      </c>
      <c r="B118" t="s">
        <v>50</v>
      </c>
      <c r="C118" t="s">
        <v>124</v>
      </c>
      <c r="D118" t="s">
        <v>30</v>
      </c>
      <c r="E118" t="str">
        <f t="shared" si="2"/>
        <v>ADM</v>
      </c>
      <c r="F118" t="s">
        <v>125</v>
      </c>
      <c r="G118" t="s">
        <v>125</v>
      </c>
      <c r="J118" t="s">
        <v>17</v>
      </c>
      <c r="K118" s="23">
        <v>-100</v>
      </c>
      <c r="L118" t="s">
        <v>24</v>
      </c>
      <c r="M118" t="s">
        <v>25</v>
      </c>
    </row>
    <row r="119" spans="1:16" hidden="1" x14ac:dyDescent="0.25">
      <c r="A119" s="5">
        <v>45667</v>
      </c>
      <c r="B119" t="s">
        <v>50</v>
      </c>
      <c r="C119" t="s">
        <v>126</v>
      </c>
      <c r="D119" t="s">
        <v>56</v>
      </c>
      <c r="E119" t="str">
        <f t="shared" si="2"/>
        <v>Honorários</v>
      </c>
      <c r="F119" t="s">
        <v>122</v>
      </c>
      <c r="G119" t="s">
        <v>122</v>
      </c>
      <c r="I119" t="s">
        <v>123</v>
      </c>
      <c r="J119" t="s">
        <v>17</v>
      </c>
      <c r="K119" s="23">
        <v>282.39999999999998</v>
      </c>
      <c r="L119" t="s">
        <v>18</v>
      </c>
      <c r="M119" t="s">
        <v>19</v>
      </c>
    </row>
    <row r="120" spans="1:16" hidden="1" x14ac:dyDescent="0.25">
      <c r="A120" s="5">
        <v>45667</v>
      </c>
      <c r="B120" t="s">
        <v>54</v>
      </c>
      <c r="C120" t="s">
        <v>98</v>
      </c>
      <c r="D120" t="s">
        <v>99</v>
      </c>
      <c r="E120" t="str">
        <f t="shared" si="2"/>
        <v>ADM</v>
      </c>
      <c r="F120" t="s">
        <v>100</v>
      </c>
      <c r="G120" t="s">
        <v>100</v>
      </c>
      <c r="J120" t="s">
        <v>17</v>
      </c>
      <c r="K120" s="23">
        <v>-340</v>
      </c>
      <c r="L120" t="s">
        <v>24</v>
      </c>
      <c r="M120" t="s">
        <v>25</v>
      </c>
    </row>
    <row r="121" spans="1:16" hidden="1" x14ac:dyDescent="0.25">
      <c r="A121" s="5">
        <v>45667</v>
      </c>
      <c r="B121" t="s">
        <v>50</v>
      </c>
      <c r="C121" t="s">
        <v>127</v>
      </c>
      <c r="D121" t="s">
        <v>128</v>
      </c>
      <c r="E121" t="str">
        <f t="shared" si="2"/>
        <v>PES</v>
      </c>
      <c r="F121" t="s">
        <v>129</v>
      </c>
      <c r="G121" t="s">
        <v>129</v>
      </c>
      <c r="J121" t="s">
        <v>17</v>
      </c>
      <c r="K121" s="23">
        <v>-200</v>
      </c>
      <c r="L121" t="s">
        <v>24</v>
      </c>
      <c r="M121" t="s">
        <v>25</v>
      </c>
    </row>
    <row r="122" spans="1:16" hidden="1" x14ac:dyDescent="0.25">
      <c r="A122" s="5">
        <v>45667</v>
      </c>
      <c r="B122" t="s">
        <v>50</v>
      </c>
      <c r="C122" t="s">
        <v>126</v>
      </c>
      <c r="D122" t="s">
        <v>56</v>
      </c>
      <c r="E122" t="str">
        <f t="shared" si="2"/>
        <v>Honorários</v>
      </c>
      <c r="F122" t="s">
        <v>122</v>
      </c>
      <c r="G122" t="s">
        <v>122</v>
      </c>
      <c r="I122" t="s">
        <v>123</v>
      </c>
      <c r="J122" t="s">
        <v>17</v>
      </c>
      <c r="K122" s="23">
        <v>282.39999999999998</v>
      </c>
      <c r="L122" t="s">
        <v>18</v>
      </c>
      <c r="M122" t="s">
        <v>19</v>
      </c>
    </row>
    <row r="123" spans="1:16" hidden="1" x14ac:dyDescent="0.25">
      <c r="A123" s="5">
        <v>45667</v>
      </c>
      <c r="B123" t="s">
        <v>50</v>
      </c>
      <c r="C123" t="s">
        <v>130</v>
      </c>
      <c r="D123" t="s">
        <v>56</v>
      </c>
      <c r="E123" t="str">
        <f t="shared" si="2"/>
        <v>Honorários</v>
      </c>
      <c r="F123" t="s">
        <v>57</v>
      </c>
      <c r="G123" t="s">
        <v>57</v>
      </c>
      <c r="I123" t="s">
        <v>58</v>
      </c>
      <c r="J123" t="s">
        <v>17</v>
      </c>
      <c r="K123" s="23">
        <v>3438</v>
      </c>
      <c r="L123" t="s">
        <v>18</v>
      </c>
      <c r="M123" t="s">
        <v>19</v>
      </c>
    </row>
    <row r="124" spans="1:16" hidden="1" x14ac:dyDescent="0.25">
      <c r="A124" s="5">
        <v>45667</v>
      </c>
      <c r="B124" t="s">
        <v>50</v>
      </c>
      <c r="C124" t="s">
        <v>131</v>
      </c>
      <c r="D124" t="s">
        <v>56</v>
      </c>
      <c r="E124" t="str">
        <f t="shared" si="2"/>
        <v>Honorários</v>
      </c>
      <c r="F124" t="s">
        <v>132</v>
      </c>
      <c r="G124" t="s">
        <v>132</v>
      </c>
      <c r="I124" t="s">
        <v>133</v>
      </c>
      <c r="J124" t="s">
        <v>17</v>
      </c>
      <c r="K124" s="23">
        <v>11829.76</v>
      </c>
      <c r="L124" t="s">
        <v>18</v>
      </c>
      <c r="M124" t="s">
        <v>19</v>
      </c>
    </row>
    <row r="125" spans="1:16" hidden="1" x14ac:dyDescent="0.25">
      <c r="A125" s="5">
        <v>45667</v>
      </c>
      <c r="B125" t="s">
        <v>50</v>
      </c>
      <c r="C125" t="s">
        <v>126</v>
      </c>
      <c r="D125" t="s">
        <v>56</v>
      </c>
      <c r="E125" t="str">
        <f t="shared" si="2"/>
        <v>Honorários</v>
      </c>
      <c r="F125" t="s">
        <v>122</v>
      </c>
      <c r="G125" t="s">
        <v>122</v>
      </c>
      <c r="I125" t="s">
        <v>123</v>
      </c>
      <c r="J125" t="s">
        <v>17</v>
      </c>
      <c r="K125" s="23">
        <v>282.39999999999998</v>
      </c>
      <c r="L125" t="s">
        <v>18</v>
      </c>
      <c r="M125" t="s">
        <v>19</v>
      </c>
    </row>
    <row r="126" spans="1:16" hidden="1" x14ac:dyDescent="0.25">
      <c r="A126" s="5">
        <v>45667</v>
      </c>
      <c r="B126" t="s">
        <v>54</v>
      </c>
      <c r="C126" t="s">
        <v>134</v>
      </c>
      <c r="D126" t="s">
        <v>56</v>
      </c>
      <c r="E126" t="str">
        <f t="shared" si="2"/>
        <v>Honorários</v>
      </c>
      <c r="F126" t="s">
        <v>135</v>
      </c>
      <c r="G126" t="s">
        <v>135</v>
      </c>
      <c r="I126" t="s">
        <v>136</v>
      </c>
      <c r="J126" t="s">
        <v>17</v>
      </c>
      <c r="K126" s="23">
        <v>1272.3</v>
      </c>
      <c r="L126" t="s">
        <v>18</v>
      </c>
      <c r="M126" t="s">
        <v>19</v>
      </c>
    </row>
    <row r="127" spans="1:16" hidden="1" x14ac:dyDescent="0.25">
      <c r="A127" s="5">
        <v>45668</v>
      </c>
      <c r="B127" t="s">
        <v>50</v>
      </c>
      <c r="C127" t="s">
        <v>137</v>
      </c>
      <c r="D127" t="s">
        <v>56</v>
      </c>
      <c r="E127" t="str">
        <f t="shared" si="2"/>
        <v>Honorários</v>
      </c>
      <c r="F127" t="s">
        <v>138</v>
      </c>
      <c r="G127" t="s">
        <v>138</v>
      </c>
      <c r="I127" t="s">
        <v>139</v>
      </c>
      <c r="J127" t="s">
        <v>17</v>
      </c>
      <c r="K127" s="23">
        <v>450</v>
      </c>
      <c r="L127" t="s">
        <v>18</v>
      </c>
      <c r="M127" t="s">
        <v>83</v>
      </c>
    </row>
    <row r="128" spans="1:16" hidden="1" x14ac:dyDescent="0.25">
      <c r="A128" s="5">
        <v>45670</v>
      </c>
      <c r="B128" t="s">
        <v>50</v>
      </c>
      <c r="C128" t="s">
        <v>126</v>
      </c>
      <c r="D128" t="s">
        <v>56</v>
      </c>
      <c r="E128" t="str">
        <f t="shared" si="2"/>
        <v>Honorários</v>
      </c>
      <c r="F128" t="s">
        <v>122</v>
      </c>
      <c r="G128" t="s">
        <v>122</v>
      </c>
      <c r="I128" t="s">
        <v>123</v>
      </c>
      <c r="J128" t="s">
        <v>17</v>
      </c>
      <c r="K128" s="23">
        <v>282.39999999999998</v>
      </c>
      <c r="L128" t="s">
        <v>18</v>
      </c>
      <c r="M128" t="s">
        <v>19</v>
      </c>
    </row>
    <row r="129" spans="1:13" hidden="1" x14ac:dyDescent="0.25">
      <c r="A129" s="5">
        <v>45670</v>
      </c>
      <c r="B129" t="s">
        <v>50</v>
      </c>
      <c r="C129" t="s">
        <v>126</v>
      </c>
      <c r="D129" t="s">
        <v>56</v>
      </c>
      <c r="E129" t="str">
        <f t="shared" si="2"/>
        <v>Honorários</v>
      </c>
      <c r="F129" t="s">
        <v>122</v>
      </c>
      <c r="G129" t="s">
        <v>122</v>
      </c>
      <c r="I129" t="s">
        <v>123</v>
      </c>
      <c r="J129" t="s">
        <v>17</v>
      </c>
      <c r="K129" s="23">
        <v>282.39999999999998</v>
      </c>
      <c r="L129" t="s">
        <v>18</v>
      </c>
      <c r="M129" t="s">
        <v>19</v>
      </c>
    </row>
    <row r="130" spans="1:13" hidden="1" x14ac:dyDescent="0.25">
      <c r="A130" s="5">
        <v>45670</v>
      </c>
      <c r="B130" t="s">
        <v>50</v>
      </c>
      <c r="C130" t="s">
        <v>126</v>
      </c>
      <c r="D130" t="s">
        <v>56</v>
      </c>
      <c r="E130" t="str">
        <f t="shared" si="2"/>
        <v>Honorários</v>
      </c>
      <c r="F130" t="s">
        <v>122</v>
      </c>
      <c r="G130" t="s">
        <v>122</v>
      </c>
      <c r="I130" t="s">
        <v>123</v>
      </c>
      <c r="J130" t="s">
        <v>17</v>
      </c>
      <c r="K130" s="23">
        <v>282.39999999999998</v>
      </c>
      <c r="L130" t="s">
        <v>18</v>
      </c>
      <c r="M130" t="s">
        <v>19</v>
      </c>
    </row>
    <row r="131" spans="1:13" hidden="1" x14ac:dyDescent="0.25">
      <c r="A131" s="5">
        <v>45670</v>
      </c>
      <c r="B131" t="s">
        <v>50</v>
      </c>
      <c r="C131" t="s">
        <v>126</v>
      </c>
      <c r="D131" t="s">
        <v>56</v>
      </c>
      <c r="E131" t="str">
        <f t="shared" si="2"/>
        <v>Honorários</v>
      </c>
      <c r="F131" t="s">
        <v>122</v>
      </c>
      <c r="G131" t="s">
        <v>122</v>
      </c>
      <c r="I131" t="s">
        <v>123</v>
      </c>
      <c r="J131" t="s">
        <v>17</v>
      </c>
      <c r="K131" s="23">
        <v>282.39999999999998</v>
      </c>
      <c r="L131" t="s">
        <v>18</v>
      </c>
      <c r="M131" t="s">
        <v>19</v>
      </c>
    </row>
    <row r="132" spans="1:13" hidden="1" x14ac:dyDescent="0.25">
      <c r="A132" s="5">
        <v>45670</v>
      </c>
      <c r="B132" t="s">
        <v>50</v>
      </c>
      <c r="C132" t="s">
        <v>126</v>
      </c>
      <c r="D132" t="s">
        <v>56</v>
      </c>
      <c r="E132" t="str">
        <f t="shared" si="2"/>
        <v>Honorários</v>
      </c>
      <c r="F132" t="s">
        <v>122</v>
      </c>
      <c r="G132" t="s">
        <v>122</v>
      </c>
      <c r="I132" t="s">
        <v>123</v>
      </c>
      <c r="J132" t="s">
        <v>17</v>
      </c>
      <c r="K132" s="23">
        <v>282.39999999999998</v>
      </c>
      <c r="L132" t="s">
        <v>18</v>
      </c>
      <c r="M132" t="s">
        <v>19</v>
      </c>
    </row>
    <row r="133" spans="1:13" hidden="1" x14ac:dyDescent="0.25">
      <c r="A133" s="5">
        <v>45670</v>
      </c>
      <c r="B133" t="s">
        <v>50</v>
      </c>
      <c r="C133" t="s">
        <v>126</v>
      </c>
      <c r="D133" t="s">
        <v>56</v>
      </c>
      <c r="E133" t="str">
        <f t="shared" si="2"/>
        <v>Honorários</v>
      </c>
      <c r="F133" t="s">
        <v>122</v>
      </c>
      <c r="G133" t="s">
        <v>122</v>
      </c>
      <c r="I133" t="s">
        <v>123</v>
      </c>
      <c r="J133" t="s">
        <v>17</v>
      </c>
      <c r="K133" s="23">
        <v>282.39999999999998</v>
      </c>
      <c r="L133" t="s">
        <v>18</v>
      </c>
      <c r="M133" t="s">
        <v>19</v>
      </c>
    </row>
    <row r="134" spans="1:13" hidden="1" x14ac:dyDescent="0.25">
      <c r="A134" s="5">
        <v>45671</v>
      </c>
      <c r="B134" t="s">
        <v>50</v>
      </c>
      <c r="C134" t="s">
        <v>140</v>
      </c>
      <c r="D134" t="s">
        <v>56</v>
      </c>
      <c r="E134" t="str">
        <f t="shared" si="2"/>
        <v>Honorários</v>
      </c>
      <c r="F134" t="s">
        <v>141</v>
      </c>
      <c r="G134" t="s">
        <v>141</v>
      </c>
      <c r="I134" t="s">
        <v>142</v>
      </c>
      <c r="J134" t="s">
        <v>143</v>
      </c>
      <c r="K134" s="23">
        <v>400</v>
      </c>
      <c r="L134" t="s">
        <v>18</v>
      </c>
      <c r="M134" t="s">
        <v>19</v>
      </c>
    </row>
    <row r="135" spans="1:13" hidden="1" x14ac:dyDescent="0.25">
      <c r="A135" s="5">
        <v>45671</v>
      </c>
      <c r="B135" t="s">
        <v>54</v>
      </c>
      <c r="C135" t="s">
        <v>144</v>
      </c>
      <c r="D135" t="s">
        <v>56</v>
      </c>
      <c r="E135" t="str">
        <f t="shared" si="2"/>
        <v>Honorários</v>
      </c>
      <c r="F135" t="s">
        <v>145</v>
      </c>
      <c r="G135" t="s">
        <v>145</v>
      </c>
      <c r="I135" t="s">
        <v>117</v>
      </c>
      <c r="J135" t="s">
        <v>17</v>
      </c>
      <c r="K135" s="23">
        <v>1125</v>
      </c>
      <c r="L135" t="s">
        <v>18</v>
      </c>
      <c r="M135" t="s">
        <v>19</v>
      </c>
    </row>
    <row r="136" spans="1:13" hidden="1" x14ac:dyDescent="0.25">
      <c r="A136" s="5">
        <v>45672</v>
      </c>
      <c r="B136" t="s">
        <v>54</v>
      </c>
      <c r="C136" t="s">
        <v>13</v>
      </c>
      <c r="D136" t="s">
        <v>15</v>
      </c>
      <c r="E136" t="str">
        <f t="shared" si="2"/>
        <v>ADM</v>
      </c>
      <c r="F136" t="s">
        <v>16</v>
      </c>
      <c r="G136" t="s">
        <v>16</v>
      </c>
      <c r="J136" t="s">
        <v>17</v>
      </c>
      <c r="K136" s="23">
        <v>-1012.15</v>
      </c>
      <c r="L136" t="s">
        <v>24</v>
      </c>
    </row>
    <row r="137" spans="1:13" hidden="1" x14ac:dyDescent="0.25">
      <c r="A137" s="5">
        <v>45672</v>
      </c>
      <c r="B137" t="s">
        <v>50</v>
      </c>
      <c r="C137" t="s">
        <v>146</v>
      </c>
      <c r="D137" t="s">
        <v>30</v>
      </c>
      <c r="E137" t="str">
        <f t="shared" si="2"/>
        <v>ADM</v>
      </c>
      <c r="F137" t="s">
        <v>147</v>
      </c>
      <c r="G137" t="s">
        <v>147</v>
      </c>
      <c r="J137" t="s">
        <v>17</v>
      </c>
      <c r="K137" s="23">
        <v>-507.3</v>
      </c>
      <c r="L137" t="s">
        <v>24</v>
      </c>
      <c r="M137" t="s">
        <v>25</v>
      </c>
    </row>
    <row r="138" spans="1:13" hidden="1" x14ac:dyDescent="0.25">
      <c r="A138" s="5">
        <v>45673</v>
      </c>
      <c r="B138" t="s">
        <v>54</v>
      </c>
      <c r="C138" t="s">
        <v>148</v>
      </c>
      <c r="D138" t="s">
        <v>149</v>
      </c>
      <c r="E138" t="str">
        <f t="shared" si="2"/>
        <v>ADM</v>
      </c>
      <c r="F138" t="s">
        <v>150</v>
      </c>
      <c r="G138" t="s">
        <v>150</v>
      </c>
      <c r="J138" t="s">
        <v>143</v>
      </c>
      <c r="K138" s="23">
        <v>-244.32</v>
      </c>
      <c r="L138" t="s">
        <v>24</v>
      </c>
      <c r="M138" t="s">
        <v>25</v>
      </c>
    </row>
    <row r="139" spans="1:13" hidden="1" x14ac:dyDescent="0.25">
      <c r="A139" s="5">
        <v>45674</v>
      </c>
      <c r="B139" t="s">
        <v>54</v>
      </c>
      <c r="C139" t="s">
        <v>98</v>
      </c>
      <c r="D139" t="s">
        <v>99</v>
      </c>
      <c r="E139" t="str">
        <f t="shared" si="2"/>
        <v>ADM</v>
      </c>
      <c r="F139" t="s">
        <v>100</v>
      </c>
      <c r="G139" t="s">
        <v>100</v>
      </c>
      <c r="J139" t="s">
        <v>17</v>
      </c>
      <c r="K139" s="23">
        <v>-340</v>
      </c>
      <c r="L139" t="s">
        <v>24</v>
      </c>
      <c r="M139" t="s">
        <v>25</v>
      </c>
    </row>
    <row r="140" spans="1:13" hidden="1" x14ac:dyDescent="0.25">
      <c r="A140" s="5">
        <v>45677</v>
      </c>
      <c r="B140" t="s">
        <v>50</v>
      </c>
      <c r="C140" t="s">
        <v>151</v>
      </c>
      <c r="D140" t="s">
        <v>152</v>
      </c>
      <c r="E140" t="str">
        <f t="shared" si="2"/>
        <v>VAR</v>
      </c>
      <c r="F140" t="s">
        <v>151</v>
      </c>
      <c r="G140" t="s">
        <v>151</v>
      </c>
      <c r="J140" t="s">
        <v>17</v>
      </c>
      <c r="K140" s="23">
        <v>-3049.39</v>
      </c>
      <c r="L140" t="s">
        <v>24</v>
      </c>
      <c r="M140" t="s">
        <v>25</v>
      </c>
    </row>
    <row r="141" spans="1:13" hidden="1" x14ac:dyDescent="0.25">
      <c r="A141" s="5">
        <v>45677</v>
      </c>
      <c r="B141" t="s">
        <v>67</v>
      </c>
      <c r="C141" t="s">
        <v>110</v>
      </c>
      <c r="D141" t="s">
        <v>56</v>
      </c>
      <c r="E141" t="str">
        <f t="shared" si="2"/>
        <v>Honorários</v>
      </c>
      <c r="F141" t="s">
        <v>111</v>
      </c>
      <c r="G141" t="s">
        <v>111</v>
      </c>
      <c r="J141" t="s">
        <v>17</v>
      </c>
      <c r="K141" s="23">
        <v>354</v>
      </c>
      <c r="L141" t="s">
        <v>18</v>
      </c>
      <c r="M141" t="s">
        <v>83</v>
      </c>
    </row>
    <row r="142" spans="1:13" hidden="1" x14ac:dyDescent="0.25">
      <c r="A142" s="5">
        <v>45677</v>
      </c>
      <c r="B142" t="s">
        <v>50</v>
      </c>
      <c r="C142" t="s">
        <v>153</v>
      </c>
      <c r="D142" t="s">
        <v>154</v>
      </c>
      <c r="E142" t="str">
        <f t="shared" si="2"/>
        <v>ADM</v>
      </c>
      <c r="F142" t="s">
        <v>155</v>
      </c>
      <c r="G142" t="s">
        <v>155</v>
      </c>
      <c r="J142" t="s">
        <v>17</v>
      </c>
      <c r="K142" s="23">
        <v>-61.14</v>
      </c>
      <c r="L142" t="s">
        <v>24</v>
      </c>
      <c r="M142" t="s">
        <v>25</v>
      </c>
    </row>
    <row r="143" spans="1:13" hidden="1" x14ac:dyDescent="0.25">
      <c r="A143" s="5">
        <v>45677</v>
      </c>
      <c r="B143" t="s">
        <v>50</v>
      </c>
      <c r="C143" t="s">
        <v>156</v>
      </c>
      <c r="D143" t="s">
        <v>56</v>
      </c>
      <c r="E143" t="str">
        <f t="shared" si="2"/>
        <v>Honorários</v>
      </c>
      <c r="F143" t="s">
        <v>157</v>
      </c>
      <c r="G143" t="s">
        <v>157</v>
      </c>
      <c r="I143" t="s">
        <v>93</v>
      </c>
      <c r="J143" t="s">
        <v>17</v>
      </c>
      <c r="K143" s="23">
        <v>211.8</v>
      </c>
      <c r="L143" t="s">
        <v>18</v>
      </c>
      <c r="M143" t="s">
        <v>19</v>
      </c>
    </row>
    <row r="144" spans="1:13" hidden="1" x14ac:dyDescent="0.25">
      <c r="A144" s="5">
        <v>45677</v>
      </c>
      <c r="B144" t="s">
        <v>50</v>
      </c>
      <c r="C144" t="s">
        <v>158</v>
      </c>
      <c r="D144" t="s">
        <v>159</v>
      </c>
      <c r="E144" t="str">
        <f t="shared" si="2"/>
        <v>PES</v>
      </c>
      <c r="F144" t="s">
        <v>160</v>
      </c>
      <c r="G144" t="s">
        <v>160</v>
      </c>
      <c r="J144" t="s">
        <v>17</v>
      </c>
      <c r="K144" s="23">
        <v>-415.96</v>
      </c>
      <c r="L144" t="s">
        <v>24</v>
      </c>
      <c r="M144" t="s">
        <v>25</v>
      </c>
    </row>
    <row r="145" spans="1:13" hidden="1" x14ac:dyDescent="0.25">
      <c r="A145" s="5">
        <v>45677</v>
      </c>
      <c r="B145" t="s">
        <v>54</v>
      </c>
      <c r="C145" t="s">
        <v>161</v>
      </c>
      <c r="D145" t="s">
        <v>611</v>
      </c>
      <c r="E145" t="str">
        <f t="shared" ref="E145:E208" si="3">IF(OR(D145="Honorários",D145="Despesa do cliente"),D145,LEFT(D145,3))</f>
        <v>COM</v>
      </c>
      <c r="F145" t="s">
        <v>150</v>
      </c>
      <c r="G145" t="s">
        <v>150</v>
      </c>
      <c r="H145" t="s">
        <v>163</v>
      </c>
      <c r="J145" t="s">
        <v>143</v>
      </c>
      <c r="K145" s="23">
        <v>-70</v>
      </c>
      <c r="L145" t="s">
        <v>24</v>
      </c>
      <c r="M145" t="s">
        <v>25</v>
      </c>
    </row>
    <row r="146" spans="1:13" hidden="1" x14ac:dyDescent="0.25">
      <c r="A146" s="5">
        <v>45677</v>
      </c>
      <c r="B146" t="s">
        <v>54</v>
      </c>
      <c r="C146" t="s">
        <v>164</v>
      </c>
      <c r="D146" t="s">
        <v>448</v>
      </c>
      <c r="E146" t="str">
        <f t="shared" si="3"/>
        <v>COM</v>
      </c>
      <c r="F146" t="s">
        <v>150</v>
      </c>
      <c r="G146" t="s">
        <v>150</v>
      </c>
      <c r="H146" t="s">
        <v>163</v>
      </c>
      <c r="J146" t="s">
        <v>143</v>
      </c>
      <c r="K146" s="23">
        <v>-30</v>
      </c>
      <c r="L146" t="s">
        <v>24</v>
      </c>
      <c r="M146" t="s">
        <v>25</v>
      </c>
    </row>
    <row r="147" spans="1:13" hidden="1" x14ac:dyDescent="0.25">
      <c r="A147" s="5">
        <v>45677</v>
      </c>
      <c r="B147" t="s">
        <v>50</v>
      </c>
      <c r="C147" t="s">
        <v>165</v>
      </c>
      <c r="D147" t="s">
        <v>166</v>
      </c>
      <c r="E147" t="str">
        <f t="shared" si="3"/>
        <v>PES</v>
      </c>
      <c r="F147" t="s">
        <v>167</v>
      </c>
      <c r="G147" t="s">
        <v>167</v>
      </c>
      <c r="J147" t="s">
        <v>17</v>
      </c>
      <c r="K147" s="23">
        <v>-1980.52</v>
      </c>
      <c r="L147" t="s">
        <v>24</v>
      </c>
      <c r="M147" t="s">
        <v>25</v>
      </c>
    </row>
    <row r="148" spans="1:13" hidden="1" x14ac:dyDescent="0.25">
      <c r="A148" s="5">
        <v>45678</v>
      </c>
      <c r="B148" t="s">
        <v>54</v>
      </c>
      <c r="C148" t="s">
        <v>168</v>
      </c>
      <c r="D148" t="s">
        <v>56</v>
      </c>
      <c r="E148" t="str">
        <f t="shared" si="3"/>
        <v>Honorários</v>
      </c>
      <c r="F148" t="s">
        <v>169</v>
      </c>
      <c r="G148" t="s">
        <v>169</v>
      </c>
      <c r="J148" t="s">
        <v>17</v>
      </c>
      <c r="K148" s="23">
        <v>270</v>
      </c>
      <c r="L148" t="s">
        <v>18</v>
      </c>
      <c r="M148" t="s">
        <v>19</v>
      </c>
    </row>
    <row r="149" spans="1:13" hidden="1" x14ac:dyDescent="0.25">
      <c r="A149" s="5">
        <v>45678</v>
      </c>
      <c r="B149" t="s">
        <v>50</v>
      </c>
      <c r="C149" t="s">
        <v>170</v>
      </c>
      <c r="D149" t="s">
        <v>56</v>
      </c>
      <c r="E149" t="str">
        <f t="shared" si="3"/>
        <v>Honorários</v>
      </c>
      <c r="F149" t="s">
        <v>171</v>
      </c>
      <c r="G149" t="s">
        <v>171</v>
      </c>
      <c r="I149" t="s">
        <v>172</v>
      </c>
      <c r="J149" t="s">
        <v>17</v>
      </c>
      <c r="K149" s="23">
        <v>120</v>
      </c>
      <c r="L149" t="s">
        <v>18</v>
      </c>
      <c r="M149" t="s">
        <v>83</v>
      </c>
    </row>
    <row r="150" spans="1:13" hidden="1" x14ac:dyDescent="0.25">
      <c r="A150" s="5">
        <v>45678</v>
      </c>
      <c r="B150" t="s">
        <v>50</v>
      </c>
      <c r="C150" t="s">
        <v>173</v>
      </c>
      <c r="D150" t="s">
        <v>56</v>
      </c>
      <c r="E150" t="str">
        <f t="shared" si="3"/>
        <v>Honorários</v>
      </c>
      <c r="F150" t="s">
        <v>174</v>
      </c>
      <c r="G150" t="s">
        <v>174</v>
      </c>
      <c r="I150" t="s">
        <v>175</v>
      </c>
      <c r="J150" t="s">
        <v>17</v>
      </c>
      <c r="K150" s="23">
        <v>3674.98</v>
      </c>
      <c r="L150" t="s">
        <v>18</v>
      </c>
      <c r="M150" t="s">
        <v>19</v>
      </c>
    </row>
    <row r="151" spans="1:13" hidden="1" x14ac:dyDescent="0.25">
      <c r="A151" s="5">
        <v>45678</v>
      </c>
      <c r="B151" t="s">
        <v>54</v>
      </c>
      <c r="C151" t="s">
        <v>168</v>
      </c>
      <c r="D151" t="s">
        <v>56</v>
      </c>
      <c r="E151" t="str">
        <f t="shared" si="3"/>
        <v>Honorários</v>
      </c>
      <c r="F151" t="s">
        <v>169</v>
      </c>
      <c r="G151" t="s">
        <v>169</v>
      </c>
      <c r="J151" t="s">
        <v>17</v>
      </c>
      <c r="K151" s="23">
        <v>270</v>
      </c>
      <c r="L151" t="s">
        <v>18</v>
      </c>
      <c r="M151" t="s">
        <v>19</v>
      </c>
    </row>
    <row r="152" spans="1:13" hidden="1" x14ac:dyDescent="0.25">
      <c r="A152" s="5">
        <v>45679</v>
      </c>
      <c r="B152" t="s">
        <v>54</v>
      </c>
      <c r="C152" t="s">
        <v>176</v>
      </c>
      <c r="D152" t="s">
        <v>56</v>
      </c>
      <c r="E152" t="str">
        <f t="shared" si="3"/>
        <v>Honorários</v>
      </c>
      <c r="F152" t="s">
        <v>78</v>
      </c>
      <c r="G152" t="s">
        <v>78</v>
      </c>
      <c r="H152" t="s">
        <v>177</v>
      </c>
      <c r="I152" t="s">
        <v>79</v>
      </c>
      <c r="J152" t="s">
        <v>17</v>
      </c>
      <c r="K152" s="23">
        <v>616.44000000000005</v>
      </c>
      <c r="L152" t="s">
        <v>18</v>
      </c>
      <c r="M152" t="s">
        <v>19</v>
      </c>
    </row>
    <row r="153" spans="1:13" hidden="1" x14ac:dyDescent="0.25">
      <c r="A153" s="5">
        <v>45680</v>
      </c>
      <c r="B153" t="s">
        <v>67</v>
      </c>
      <c r="C153" t="s">
        <v>178</v>
      </c>
      <c r="D153" t="s">
        <v>56</v>
      </c>
      <c r="E153" t="str">
        <f t="shared" si="3"/>
        <v>Honorários</v>
      </c>
      <c r="F153" t="s">
        <v>179</v>
      </c>
      <c r="G153" t="s">
        <v>179</v>
      </c>
      <c r="I153" t="s">
        <v>180</v>
      </c>
      <c r="J153" t="s">
        <v>17</v>
      </c>
      <c r="K153" s="23">
        <v>150</v>
      </c>
      <c r="L153" t="s">
        <v>18</v>
      </c>
      <c r="M153" t="s">
        <v>19</v>
      </c>
    </row>
    <row r="154" spans="1:13" hidden="1" x14ac:dyDescent="0.25">
      <c r="A154" s="5">
        <v>45680</v>
      </c>
      <c r="B154" t="s">
        <v>50</v>
      </c>
      <c r="C154" t="s">
        <v>181</v>
      </c>
      <c r="D154" t="s">
        <v>149</v>
      </c>
      <c r="E154" t="str">
        <f t="shared" si="3"/>
        <v>ADM</v>
      </c>
      <c r="F154" t="s">
        <v>150</v>
      </c>
      <c r="G154" t="s">
        <v>150</v>
      </c>
      <c r="H154" t="s">
        <v>182</v>
      </c>
      <c r="J154" t="s">
        <v>143</v>
      </c>
      <c r="K154" s="23">
        <v>-150</v>
      </c>
      <c r="L154" t="s">
        <v>24</v>
      </c>
      <c r="M154" t="s">
        <v>25</v>
      </c>
    </row>
    <row r="155" spans="1:13" hidden="1" x14ac:dyDescent="0.25">
      <c r="A155" s="5">
        <v>45681</v>
      </c>
      <c r="B155" t="s">
        <v>50</v>
      </c>
      <c r="C155" t="s">
        <v>183</v>
      </c>
      <c r="D155" t="s">
        <v>77</v>
      </c>
      <c r="E155" t="str">
        <f t="shared" si="3"/>
        <v>Despesa do cliente</v>
      </c>
      <c r="F155" t="s">
        <v>184</v>
      </c>
      <c r="G155" t="s">
        <v>184</v>
      </c>
      <c r="I155" t="s">
        <v>185</v>
      </c>
      <c r="J155" t="s">
        <v>143</v>
      </c>
      <c r="K155" s="23">
        <v>-132.99</v>
      </c>
      <c r="L155" t="s">
        <v>24</v>
      </c>
      <c r="M155" t="s">
        <v>25</v>
      </c>
    </row>
    <row r="156" spans="1:13" hidden="1" x14ac:dyDescent="0.25">
      <c r="A156" s="5">
        <v>45681</v>
      </c>
      <c r="B156" t="s">
        <v>54</v>
      </c>
      <c r="C156" t="s">
        <v>98</v>
      </c>
      <c r="D156" t="s">
        <v>99</v>
      </c>
      <c r="E156" t="str">
        <f t="shared" si="3"/>
        <v>ADM</v>
      </c>
      <c r="F156" t="s">
        <v>100</v>
      </c>
      <c r="G156" t="s">
        <v>100</v>
      </c>
      <c r="J156" t="s">
        <v>17</v>
      </c>
      <c r="K156" s="23">
        <v>-340</v>
      </c>
      <c r="L156" t="s">
        <v>24</v>
      </c>
      <c r="M156" t="s">
        <v>25</v>
      </c>
    </row>
    <row r="157" spans="1:13" hidden="1" x14ac:dyDescent="0.25">
      <c r="A157" s="5">
        <v>45685</v>
      </c>
      <c r="B157" t="s">
        <v>54</v>
      </c>
      <c r="C157" t="s">
        <v>186</v>
      </c>
      <c r="D157" t="s">
        <v>56</v>
      </c>
      <c r="E157" t="str">
        <f t="shared" si="3"/>
        <v>Honorários</v>
      </c>
      <c r="F157" t="s">
        <v>187</v>
      </c>
      <c r="G157" t="s">
        <v>187</v>
      </c>
      <c r="I157" t="s">
        <v>93</v>
      </c>
      <c r="J157" t="s">
        <v>17</v>
      </c>
      <c r="K157" s="23">
        <v>282.39999999999998</v>
      </c>
      <c r="L157" t="s">
        <v>18</v>
      </c>
      <c r="M157" t="s">
        <v>19</v>
      </c>
    </row>
    <row r="158" spans="1:13" hidden="1" x14ac:dyDescent="0.25">
      <c r="A158" s="5">
        <v>45685</v>
      </c>
      <c r="B158" t="s">
        <v>50</v>
      </c>
      <c r="C158" t="s">
        <v>188</v>
      </c>
      <c r="D158" t="s">
        <v>89</v>
      </c>
      <c r="E158" t="str">
        <f t="shared" si="3"/>
        <v>ADM</v>
      </c>
      <c r="F158" t="s">
        <v>150</v>
      </c>
      <c r="G158" t="s">
        <v>150</v>
      </c>
      <c r="H158" t="s">
        <v>189</v>
      </c>
      <c r="J158" t="s">
        <v>143</v>
      </c>
      <c r="K158" s="23">
        <v>-340.6</v>
      </c>
      <c r="L158" t="s">
        <v>24</v>
      </c>
      <c r="M158" t="s">
        <v>25</v>
      </c>
    </row>
    <row r="159" spans="1:13" hidden="1" x14ac:dyDescent="0.25">
      <c r="A159" s="5">
        <v>45685</v>
      </c>
      <c r="B159" t="s">
        <v>50</v>
      </c>
      <c r="C159" t="s">
        <v>121</v>
      </c>
      <c r="D159" t="s">
        <v>56</v>
      </c>
      <c r="E159" t="str">
        <f t="shared" si="3"/>
        <v>Honorários</v>
      </c>
      <c r="F159" t="s">
        <v>94</v>
      </c>
      <c r="G159" t="s">
        <v>94</v>
      </c>
      <c r="I159" t="s">
        <v>82</v>
      </c>
      <c r="J159" t="s">
        <v>17</v>
      </c>
      <c r="K159" s="23">
        <v>14421.52</v>
      </c>
      <c r="L159" t="s">
        <v>18</v>
      </c>
      <c r="M159" t="s">
        <v>19</v>
      </c>
    </row>
    <row r="160" spans="1:13" hidden="1" x14ac:dyDescent="0.25">
      <c r="A160" s="5">
        <v>45685</v>
      </c>
      <c r="B160" t="s">
        <v>50</v>
      </c>
      <c r="C160" t="s">
        <v>190</v>
      </c>
      <c r="D160" t="s">
        <v>191</v>
      </c>
      <c r="E160" t="str">
        <f t="shared" si="3"/>
        <v>ADM</v>
      </c>
      <c r="F160" t="s">
        <v>192</v>
      </c>
      <c r="G160" t="s">
        <v>192</v>
      </c>
      <c r="J160" t="s">
        <v>17</v>
      </c>
      <c r="K160" s="23">
        <v>-720.51</v>
      </c>
      <c r="L160" t="s">
        <v>24</v>
      </c>
      <c r="M160" t="s">
        <v>25</v>
      </c>
    </row>
    <row r="161" spans="1:13" hidden="1" x14ac:dyDescent="0.25">
      <c r="A161" s="5">
        <v>45686</v>
      </c>
      <c r="B161" t="s">
        <v>67</v>
      </c>
      <c r="C161" t="s">
        <v>193</v>
      </c>
      <c r="D161" t="s">
        <v>56</v>
      </c>
      <c r="E161" t="str">
        <f t="shared" si="3"/>
        <v>Honorários</v>
      </c>
      <c r="F161" t="s">
        <v>194</v>
      </c>
      <c r="G161" t="s">
        <v>194</v>
      </c>
      <c r="H161" t="s">
        <v>195</v>
      </c>
      <c r="I161" t="s">
        <v>196</v>
      </c>
      <c r="J161" t="s">
        <v>17</v>
      </c>
      <c r="K161" s="23">
        <v>410</v>
      </c>
      <c r="L161" t="s">
        <v>18</v>
      </c>
      <c r="M161" t="s">
        <v>19</v>
      </c>
    </row>
    <row r="162" spans="1:13" hidden="1" x14ac:dyDescent="0.25">
      <c r="A162" s="5">
        <v>45686</v>
      </c>
      <c r="B162" t="s">
        <v>67</v>
      </c>
      <c r="C162" t="s">
        <v>193</v>
      </c>
      <c r="D162" t="s">
        <v>56</v>
      </c>
      <c r="E162" t="str">
        <f t="shared" si="3"/>
        <v>Honorários</v>
      </c>
      <c r="F162" t="s">
        <v>194</v>
      </c>
      <c r="G162" t="s">
        <v>194</v>
      </c>
      <c r="I162" t="s">
        <v>196</v>
      </c>
      <c r="J162" t="s">
        <v>17</v>
      </c>
      <c r="K162" s="23">
        <v>59</v>
      </c>
      <c r="L162" t="s">
        <v>18</v>
      </c>
      <c r="M162" t="s">
        <v>19</v>
      </c>
    </row>
    <row r="163" spans="1:13" hidden="1" x14ac:dyDescent="0.25">
      <c r="A163" s="5">
        <v>45688</v>
      </c>
      <c r="B163" t="s">
        <v>50</v>
      </c>
      <c r="C163" t="s">
        <v>197</v>
      </c>
      <c r="D163" t="s">
        <v>198</v>
      </c>
      <c r="E163" t="str">
        <f t="shared" si="3"/>
        <v>PES</v>
      </c>
      <c r="F163" t="s">
        <v>199</v>
      </c>
      <c r="G163" t="s">
        <v>199</v>
      </c>
      <c r="J163" t="s">
        <v>17</v>
      </c>
      <c r="K163" s="23">
        <v>-3195.89</v>
      </c>
      <c r="L163" t="s">
        <v>24</v>
      </c>
      <c r="M163" t="s">
        <v>25</v>
      </c>
    </row>
    <row r="164" spans="1:13" hidden="1" x14ac:dyDescent="0.25">
      <c r="A164" s="5">
        <v>45688</v>
      </c>
      <c r="B164" t="s">
        <v>54</v>
      </c>
      <c r="C164" t="s">
        <v>98</v>
      </c>
      <c r="D164" t="s">
        <v>99</v>
      </c>
      <c r="E164" t="str">
        <f t="shared" si="3"/>
        <v>ADM</v>
      </c>
      <c r="F164" t="s">
        <v>100</v>
      </c>
      <c r="G164" t="s">
        <v>100</v>
      </c>
      <c r="J164" t="s">
        <v>17</v>
      </c>
      <c r="K164" s="23">
        <v>-340</v>
      </c>
      <c r="L164" t="s">
        <v>24</v>
      </c>
      <c r="M164" t="s">
        <v>25</v>
      </c>
    </row>
    <row r="165" spans="1:13" hidden="1" x14ac:dyDescent="0.25">
      <c r="A165" s="5">
        <v>45688</v>
      </c>
      <c r="B165" t="s">
        <v>50</v>
      </c>
      <c r="C165" t="s">
        <v>200</v>
      </c>
      <c r="D165" t="s">
        <v>201</v>
      </c>
      <c r="E165" t="str">
        <f t="shared" si="3"/>
        <v>DIR</v>
      </c>
      <c r="F165" t="s">
        <v>67</v>
      </c>
      <c r="G165" t="s">
        <v>67</v>
      </c>
      <c r="J165" t="s">
        <v>17</v>
      </c>
      <c r="K165" s="23">
        <v>-3648.98</v>
      </c>
      <c r="L165" t="s">
        <v>24</v>
      </c>
      <c r="M165" t="s">
        <v>25</v>
      </c>
    </row>
    <row r="166" spans="1:13" hidden="1" x14ac:dyDescent="0.25">
      <c r="A166" s="5">
        <v>45688</v>
      </c>
      <c r="B166" t="s">
        <v>54</v>
      </c>
      <c r="C166" t="s">
        <v>202</v>
      </c>
      <c r="D166" t="s">
        <v>198</v>
      </c>
      <c r="E166" t="str">
        <f t="shared" si="3"/>
        <v>PES</v>
      </c>
      <c r="F166" t="s">
        <v>203</v>
      </c>
      <c r="G166" t="s">
        <v>203</v>
      </c>
      <c r="J166" t="s">
        <v>143</v>
      </c>
      <c r="K166" s="23">
        <v>-930.39</v>
      </c>
      <c r="L166" t="s">
        <v>24</v>
      </c>
      <c r="M166" t="s">
        <v>25</v>
      </c>
    </row>
    <row r="167" spans="1:13" hidden="1" x14ac:dyDescent="0.25">
      <c r="A167" s="5">
        <v>45688</v>
      </c>
      <c r="B167" t="s">
        <v>50</v>
      </c>
      <c r="C167" t="s">
        <v>204</v>
      </c>
      <c r="D167" t="s">
        <v>128</v>
      </c>
      <c r="E167" t="str">
        <f t="shared" si="3"/>
        <v>PES</v>
      </c>
      <c r="F167" t="s">
        <v>205</v>
      </c>
      <c r="G167" t="s">
        <v>205</v>
      </c>
      <c r="J167" t="s">
        <v>17</v>
      </c>
      <c r="K167" s="23">
        <v>-1300</v>
      </c>
      <c r="L167" t="s">
        <v>24</v>
      </c>
      <c r="M167" t="s">
        <v>25</v>
      </c>
    </row>
    <row r="168" spans="1:13" hidden="1" x14ac:dyDescent="0.25">
      <c r="A168" s="5">
        <v>45688</v>
      </c>
      <c r="B168" t="s">
        <v>50</v>
      </c>
      <c r="C168" t="s">
        <v>200</v>
      </c>
      <c r="D168" t="s">
        <v>201</v>
      </c>
      <c r="E168" t="str">
        <f t="shared" si="3"/>
        <v>DIR</v>
      </c>
      <c r="F168" t="s">
        <v>54</v>
      </c>
      <c r="G168" t="s">
        <v>54</v>
      </c>
      <c r="J168" t="s">
        <v>17</v>
      </c>
      <c r="K168" s="23">
        <v>-6148.98</v>
      </c>
      <c r="L168" t="s">
        <v>24</v>
      </c>
      <c r="M168" t="s">
        <v>25</v>
      </c>
    </row>
    <row r="169" spans="1:13" hidden="1" x14ac:dyDescent="0.25">
      <c r="A169" s="5">
        <v>45688</v>
      </c>
      <c r="B169" t="s">
        <v>50</v>
      </c>
      <c r="C169" t="s">
        <v>206</v>
      </c>
      <c r="D169" t="s">
        <v>207</v>
      </c>
      <c r="E169" t="str">
        <f t="shared" si="3"/>
        <v>DIR</v>
      </c>
      <c r="F169" t="s">
        <v>67</v>
      </c>
      <c r="G169" t="s">
        <v>67</v>
      </c>
      <c r="J169" t="s">
        <v>17</v>
      </c>
      <c r="K169" s="23">
        <v>-1351.02</v>
      </c>
      <c r="L169" t="s">
        <v>24</v>
      </c>
      <c r="M169" t="s">
        <v>25</v>
      </c>
    </row>
    <row r="170" spans="1:13" hidden="1" x14ac:dyDescent="0.25">
      <c r="A170" s="5">
        <v>45688</v>
      </c>
      <c r="B170" t="s">
        <v>50</v>
      </c>
      <c r="C170" t="s">
        <v>206</v>
      </c>
      <c r="D170" t="s">
        <v>207</v>
      </c>
      <c r="E170" t="str">
        <f t="shared" si="3"/>
        <v>DIR</v>
      </c>
      <c r="F170" t="s">
        <v>54</v>
      </c>
      <c r="G170" t="s">
        <v>54</v>
      </c>
      <c r="J170" t="s">
        <v>17</v>
      </c>
      <c r="K170" s="23">
        <v>-1351.02</v>
      </c>
      <c r="L170" t="s">
        <v>24</v>
      </c>
      <c r="M170" t="s">
        <v>25</v>
      </c>
    </row>
    <row r="171" spans="1:13" hidden="1" x14ac:dyDescent="0.25">
      <c r="A171" s="5">
        <v>45688</v>
      </c>
      <c r="B171" t="s">
        <v>50</v>
      </c>
      <c r="C171" t="s">
        <v>204</v>
      </c>
      <c r="D171" t="s">
        <v>128</v>
      </c>
      <c r="E171" t="str">
        <f t="shared" si="3"/>
        <v>PES</v>
      </c>
      <c r="F171" t="s">
        <v>208</v>
      </c>
      <c r="G171" t="s">
        <v>208</v>
      </c>
      <c r="J171" t="s">
        <v>17</v>
      </c>
      <c r="K171" s="23">
        <v>-1300</v>
      </c>
      <c r="L171" t="s">
        <v>24</v>
      </c>
      <c r="M171" t="s">
        <v>25</v>
      </c>
    </row>
    <row r="172" spans="1:13" hidden="1" x14ac:dyDescent="0.25">
      <c r="A172" s="5">
        <v>45688</v>
      </c>
      <c r="B172" t="s">
        <v>54</v>
      </c>
      <c r="C172" t="s">
        <v>197</v>
      </c>
      <c r="D172" t="s">
        <v>198</v>
      </c>
      <c r="E172" t="str">
        <f t="shared" si="3"/>
        <v>PES</v>
      </c>
      <c r="F172" t="s">
        <v>209</v>
      </c>
      <c r="G172" t="s">
        <v>209</v>
      </c>
      <c r="J172" t="s">
        <v>17</v>
      </c>
      <c r="K172" s="23">
        <v>-2200</v>
      </c>
      <c r="L172" t="s">
        <v>24</v>
      </c>
      <c r="M172" t="s">
        <v>25</v>
      </c>
    </row>
    <row r="173" spans="1:13" hidden="1" x14ac:dyDescent="0.25">
      <c r="A173" s="5">
        <v>45691</v>
      </c>
      <c r="B173" t="s">
        <v>20</v>
      </c>
      <c r="C173" t="s">
        <v>41</v>
      </c>
      <c r="D173" t="s">
        <v>30</v>
      </c>
      <c r="E173" t="str">
        <f t="shared" si="3"/>
        <v>ADM</v>
      </c>
      <c r="F173" t="s">
        <v>23</v>
      </c>
      <c r="G173" t="s">
        <v>23</v>
      </c>
      <c r="J173" t="s">
        <v>17</v>
      </c>
      <c r="K173" s="23">
        <v>-38.99</v>
      </c>
      <c r="L173" t="s">
        <v>24</v>
      </c>
      <c r="M173" t="s">
        <v>25</v>
      </c>
    </row>
    <row r="174" spans="1:13" hidden="1" x14ac:dyDescent="0.25">
      <c r="A174" s="5">
        <v>45691</v>
      </c>
      <c r="B174" t="s">
        <v>50</v>
      </c>
      <c r="C174" t="s">
        <v>51</v>
      </c>
      <c r="D174" t="s">
        <v>52</v>
      </c>
      <c r="E174" t="str">
        <f t="shared" si="3"/>
        <v>ADM</v>
      </c>
      <c r="F174" t="s">
        <v>53</v>
      </c>
      <c r="G174" t="s">
        <v>53</v>
      </c>
      <c r="J174" t="s">
        <v>17</v>
      </c>
      <c r="K174" s="24">
        <v>-1518</v>
      </c>
      <c r="L174" t="s">
        <v>24</v>
      </c>
      <c r="M174" t="s">
        <v>25</v>
      </c>
    </row>
    <row r="175" spans="1:13" hidden="1" x14ac:dyDescent="0.25">
      <c r="A175" s="5">
        <v>45691</v>
      </c>
      <c r="B175" t="s">
        <v>20</v>
      </c>
      <c r="C175" t="s">
        <v>284</v>
      </c>
      <c r="D175" t="s">
        <v>39</v>
      </c>
      <c r="E175" t="str">
        <f t="shared" si="3"/>
        <v>INV</v>
      </c>
      <c r="F175" t="s">
        <v>23</v>
      </c>
      <c r="G175" t="s">
        <v>23</v>
      </c>
      <c r="H175" t="s">
        <v>285</v>
      </c>
      <c r="J175" t="s">
        <v>143</v>
      </c>
      <c r="K175" s="23">
        <v>-333.24</v>
      </c>
      <c r="L175" t="s">
        <v>24</v>
      </c>
      <c r="M175" t="s">
        <v>25</v>
      </c>
    </row>
    <row r="176" spans="1:13" hidden="1" x14ac:dyDescent="0.25">
      <c r="A176" s="5">
        <v>45691</v>
      </c>
      <c r="B176" t="s">
        <v>13</v>
      </c>
      <c r="C176" t="s">
        <v>47</v>
      </c>
      <c r="D176" t="s">
        <v>30</v>
      </c>
      <c r="E176" t="str">
        <f t="shared" si="3"/>
        <v>ADM</v>
      </c>
      <c r="F176" t="s">
        <v>16</v>
      </c>
      <c r="G176" t="s">
        <v>16</v>
      </c>
      <c r="J176" t="s">
        <v>17</v>
      </c>
      <c r="K176" s="23">
        <v>-249.21</v>
      </c>
      <c r="L176" t="s">
        <v>24</v>
      </c>
      <c r="M176" t="s">
        <v>25</v>
      </c>
    </row>
    <row r="177" spans="1:13" hidden="1" x14ac:dyDescent="0.25">
      <c r="A177" s="5">
        <v>45691</v>
      </c>
      <c r="B177" t="s">
        <v>13</v>
      </c>
      <c r="C177" t="s">
        <v>48</v>
      </c>
      <c r="D177" t="s">
        <v>30</v>
      </c>
      <c r="E177" t="str">
        <f t="shared" si="3"/>
        <v>ADM</v>
      </c>
      <c r="F177" t="s">
        <v>16</v>
      </c>
      <c r="G177" t="s">
        <v>16</v>
      </c>
      <c r="J177" t="s">
        <v>17</v>
      </c>
      <c r="K177" s="23">
        <v>-126</v>
      </c>
      <c r="L177" t="s">
        <v>24</v>
      </c>
      <c r="M177" t="s">
        <v>25</v>
      </c>
    </row>
    <row r="178" spans="1:13" hidden="1" x14ac:dyDescent="0.25">
      <c r="A178" s="5">
        <v>45691</v>
      </c>
      <c r="B178" t="s">
        <v>20</v>
      </c>
      <c r="C178" t="s">
        <v>32</v>
      </c>
      <c r="D178" t="s">
        <v>30</v>
      </c>
      <c r="E178" t="str">
        <f t="shared" si="3"/>
        <v>ADM</v>
      </c>
      <c r="F178" t="s">
        <v>23</v>
      </c>
      <c r="G178" t="s">
        <v>23</v>
      </c>
      <c r="J178" t="s">
        <v>17</v>
      </c>
      <c r="K178" s="23">
        <v>-58.9</v>
      </c>
      <c r="L178" t="s">
        <v>24</v>
      </c>
      <c r="M178" t="s">
        <v>25</v>
      </c>
    </row>
    <row r="179" spans="1:13" hidden="1" x14ac:dyDescent="0.25">
      <c r="A179" s="5">
        <v>45691</v>
      </c>
      <c r="B179" t="s">
        <v>20</v>
      </c>
      <c r="C179" t="s">
        <v>286</v>
      </c>
      <c r="D179" t="s">
        <v>28</v>
      </c>
      <c r="E179" t="str">
        <f t="shared" si="3"/>
        <v>ADM</v>
      </c>
      <c r="F179" t="s">
        <v>23</v>
      </c>
      <c r="G179" t="s">
        <v>23</v>
      </c>
      <c r="J179" t="s">
        <v>143</v>
      </c>
      <c r="K179" s="23">
        <v>-41.08</v>
      </c>
      <c r="L179" t="s">
        <v>24</v>
      </c>
      <c r="M179" t="s">
        <v>25</v>
      </c>
    </row>
    <row r="180" spans="1:13" hidden="1" x14ac:dyDescent="0.25">
      <c r="A180" s="5">
        <v>45691</v>
      </c>
      <c r="B180" t="s">
        <v>20</v>
      </c>
      <c r="C180" t="s">
        <v>45</v>
      </c>
      <c r="D180" t="s">
        <v>15</v>
      </c>
      <c r="E180" t="str">
        <f t="shared" si="3"/>
        <v>ADM</v>
      </c>
      <c r="F180" t="s">
        <v>23</v>
      </c>
      <c r="G180" t="s">
        <v>23</v>
      </c>
      <c r="J180" t="s">
        <v>17</v>
      </c>
      <c r="K180" s="23">
        <v>2474.3000000000002</v>
      </c>
      <c r="L180" t="s">
        <v>18</v>
      </c>
      <c r="M180" t="s">
        <v>19</v>
      </c>
    </row>
    <row r="181" spans="1:13" hidden="1" x14ac:dyDescent="0.25">
      <c r="A181" s="5">
        <v>45691</v>
      </c>
      <c r="B181" t="s">
        <v>20</v>
      </c>
      <c r="C181" t="s">
        <v>41</v>
      </c>
      <c r="D181" t="s">
        <v>30</v>
      </c>
      <c r="E181" t="str">
        <f t="shared" si="3"/>
        <v>ADM</v>
      </c>
      <c r="F181" t="s">
        <v>23</v>
      </c>
      <c r="G181" t="s">
        <v>23</v>
      </c>
      <c r="J181" t="s">
        <v>17</v>
      </c>
      <c r="K181" s="23">
        <v>-11.99</v>
      </c>
      <c r="L181" t="s">
        <v>24</v>
      </c>
      <c r="M181" t="s">
        <v>25</v>
      </c>
    </row>
    <row r="182" spans="1:13" hidden="1" x14ac:dyDescent="0.25">
      <c r="A182" s="5">
        <v>45691</v>
      </c>
      <c r="B182" t="s">
        <v>54</v>
      </c>
      <c r="C182" t="s">
        <v>137</v>
      </c>
      <c r="D182" t="s">
        <v>56</v>
      </c>
      <c r="E182" t="str">
        <f t="shared" si="3"/>
        <v>Honorários</v>
      </c>
      <c r="F182" t="s">
        <v>138</v>
      </c>
      <c r="G182" t="s">
        <v>138</v>
      </c>
      <c r="I182" t="s">
        <v>139</v>
      </c>
      <c r="J182" t="s">
        <v>17</v>
      </c>
      <c r="K182" s="23">
        <v>450</v>
      </c>
      <c r="L182" t="s">
        <v>18</v>
      </c>
      <c r="M182" t="s">
        <v>19</v>
      </c>
    </row>
    <row r="183" spans="1:13" hidden="1" x14ac:dyDescent="0.25">
      <c r="A183" s="5">
        <v>45691</v>
      </c>
      <c r="B183" t="s">
        <v>20</v>
      </c>
      <c r="C183" t="s">
        <v>287</v>
      </c>
      <c r="D183" t="s">
        <v>89</v>
      </c>
      <c r="E183" t="str">
        <f t="shared" si="3"/>
        <v>ADM</v>
      </c>
      <c r="F183" t="s">
        <v>23</v>
      </c>
      <c r="G183" t="s">
        <v>23</v>
      </c>
      <c r="J183" t="s">
        <v>143</v>
      </c>
      <c r="K183" s="23">
        <v>-198.48</v>
      </c>
      <c r="L183" t="s">
        <v>24</v>
      </c>
      <c r="M183" t="s">
        <v>25</v>
      </c>
    </row>
    <row r="184" spans="1:13" hidden="1" x14ac:dyDescent="0.25">
      <c r="A184" s="5">
        <v>45691</v>
      </c>
      <c r="B184" t="s">
        <v>13</v>
      </c>
      <c r="C184" t="s">
        <v>29</v>
      </c>
      <c r="D184" t="s">
        <v>30</v>
      </c>
      <c r="E184" t="str">
        <f t="shared" si="3"/>
        <v>ADM</v>
      </c>
      <c r="F184" t="s">
        <v>16</v>
      </c>
      <c r="G184" t="s">
        <v>16</v>
      </c>
      <c r="J184" t="s">
        <v>17</v>
      </c>
      <c r="K184" s="23">
        <v>-456.75</v>
      </c>
      <c r="L184" t="s">
        <v>24</v>
      </c>
      <c r="M184" t="s">
        <v>25</v>
      </c>
    </row>
    <row r="185" spans="1:13" hidden="1" x14ac:dyDescent="0.25">
      <c r="A185" s="5">
        <v>45691</v>
      </c>
      <c r="B185" t="s">
        <v>20</v>
      </c>
      <c r="C185" t="s">
        <v>46</v>
      </c>
      <c r="D185" t="s">
        <v>30</v>
      </c>
      <c r="E185" t="str">
        <f t="shared" si="3"/>
        <v>ADM</v>
      </c>
      <c r="F185" t="s">
        <v>23</v>
      </c>
      <c r="G185" t="s">
        <v>23</v>
      </c>
      <c r="J185" t="s">
        <v>17</v>
      </c>
      <c r="K185" s="23">
        <v>-99.9</v>
      </c>
      <c r="L185" t="s">
        <v>24</v>
      </c>
      <c r="M185" t="s">
        <v>25</v>
      </c>
    </row>
    <row r="186" spans="1:13" hidden="1" x14ac:dyDescent="0.25">
      <c r="A186" s="5">
        <v>45691</v>
      </c>
      <c r="B186" t="s">
        <v>50</v>
      </c>
      <c r="C186" t="s">
        <v>61</v>
      </c>
      <c r="D186" t="s">
        <v>62</v>
      </c>
      <c r="E186" t="str">
        <f t="shared" si="3"/>
        <v>INV</v>
      </c>
      <c r="F186" t="s">
        <v>63</v>
      </c>
      <c r="G186" t="s">
        <v>63</v>
      </c>
      <c r="J186" t="s">
        <v>17</v>
      </c>
      <c r="K186" s="23">
        <v>-1750</v>
      </c>
      <c r="L186" t="s">
        <v>24</v>
      </c>
      <c r="M186" t="s">
        <v>25</v>
      </c>
    </row>
    <row r="187" spans="1:13" hidden="1" x14ac:dyDescent="0.25">
      <c r="A187" s="5">
        <v>45691</v>
      </c>
      <c r="B187" t="s">
        <v>54</v>
      </c>
      <c r="C187" t="s">
        <v>288</v>
      </c>
      <c r="D187" t="s">
        <v>56</v>
      </c>
      <c r="E187" t="str">
        <f t="shared" si="3"/>
        <v>Honorários</v>
      </c>
      <c r="F187" t="s">
        <v>108</v>
      </c>
      <c r="G187" t="s">
        <v>108</v>
      </c>
      <c r="I187" t="s">
        <v>109</v>
      </c>
      <c r="J187" t="s">
        <v>17</v>
      </c>
      <c r="K187" s="23">
        <v>6125</v>
      </c>
      <c r="L187" t="s">
        <v>18</v>
      </c>
      <c r="M187" t="s">
        <v>19</v>
      </c>
    </row>
    <row r="188" spans="1:13" hidden="1" x14ac:dyDescent="0.25">
      <c r="A188" s="5">
        <v>45691</v>
      </c>
      <c r="B188" t="s">
        <v>20</v>
      </c>
      <c r="C188" t="s">
        <v>40</v>
      </c>
      <c r="D188" t="s">
        <v>30</v>
      </c>
      <c r="E188" t="str">
        <f t="shared" si="3"/>
        <v>ADM</v>
      </c>
      <c r="F188" t="s">
        <v>23</v>
      </c>
      <c r="G188" t="s">
        <v>23</v>
      </c>
      <c r="J188" t="s">
        <v>17</v>
      </c>
      <c r="K188" s="23">
        <v>-19.899999999999999</v>
      </c>
      <c r="L188" t="s">
        <v>24</v>
      </c>
      <c r="M188" t="s">
        <v>25</v>
      </c>
    </row>
    <row r="189" spans="1:13" hidden="1" x14ac:dyDescent="0.25">
      <c r="A189" s="5">
        <v>45691</v>
      </c>
      <c r="B189" t="s">
        <v>67</v>
      </c>
      <c r="C189" t="s">
        <v>68</v>
      </c>
      <c r="D189" t="s">
        <v>56</v>
      </c>
      <c r="E189" t="str">
        <f t="shared" si="3"/>
        <v>Honorários</v>
      </c>
      <c r="F189" t="s">
        <v>69</v>
      </c>
      <c r="G189" t="s">
        <v>69</v>
      </c>
      <c r="I189" t="s">
        <v>70</v>
      </c>
      <c r="J189" t="s">
        <v>17</v>
      </c>
      <c r="K189" s="23">
        <v>250</v>
      </c>
      <c r="L189" t="s">
        <v>18</v>
      </c>
      <c r="M189" t="s">
        <v>19</v>
      </c>
    </row>
    <row r="190" spans="1:13" hidden="1" x14ac:dyDescent="0.25">
      <c r="A190" s="5">
        <v>45691</v>
      </c>
      <c r="B190" t="s">
        <v>50</v>
      </c>
      <c r="C190" t="s">
        <v>289</v>
      </c>
      <c r="D190" t="s">
        <v>56</v>
      </c>
      <c r="E190" t="str">
        <f t="shared" si="3"/>
        <v>Honorários</v>
      </c>
      <c r="F190" t="s">
        <v>290</v>
      </c>
      <c r="G190" t="s">
        <v>290</v>
      </c>
      <c r="I190" t="s">
        <v>291</v>
      </c>
      <c r="J190" t="s">
        <v>17</v>
      </c>
      <c r="K190" s="23">
        <v>317.7</v>
      </c>
      <c r="L190" t="s">
        <v>18</v>
      </c>
      <c r="M190" t="s">
        <v>83</v>
      </c>
    </row>
    <row r="191" spans="1:13" hidden="1" x14ac:dyDescent="0.25">
      <c r="A191" s="5">
        <v>45691</v>
      </c>
      <c r="B191" t="s">
        <v>13</v>
      </c>
      <c r="C191" t="s">
        <v>35</v>
      </c>
      <c r="D191" t="s">
        <v>30</v>
      </c>
      <c r="E191" t="str">
        <f t="shared" si="3"/>
        <v>ADM</v>
      </c>
      <c r="F191" t="s">
        <v>16</v>
      </c>
      <c r="G191" t="s">
        <v>16</v>
      </c>
      <c r="J191" t="s">
        <v>17</v>
      </c>
      <c r="K191" s="23">
        <v>-120.29</v>
      </c>
      <c r="L191" t="s">
        <v>24</v>
      </c>
      <c r="M191" t="s">
        <v>25</v>
      </c>
    </row>
    <row r="192" spans="1:13" hidden="1" x14ac:dyDescent="0.25">
      <c r="A192" s="5">
        <v>45691</v>
      </c>
      <c r="B192" t="s">
        <v>13</v>
      </c>
      <c r="C192" t="s">
        <v>292</v>
      </c>
      <c r="D192" t="s">
        <v>30</v>
      </c>
      <c r="E192" t="str">
        <f t="shared" si="3"/>
        <v>ADM</v>
      </c>
      <c r="F192" t="s">
        <v>16</v>
      </c>
      <c r="G192" t="s">
        <v>16</v>
      </c>
      <c r="J192" t="s">
        <v>17</v>
      </c>
      <c r="K192" s="23">
        <v>-99.9</v>
      </c>
      <c r="L192" t="s">
        <v>24</v>
      </c>
      <c r="M192" t="s">
        <v>25</v>
      </c>
    </row>
    <row r="193" spans="1:13" hidden="1" x14ac:dyDescent="0.25">
      <c r="A193" s="5">
        <v>45691</v>
      </c>
      <c r="B193" t="s">
        <v>20</v>
      </c>
      <c r="C193" t="s">
        <v>44</v>
      </c>
      <c r="D193" t="s">
        <v>28</v>
      </c>
      <c r="E193" t="str">
        <f t="shared" si="3"/>
        <v>ADM</v>
      </c>
      <c r="F193" t="s">
        <v>23</v>
      </c>
      <c r="G193" t="s">
        <v>23</v>
      </c>
      <c r="J193" t="s">
        <v>17</v>
      </c>
      <c r="K193" s="23">
        <v>-725</v>
      </c>
      <c r="L193" t="s">
        <v>24</v>
      </c>
      <c r="M193" t="s">
        <v>25</v>
      </c>
    </row>
    <row r="194" spans="1:13" hidden="1" x14ac:dyDescent="0.25">
      <c r="A194" s="5">
        <v>45691</v>
      </c>
      <c r="B194" t="s">
        <v>54</v>
      </c>
      <c r="C194" t="s">
        <v>137</v>
      </c>
      <c r="D194" t="s">
        <v>56</v>
      </c>
      <c r="E194" t="str">
        <f t="shared" si="3"/>
        <v>Honorários</v>
      </c>
      <c r="F194" t="s">
        <v>138</v>
      </c>
      <c r="G194" t="s">
        <v>138</v>
      </c>
      <c r="I194" t="s">
        <v>139</v>
      </c>
      <c r="J194" t="s">
        <v>17</v>
      </c>
      <c r="K194" s="23">
        <v>450</v>
      </c>
      <c r="L194" t="s">
        <v>18</v>
      </c>
      <c r="M194" t="s">
        <v>19</v>
      </c>
    </row>
    <row r="195" spans="1:13" hidden="1" x14ac:dyDescent="0.25">
      <c r="A195" s="5">
        <v>45691</v>
      </c>
      <c r="B195" t="s">
        <v>20</v>
      </c>
      <c r="C195" t="s">
        <v>286</v>
      </c>
      <c r="D195" t="s">
        <v>28</v>
      </c>
      <c r="E195" t="str">
        <f t="shared" si="3"/>
        <v>ADM</v>
      </c>
      <c r="F195" t="s">
        <v>23</v>
      </c>
      <c r="G195" t="s">
        <v>23</v>
      </c>
      <c r="J195" t="s">
        <v>143</v>
      </c>
      <c r="K195" s="23">
        <v>-41.1</v>
      </c>
      <c r="L195" t="s">
        <v>24</v>
      </c>
      <c r="M195" t="s">
        <v>25</v>
      </c>
    </row>
    <row r="196" spans="1:13" hidden="1" x14ac:dyDescent="0.25">
      <c r="A196" s="5">
        <v>45691</v>
      </c>
      <c r="B196" t="s">
        <v>20</v>
      </c>
      <c r="C196" t="s">
        <v>293</v>
      </c>
      <c r="D196" t="s">
        <v>89</v>
      </c>
      <c r="E196" t="str">
        <f t="shared" si="3"/>
        <v>ADM</v>
      </c>
      <c r="F196" t="s">
        <v>23</v>
      </c>
      <c r="G196" t="s">
        <v>23</v>
      </c>
      <c r="J196" t="s">
        <v>143</v>
      </c>
      <c r="K196" s="23">
        <v>-412.91</v>
      </c>
      <c r="L196" t="s">
        <v>24</v>
      </c>
      <c r="M196" t="s">
        <v>25</v>
      </c>
    </row>
    <row r="197" spans="1:13" hidden="1" x14ac:dyDescent="0.25">
      <c r="A197" s="5">
        <v>45691</v>
      </c>
      <c r="B197" t="s">
        <v>20</v>
      </c>
      <c r="C197" t="s">
        <v>294</v>
      </c>
      <c r="D197" t="s">
        <v>89</v>
      </c>
      <c r="E197" t="str">
        <f t="shared" si="3"/>
        <v>ADM</v>
      </c>
      <c r="F197" t="s">
        <v>23</v>
      </c>
      <c r="G197" t="s">
        <v>23</v>
      </c>
      <c r="J197" t="s">
        <v>143</v>
      </c>
      <c r="K197" s="23">
        <v>-269</v>
      </c>
      <c r="L197" t="s">
        <v>24</v>
      </c>
      <c r="M197" t="s">
        <v>25</v>
      </c>
    </row>
    <row r="198" spans="1:13" hidden="1" x14ac:dyDescent="0.25">
      <c r="A198" s="5">
        <v>45691</v>
      </c>
      <c r="B198" t="s">
        <v>20</v>
      </c>
      <c r="C198" t="s">
        <v>32</v>
      </c>
      <c r="D198" t="s">
        <v>30</v>
      </c>
      <c r="E198" t="str">
        <f t="shared" si="3"/>
        <v>ADM</v>
      </c>
      <c r="F198" t="s">
        <v>23</v>
      </c>
      <c r="G198" t="s">
        <v>23</v>
      </c>
      <c r="J198" t="s">
        <v>17</v>
      </c>
      <c r="K198" s="23">
        <v>-58.9</v>
      </c>
      <c r="L198" t="s">
        <v>24</v>
      </c>
      <c r="M198" t="s">
        <v>25</v>
      </c>
    </row>
    <row r="199" spans="1:13" hidden="1" x14ac:dyDescent="0.25">
      <c r="A199" s="5">
        <v>45691</v>
      </c>
      <c r="B199" t="s">
        <v>20</v>
      </c>
      <c r="C199" t="s">
        <v>295</v>
      </c>
      <c r="D199" t="s">
        <v>89</v>
      </c>
      <c r="E199" t="str">
        <f t="shared" si="3"/>
        <v>ADM</v>
      </c>
      <c r="F199" t="s">
        <v>23</v>
      </c>
      <c r="G199" t="s">
        <v>23</v>
      </c>
      <c r="J199" t="s">
        <v>143</v>
      </c>
      <c r="K199" s="23">
        <v>-84</v>
      </c>
      <c r="L199" t="s">
        <v>24</v>
      </c>
      <c r="M199" t="s">
        <v>25</v>
      </c>
    </row>
    <row r="200" spans="1:13" hidden="1" x14ac:dyDescent="0.25">
      <c r="A200" s="5">
        <v>45691</v>
      </c>
      <c r="B200" t="s">
        <v>13</v>
      </c>
      <c r="C200" t="s">
        <v>14</v>
      </c>
      <c r="D200" t="s">
        <v>15</v>
      </c>
      <c r="E200" t="str">
        <f t="shared" si="3"/>
        <v>ADM</v>
      </c>
      <c r="F200" t="s">
        <v>16</v>
      </c>
      <c r="G200" t="s">
        <v>16</v>
      </c>
      <c r="J200" t="s">
        <v>143</v>
      </c>
      <c r="K200" s="23">
        <v>1112.05</v>
      </c>
      <c r="L200" t="s">
        <v>18</v>
      </c>
      <c r="M200" t="s">
        <v>19</v>
      </c>
    </row>
    <row r="201" spans="1:13" hidden="1" x14ac:dyDescent="0.25">
      <c r="A201" s="5">
        <v>45691</v>
      </c>
      <c r="B201" t="s">
        <v>20</v>
      </c>
      <c r="C201" t="s">
        <v>37</v>
      </c>
      <c r="D201" t="s">
        <v>30</v>
      </c>
      <c r="E201" t="str">
        <f t="shared" si="3"/>
        <v>ADM</v>
      </c>
      <c r="F201" t="s">
        <v>23</v>
      </c>
      <c r="G201" t="s">
        <v>23</v>
      </c>
      <c r="J201" t="s">
        <v>17</v>
      </c>
      <c r="K201" s="23">
        <v>-80.91</v>
      </c>
      <c r="L201" t="s">
        <v>24</v>
      </c>
      <c r="M201" t="s">
        <v>25</v>
      </c>
    </row>
    <row r="202" spans="1:13" hidden="1" x14ac:dyDescent="0.25">
      <c r="A202" s="5">
        <v>45691</v>
      </c>
      <c r="B202" t="s">
        <v>13</v>
      </c>
      <c r="C202" t="s">
        <v>36</v>
      </c>
      <c r="D202" t="s">
        <v>30</v>
      </c>
      <c r="E202" t="str">
        <f t="shared" si="3"/>
        <v>ADM</v>
      </c>
      <c r="F202" t="s">
        <v>16</v>
      </c>
      <c r="G202" t="s">
        <v>16</v>
      </c>
      <c r="J202" t="s">
        <v>17</v>
      </c>
      <c r="K202" s="23">
        <v>-59.9</v>
      </c>
      <c r="L202" t="s">
        <v>24</v>
      </c>
      <c r="M202" t="s">
        <v>25</v>
      </c>
    </row>
    <row r="203" spans="1:13" hidden="1" x14ac:dyDescent="0.25">
      <c r="A203" s="5">
        <v>45692</v>
      </c>
      <c r="B203" t="s">
        <v>54</v>
      </c>
      <c r="C203" t="s">
        <v>296</v>
      </c>
      <c r="D203" t="s">
        <v>56</v>
      </c>
      <c r="E203" t="str">
        <f t="shared" si="3"/>
        <v>Honorários</v>
      </c>
      <c r="F203" t="s">
        <v>145</v>
      </c>
      <c r="G203" t="s">
        <v>145</v>
      </c>
      <c r="J203" t="s">
        <v>143</v>
      </c>
      <c r="K203" s="23">
        <v>5891.37</v>
      </c>
      <c r="L203" t="s">
        <v>18</v>
      </c>
      <c r="M203" t="s">
        <v>19</v>
      </c>
    </row>
    <row r="204" spans="1:13" hidden="1" x14ac:dyDescent="0.25">
      <c r="A204" s="5">
        <v>45692</v>
      </c>
      <c r="B204" t="s">
        <v>50</v>
      </c>
      <c r="C204" t="s">
        <v>297</v>
      </c>
      <c r="D204" t="s">
        <v>103</v>
      </c>
      <c r="E204" t="str">
        <f t="shared" si="3"/>
        <v>ADM</v>
      </c>
      <c r="F204" t="s">
        <v>104</v>
      </c>
      <c r="G204" t="s">
        <v>104</v>
      </c>
      <c r="J204" t="s">
        <v>17</v>
      </c>
      <c r="K204" s="23">
        <v>-460</v>
      </c>
      <c r="L204" t="s">
        <v>24</v>
      </c>
      <c r="M204" t="s">
        <v>25</v>
      </c>
    </row>
    <row r="205" spans="1:13" hidden="1" x14ac:dyDescent="0.25">
      <c r="A205" s="5">
        <v>45692</v>
      </c>
      <c r="B205" t="s">
        <v>50</v>
      </c>
      <c r="C205" t="s">
        <v>71</v>
      </c>
      <c r="D205" t="s">
        <v>72</v>
      </c>
      <c r="E205" t="str">
        <f t="shared" si="3"/>
        <v>FIN</v>
      </c>
      <c r="F205" t="s">
        <v>23</v>
      </c>
      <c r="G205" t="s">
        <v>23</v>
      </c>
      <c r="J205" t="s">
        <v>17</v>
      </c>
      <c r="K205" s="23">
        <v>-69.5</v>
      </c>
      <c r="L205" t="s">
        <v>24</v>
      </c>
      <c r="M205" t="s">
        <v>25</v>
      </c>
    </row>
    <row r="206" spans="1:13" hidden="1" x14ac:dyDescent="0.25">
      <c r="A206" s="5">
        <v>45692</v>
      </c>
      <c r="B206" t="s">
        <v>54</v>
      </c>
      <c r="C206" t="s">
        <v>298</v>
      </c>
      <c r="D206" t="s">
        <v>56</v>
      </c>
      <c r="E206" t="str">
        <f t="shared" si="3"/>
        <v>Honorários</v>
      </c>
      <c r="F206" t="s">
        <v>135</v>
      </c>
      <c r="G206" t="s">
        <v>135</v>
      </c>
      <c r="I206" t="s">
        <v>136</v>
      </c>
      <c r="J206" t="s">
        <v>143</v>
      </c>
      <c r="K206" s="23">
        <v>303.60000000000002</v>
      </c>
      <c r="L206" t="s">
        <v>18</v>
      </c>
      <c r="M206" t="s">
        <v>19</v>
      </c>
    </row>
    <row r="207" spans="1:13" hidden="1" x14ac:dyDescent="0.25">
      <c r="A207" s="5">
        <v>45693</v>
      </c>
      <c r="B207" t="s">
        <v>50</v>
      </c>
      <c r="C207" t="s">
        <v>95</v>
      </c>
      <c r="D207" t="s">
        <v>96</v>
      </c>
      <c r="E207" t="str">
        <f t="shared" si="3"/>
        <v>ADM</v>
      </c>
      <c r="F207" t="s">
        <v>97</v>
      </c>
      <c r="G207" t="s">
        <v>97</v>
      </c>
      <c r="J207" t="s">
        <v>17</v>
      </c>
      <c r="K207" s="23">
        <v>-3015.68</v>
      </c>
      <c r="L207" t="s">
        <v>24</v>
      </c>
      <c r="M207" t="s">
        <v>25</v>
      </c>
    </row>
    <row r="208" spans="1:13" hidden="1" x14ac:dyDescent="0.25">
      <c r="A208" s="5">
        <v>45693</v>
      </c>
      <c r="B208" t="s">
        <v>50</v>
      </c>
      <c r="C208" t="s">
        <v>101</v>
      </c>
      <c r="D208" t="s">
        <v>15</v>
      </c>
      <c r="E208" t="str">
        <f t="shared" si="3"/>
        <v>ADM</v>
      </c>
      <c r="F208" t="s">
        <v>23</v>
      </c>
      <c r="G208" t="s">
        <v>23</v>
      </c>
      <c r="J208" t="s">
        <v>17</v>
      </c>
      <c r="K208" s="23">
        <v>-2474.3000000000002</v>
      </c>
      <c r="L208" t="s">
        <v>24</v>
      </c>
      <c r="M208" t="s">
        <v>25</v>
      </c>
    </row>
    <row r="209" spans="1:13" hidden="1" x14ac:dyDescent="0.25">
      <c r="A209" s="5">
        <v>45693</v>
      </c>
      <c r="B209" t="s">
        <v>67</v>
      </c>
      <c r="C209" t="s">
        <v>193</v>
      </c>
      <c r="D209" t="s">
        <v>56</v>
      </c>
      <c r="E209" t="str">
        <f t="shared" ref="E209:E272" si="4">IF(OR(D209="Honorários",D209="Despesa do cliente"),D209,LEFT(D209,3))</f>
        <v>Honorários</v>
      </c>
      <c r="F209" t="s">
        <v>194</v>
      </c>
      <c r="G209" t="s">
        <v>194</v>
      </c>
      <c r="I209" t="s">
        <v>196</v>
      </c>
      <c r="J209" t="s">
        <v>17</v>
      </c>
      <c r="K209" s="23">
        <v>159</v>
      </c>
      <c r="L209" t="s">
        <v>18</v>
      </c>
      <c r="M209" t="s">
        <v>19</v>
      </c>
    </row>
    <row r="210" spans="1:13" hidden="1" x14ac:dyDescent="0.25">
      <c r="A210" s="5">
        <v>45693</v>
      </c>
      <c r="B210" t="s">
        <v>54</v>
      </c>
      <c r="C210" t="s">
        <v>299</v>
      </c>
      <c r="D210" t="s">
        <v>300</v>
      </c>
      <c r="E210" t="str">
        <f t="shared" si="4"/>
        <v>VAR</v>
      </c>
      <c r="F210" t="s">
        <v>67</v>
      </c>
      <c r="G210" t="s">
        <v>67</v>
      </c>
      <c r="J210" t="s">
        <v>143</v>
      </c>
      <c r="K210" s="23">
        <v>-100</v>
      </c>
      <c r="L210" t="s">
        <v>24</v>
      </c>
      <c r="M210" t="s">
        <v>25</v>
      </c>
    </row>
    <row r="211" spans="1:13" hidden="1" x14ac:dyDescent="0.25">
      <c r="A211" s="5">
        <v>45693</v>
      </c>
      <c r="B211" t="s">
        <v>67</v>
      </c>
      <c r="C211" t="s">
        <v>193</v>
      </c>
      <c r="D211" t="s">
        <v>56</v>
      </c>
      <c r="E211" t="str">
        <f t="shared" si="4"/>
        <v>Honorários</v>
      </c>
      <c r="F211" t="s">
        <v>194</v>
      </c>
      <c r="G211" t="s">
        <v>194</v>
      </c>
      <c r="I211" t="s">
        <v>196</v>
      </c>
      <c r="J211" t="s">
        <v>17</v>
      </c>
      <c r="K211" s="23">
        <v>59</v>
      </c>
      <c r="L211" t="s">
        <v>18</v>
      </c>
      <c r="M211" t="s">
        <v>19</v>
      </c>
    </row>
    <row r="212" spans="1:13" hidden="1" x14ac:dyDescent="0.25">
      <c r="A212" s="5">
        <v>45693</v>
      </c>
      <c r="B212" t="s">
        <v>54</v>
      </c>
      <c r="C212" t="s">
        <v>299</v>
      </c>
      <c r="D212" t="s">
        <v>300</v>
      </c>
      <c r="E212" t="str">
        <f t="shared" si="4"/>
        <v>VAR</v>
      </c>
      <c r="F212" t="s">
        <v>205</v>
      </c>
      <c r="G212" t="s">
        <v>205</v>
      </c>
      <c r="J212" t="s">
        <v>143</v>
      </c>
      <c r="K212" s="23">
        <v>-100</v>
      </c>
      <c r="L212" t="s">
        <v>24</v>
      </c>
      <c r="M212" t="s">
        <v>25</v>
      </c>
    </row>
    <row r="213" spans="1:13" hidden="1" x14ac:dyDescent="0.25">
      <c r="A213" s="5">
        <v>45693</v>
      </c>
      <c r="B213" t="s">
        <v>50</v>
      </c>
      <c r="C213" t="s">
        <v>301</v>
      </c>
      <c r="D213" t="s">
        <v>302</v>
      </c>
      <c r="E213" t="str">
        <f t="shared" si="4"/>
        <v>ADM</v>
      </c>
      <c r="F213" t="s">
        <v>303</v>
      </c>
      <c r="G213" t="s">
        <v>303</v>
      </c>
      <c r="J213" t="s">
        <v>143</v>
      </c>
      <c r="K213" s="23">
        <v>-1242.7</v>
      </c>
      <c r="L213" t="s">
        <v>24</v>
      </c>
      <c r="M213" t="s">
        <v>25</v>
      </c>
    </row>
    <row r="214" spans="1:13" hidden="1" x14ac:dyDescent="0.25">
      <c r="A214" s="5">
        <v>45693</v>
      </c>
      <c r="B214" t="s">
        <v>50</v>
      </c>
      <c r="C214" t="s">
        <v>91</v>
      </c>
      <c r="D214" t="s">
        <v>56</v>
      </c>
      <c r="E214" t="str">
        <f t="shared" si="4"/>
        <v>Honorários</v>
      </c>
      <c r="F214" t="s">
        <v>92</v>
      </c>
      <c r="G214" t="s">
        <v>92</v>
      </c>
      <c r="I214" t="s">
        <v>93</v>
      </c>
      <c r="J214" t="s">
        <v>17</v>
      </c>
      <c r="K214" s="23">
        <v>500</v>
      </c>
      <c r="L214" t="s">
        <v>18</v>
      </c>
      <c r="M214" t="s">
        <v>19</v>
      </c>
    </row>
    <row r="215" spans="1:13" hidden="1" x14ac:dyDescent="0.25">
      <c r="A215" s="5">
        <v>45693</v>
      </c>
      <c r="B215" t="s">
        <v>54</v>
      </c>
      <c r="C215" t="s">
        <v>299</v>
      </c>
      <c r="D215" t="s">
        <v>300</v>
      </c>
      <c r="E215" t="str">
        <f t="shared" si="4"/>
        <v>VAR</v>
      </c>
      <c r="F215" t="s">
        <v>208</v>
      </c>
      <c r="G215" t="s">
        <v>208</v>
      </c>
      <c r="J215" t="s">
        <v>143</v>
      </c>
      <c r="K215" s="23">
        <v>-100</v>
      </c>
      <c r="L215" t="s">
        <v>24</v>
      </c>
      <c r="M215" t="s">
        <v>25</v>
      </c>
    </row>
    <row r="216" spans="1:13" hidden="1" x14ac:dyDescent="0.25">
      <c r="A216" s="5">
        <v>45693</v>
      </c>
      <c r="B216" t="s">
        <v>54</v>
      </c>
      <c r="C216" t="s">
        <v>299</v>
      </c>
      <c r="D216" t="s">
        <v>300</v>
      </c>
      <c r="E216" t="str">
        <f t="shared" si="4"/>
        <v>VAR</v>
      </c>
      <c r="F216" t="s">
        <v>54</v>
      </c>
      <c r="G216" t="s">
        <v>54</v>
      </c>
      <c r="J216" t="s">
        <v>143</v>
      </c>
      <c r="K216" s="23">
        <v>-100</v>
      </c>
      <c r="L216" t="s">
        <v>24</v>
      </c>
      <c r="M216" t="s">
        <v>25</v>
      </c>
    </row>
    <row r="217" spans="1:13" hidden="1" x14ac:dyDescent="0.25">
      <c r="A217" s="5">
        <v>45693</v>
      </c>
      <c r="B217" t="s">
        <v>54</v>
      </c>
      <c r="C217" t="s">
        <v>299</v>
      </c>
      <c r="D217" t="s">
        <v>300</v>
      </c>
      <c r="E217" t="str">
        <f t="shared" si="4"/>
        <v>VAR</v>
      </c>
      <c r="F217" t="s">
        <v>209</v>
      </c>
      <c r="G217" t="s">
        <v>209</v>
      </c>
      <c r="J217" t="s">
        <v>143</v>
      </c>
      <c r="K217" s="23">
        <v>-100</v>
      </c>
      <c r="L217" t="s">
        <v>24</v>
      </c>
      <c r="M217" t="s">
        <v>25</v>
      </c>
    </row>
    <row r="218" spans="1:13" hidden="1" x14ac:dyDescent="0.25">
      <c r="A218" s="5">
        <v>45693</v>
      </c>
      <c r="B218" t="s">
        <v>54</v>
      </c>
      <c r="C218" t="s">
        <v>299</v>
      </c>
      <c r="D218" t="s">
        <v>300</v>
      </c>
      <c r="E218" t="str">
        <f t="shared" si="4"/>
        <v>VAR</v>
      </c>
      <c r="F218" t="s">
        <v>304</v>
      </c>
      <c r="G218" t="s">
        <v>304</v>
      </c>
      <c r="J218" t="s">
        <v>143</v>
      </c>
      <c r="K218" s="23">
        <v>-100</v>
      </c>
      <c r="L218" t="s">
        <v>24</v>
      </c>
      <c r="M218" t="s">
        <v>25</v>
      </c>
    </row>
    <row r="219" spans="1:13" hidden="1" x14ac:dyDescent="0.25">
      <c r="A219" s="5">
        <v>45693</v>
      </c>
      <c r="B219" t="s">
        <v>67</v>
      </c>
      <c r="C219" t="s">
        <v>193</v>
      </c>
      <c r="D219" t="s">
        <v>56</v>
      </c>
      <c r="E219" t="str">
        <f t="shared" si="4"/>
        <v>Honorários</v>
      </c>
      <c r="F219" t="s">
        <v>194</v>
      </c>
      <c r="G219" t="s">
        <v>194</v>
      </c>
      <c r="I219" t="s">
        <v>196</v>
      </c>
      <c r="J219" t="s">
        <v>17</v>
      </c>
      <c r="K219" s="23">
        <v>149</v>
      </c>
      <c r="L219" t="s">
        <v>18</v>
      </c>
      <c r="M219" t="s">
        <v>19</v>
      </c>
    </row>
    <row r="220" spans="1:13" hidden="1" x14ac:dyDescent="0.25">
      <c r="A220" s="5">
        <v>45694</v>
      </c>
      <c r="B220" t="s">
        <v>50</v>
      </c>
      <c r="C220" t="s">
        <v>118</v>
      </c>
      <c r="D220" t="s">
        <v>113</v>
      </c>
      <c r="E220" t="str">
        <f t="shared" si="4"/>
        <v>ADM</v>
      </c>
      <c r="F220" t="s">
        <v>114</v>
      </c>
      <c r="G220" t="s">
        <v>114</v>
      </c>
      <c r="J220" t="s">
        <v>17</v>
      </c>
      <c r="K220" s="23">
        <v>-130.37</v>
      </c>
      <c r="L220" t="s">
        <v>24</v>
      </c>
      <c r="M220" t="s">
        <v>25</v>
      </c>
    </row>
    <row r="221" spans="1:13" hidden="1" x14ac:dyDescent="0.25">
      <c r="A221" s="5">
        <v>45694</v>
      </c>
      <c r="B221" t="s">
        <v>54</v>
      </c>
      <c r="C221" t="s">
        <v>170</v>
      </c>
      <c r="D221" t="s">
        <v>56</v>
      </c>
      <c r="E221" t="str">
        <f t="shared" si="4"/>
        <v>Honorários</v>
      </c>
      <c r="F221" t="s">
        <v>171</v>
      </c>
      <c r="G221" t="s">
        <v>171</v>
      </c>
      <c r="I221" t="s">
        <v>172</v>
      </c>
      <c r="J221" t="s">
        <v>17</v>
      </c>
      <c r="K221" s="23">
        <v>119.35</v>
      </c>
      <c r="L221" t="s">
        <v>18</v>
      </c>
      <c r="M221" t="s">
        <v>19</v>
      </c>
    </row>
    <row r="222" spans="1:13" hidden="1" x14ac:dyDescent="0.25">
      <c r="A222" s="5">
        <v>45695</v>
      </c>
      <c r="B222" t="s">
        <v>54</v>
      </c>
      <c r="C222" t="s">
        <v>73</v>
      </c>
      <c r="D222" t="s">
        <v>56</v>
      </c>
      <c r="E222" t="str">
        <f t="shared" si="4"/>
        <v>Honorários</v>
      </c>
      <c r="F222" t="s">
        <v>305</v>
      </c>
      <c r="G222" t="s">
        <v>305</v>
      </c>
      <c r="I222" t="s">
        <v>75</v>
      </c>
      <c r="J222" t="s">
        <v>17</v>
      </c>
      <c r="K222" s="23">
        <v>488.05</v>
      </c>
      <c r="L222" t="s">
        <v>18</v>
      </c>
      <c r="M222" t="s">
        <v>19</v>
      </c>
    </row>
    <row r="223" spans="1:13" hidden="1" x14ac:dyDescent="0.25">
      <c r="A223" s="5">
        <v>45695</v>
      </c>
      <c r="B223" t="s">
        <v>54</v>
      </c>
      <c r="C223" t="s">
        <v>306</v>
      </c>
      <c r="D223" t="s">
        <v>99</v>
      </c>
      <c r="E223" t="str">
        <f t="shared" si="4"/>
        <v>ADM</v>
      </c>
      <c r="F223" t="s">
        <v>100</v>
      </c>
      <c r="G223" t="s">
        <v>100</v>
      </c>
      <c r="J223" t="s">
        <v>17</v>
      </c>
      <c r="K223" s="23">
        <v>-340</v>
      </c>
      <c r="L223" t="s">
        <v>24</v>
      </c>
      <c r="M223" t="s">
        <v>25</v>
      </c>
    </row>
    <row r="224" spans="1:13" hidden="1" x14ac:dyDescent="0.25">
      <c r="A224" s="5">
        <v>45695</v>
      </c>
      <c r="B224" t="s">
        <v>50</v>
      </c>
      <c r="C224" t="s">
        <v>307</v>
      </c>
      <c r="D224" t="s">
        <v>308</v>
      </c>
      <c r="E224" t="str">
        <f t="shared" si="4"/>
        <v>T&amp;O</v>
      </c>
      <c r="F224" t="s">
        <v>309</v>
      </c>
      <c r="G224" t="s">
        <v>309</v>
      </c>
      <c r="H224" t="s">
        <v>310</v>
      </c>
      <c r="J224" t="s">
        <v>143</v>
      </c>
      <c r="K224" s="23">
        <v>-1015.42</v>
      </c>
      <c r="L224" t="s">
        <v>24</v>
      </c>
      <c r="M224" t="s">
        <v>25</v>
      </c>
    </row>
    <row r="225" spans="1:13" hidden="1" x14ac:dyDescent="0.25">
      <c r="A225" s="5">
        <v>45695</v>
      </c>
      <c r="B225" t="s">
        <v>50</v>
      </c>
      <c r="C225" t="s">
        <v>311</v>
      </c>
      <c r="D225" t="s">
        <v>308</v>
      </c>
      <c r="E225" t="str">
        <f t="shared" si="4"/>
        <v>T&amp;O</v>
      </c>
      <c r="F225" t="s">
        <v>309</v>
      </c>
      <c r="G225" t="s">
        <v>309</v>
      </c>
      <c r="H225" t="s">
        <v>310</v>
      </c>
      <c r="J225" t="s">
        <v>143</v>
      </c>
      <c r="K225" s="23">
        <v>-1015.42</v>
      </c>
      <c r="L225" t="s">
        <v>24</v>
      </c>
      <c r="M225" t="s">
        <v>25</v>
      </c>
    </row>
    <row r="226" spans="1:13" hidden="1" x14ac:dyDescent="0.25">
      <c r="A226" s="5">
        <v>45698</v>
      </c>
      <c r="B226" t="s">
        <v>54</v>
      </c>
      <c r="C226" t="s">
        <v>119</v>
      </c>
      <c r="D226" t="s">
        <v>72</v>
      </c>
      <c r="E226" t="str">
        <f t="shared" si="4"/>
        <v>FIN</v>
      </c>
      <c r="F226" t="s">
        <v>120</v>
      </c>
      <c r="G226" t="s">
        <v>120</v>
      </c>
      <c r="J226" t="s">
        <v>17</v>
      </c>
      <c r="K226" s="23">
        <v>-14.55</v>
      </c>
      <c r="L226" t="s">
        <v>24</v>
      </c>
      <c r="M226" t="s">
        <v>25</v>
      </c>
    </row>
    <row r="227" spans="1:13" hidden="1" x14ac:dyDescent="0.25">
      <c r="A227" s="5">
        <v>45698</v>
      </c>
      <c r="B227" t="s">
        <v>50</v>
      </c>
      <c r="C227" t="s">
        <v>124</v>
      </c>
      <c r="D227" t="s">
        <v>30</v>
      </c>
      <c r="E227" t="str">
        <f t="shared" si="4"/>
        <v>ADM</v>
      </c>
      <c r="F227" t="s">
        <v>125</v>
      </c>
      <c r="G227" t="s">
        <v>125</v>
      </c>
      <c r="J227" t="s">
        <v>17</v>
      </c>
      <c r="K227" s="23">
        <v>-100</v>
      </c>
      <c r="L227" t="s">
        <v>24</v>
      </c>
      <c r="M227" t="s">
        <v>25</v>
      </c>
    </row>
    <row r="228" spans="1:13" hidden="1" x14ac:dyDescent="0.25">
      <c r="A228" s="5">
        <v>45698</v>
      </c>
      <c r="B228" t="s">
        <v>50</v>
      </c>
      <c r="C228" t="s">
        <v>112</v>
      </c>
      <c r="D228" t="s">
        <v>113</v>
      </c>
      <c r="E228" t="str">
        <f t="shared" si="4"/>
        <v>ADM</v>
      </c>
      <c r="F228" t="s">
        <v>114</v>
      </c>
      <c r="G228" t="s">
        <v>114</v>
      </c>
      <c r="J228" t="s">
        <v>17</v>
      </c>
      <c r="K228" s="23">
        <v>-371.57</v>
      </c>
      <c r="L228" t="s">
        <v>24</v>
      </c>
      <c r="M228" t="s">
        <v>25</v>
      </c>
    </row>
    <row r="229" spans="1:13" hidden="1" x14ac:dyDescent="0.25">
      <c r="A229" s="5">
        <v>45698</v>
      </c>
      <c r="B229" t="s">
        <v>50</v>
      </c>
      <c r="C229" t="s">
        <v>127</v>
      </c>
      <c r="D229" t="s">
        <v>128</v>
      </c>
      <c r="E229" t="str">
        <f t="shared" si="4"/>
        <v>PES</v>
      </c>
      <c r="F229" t="s">
        <v>129</v>
      </c>
      <c r="G229" t="s">
        <v>129</v>
      </c>
      <c r="J229" t="s">
        <v>17</v>
      </c>
      <c r="K229" s="23">
        <v>-100</v>
      </c>
      <c r="L229" t="s">
        <v>24</v>
      </c>
      <c r="M229" t="s">
        <v>25</v>
      </c>
    </row>
    <row r="230" spans="1:13" hidden="1" x14ac:dyDescent="0.25">
      <c r="A230" s="5">
        <v>45699</v>
      </c>
      <c r="B230" t="s">
        <v>54</v>
      </c>
      <c r="C230" t="s">
        <v>312</v>
      </c>
      <c r="D230" t="s">
        <v>56</v>
      </c>
      <c r="E230" t="str">
        <f t="shared" si="4"/>
        <v>Honorários</v>
      </c>
      <c r="F230" t="s">
        <v>313</v>
      </c>
      <c r="G230" t="s">
        <v>313</v>
      </c>
      <c r="I230" t="s">
        <v>75</v>
      </c>
      <c r="J230" t="s">
        <v>143</v>
      </c>
      <c r="K230" s="23">
        <v>545.24</v>
      </c>
      <c r="L230" t="s">
        <v>18</v>
      </c>
      <c r="M230" t="s">
        <v>19</v>
      </c>
    </row>
    <row r="231" spans="1:13" hidden="1" x14ac:dyDescent="0.25">
      <c r="A231" s="5">
        <v>45700</v>
      </c>
      <c r="B231" t="s">
        <v>50</v>
      </c>
      <c r="C231" t="s">
        <v>314</v>
      </c>
      <c r="D231" t="s">
        <v>149</v>
      </c>
      <c r="E231" t="str">
        <f t="shared" si="4"/>
        <v>ADM</v>
      </c>
      <c r="F231" t="s">
        <v>315</v>
      </c>
      <c r="G231" t="s">
        <v>315</v>
      </c>
      <c r="J231" t="s">
        <v>143</v>
      </c>
      <c r="K231" s="23">
        <v>-70</v>
      </c>
      <c r="L231" t="s">
        <v>24</v>
      </c>
      <c r="M231" t="s">
        <v>25</v>
      </c>
    </row>
    <row r="232" spans="1:13" hidden="1" x14ac:dyDescent="0.25">
      <c r="A232" s="5">
        <v>45700</v>
      </c>
      <c r="B232" t="s">
        <v>50</v>
      </c>
      <c r="C232" t="s">
        <v>316</v>
      </c>
      <c r="D232" t="s">
        <v>77</v>
      </c>
      <c r="E232" t="str">
        <f t="shared" si="4"/>
        <v>Despesa do cliente</v>
      </c>
      <c r="F232" t="s">
        <v>184</v>
      </c>
      <c r="G232" t="s">
        <v>184</v>
      </c>
      <c r="I232" t="s">
        <v>317</v>
      </c>
      <c r="J232" t="s">
        <v>17</v>
      </c>
      <c r="K232" s="23">
        <v>-76.239999999999995</v>
      </c>
      <c r="L232" t="s">
        <v>24</v>
      </c>
      <c r="M232" t="s">
        <v>25</v>
      </c>
    </row>
    <row r="233" spans="1:13" hidden="1" x14ac:dyDescent="0.25">
      <c r="A233" s="5">
        <v>45700</v>
      </c>
      <c r="B233" t="s">
        <v>54</v>
      </c>
      <c r="C233" t="s">
        <v>318</v>
      </c>
      <c r="D233" t="s">
        <v>56</v>
      </c>
      <c r="E233" t="str">
        <f t="shared" si="4"/>
        <v>Honorários</v>
      </c>
      <c r="F233" t="s">
        <v>319</v>
      </c>
      <c r="G233" t="s">
        <v>319</v>
      </c>
      <c r="I233" t="s">
        <v>320</v>
      </c>
      <c r="J233" t="s">
        <v>17</v>
      </c>
      <c r="K233" s="23">
        <v>7261.27</v>
      </c>
      <c r="L233" t="s">
        <v>18</v>
      </c>
      <c r="M233" t="s">
        <v>19</v>
      </c>
    </row>
    <row r="234" spans="1:13" hidden="1" x14ac:dyDescent="0.25">
      <c r="A234" s="5">
        <v>45701</v>
      </c>
      <c r="B234" t="s">
        <v>54</v>
      </c>
      <c r="C234" t="s">
        <v>321</v>
      </c>
      <c r="D234" t="s">
        <v>77</v>
      </c>
      <c r="E234" t="str">
        <f t="shared" si="4"/>
        <v>Despesa do cliente</v>
      </c>
      <c r="F234" t="s">
        <v>322</v>
      </c>
      <c r="G234" t="s">
        <v>322</v>
      </c>
      <c r="I234" t="s">
        <v>323</v>
      </c>
      <c r="J234" t="s">
        <v>17</v>
      </c>
      <c r="K234" s="23">
        <v>-230</v>
      </c>
      <c r="L234" t="s">
        <v>24</v>
      </c>
      <c r="M234" t="s">
        <v>25</v>
      </c>
    </row>
    <row r="235" spans="1:13" hidden="1" x14ac:dyDescent="0.25">
      <c r="A235" s="5">
        <v>45701</v>
      </c>
      <c r="B235" t="s">
        <v>50</v>
      </c>
      <c r="C235" t="s">
        <v>121</v>
      </c>
      <c r="D235" t="s">
        <v>56</v>
      </c>
      <c r="E235" t="str">
        <f t="shared" si="4"/>
        <v>Honorários</v>
      </c>
      <c r="F235" t="s">
        <v>319</v>
      </c>
      <c r="G235" t="s">
        <v>319</v>
      </c>
      <c r="I235" t="s">
        <v>320</v>
      </c>
      <c r="J235" t="s">
        <v>17</v>
      </c>
      <c r="K235" s="23">
        <v>9178.3799999999992</v>
      </c>
      <c r="L235" t="s">
        <v>18</v>
      </c>
      <c r="M235" t="s">
        <v>19</v>
      </c>
    </row>
    <row r="236" spans="1:13" hidden="1" x14ac:dyDescent="0.25">
      <c r="A236" s="5">
        <v>45701</v>
      </c>
      <c r="B236" t="s">
        <v>50</v>
      </c>
      <c r="C236" t="s">
        <v>115</v>
      </c>
      <c r="D236" t="s">
        <v>56</v>
      </c>
      <c r="E236" t="str">
        <f t="shared" si="4"/>
        <v>Honorários</v>
      </c>
      <c r="F236" t="s">
        <v>116</v>
      </c>
      <c r="G236" t="s">
        <v>116</v>
      </c>
      <c r="I236" t="s">
        <v>117</v>
      </c>
      <c r="J236" t="s">
        <v>17</v>
      </c>
      <c r="K236" s="23">
        <v>1589.72</v>
      </c>
      <c r="L236" t="s">
        <v>18</v>
      </c>
      <c r="M236" t="s">
        <v>19</v>
      </c>
    </row>
    <row r="237" spans="1:13" hidden="1" x14ac:dyDescent="0.25">
      <c r="A237" s="5">
        <v>45702</v>
      </c>
      <c r="B237" t="s">
        <v>54</v>
      </c>
      <c r="C237" t="s">
        <v>306</v>
      </c>
      <c r="D237" t="s">
        <v>99</v>
      </c>
      <c r="E237" t="str">
        <f t="shared" si="4"/>
        <v>ADM</v>
      </c>
      <c r="F237" t="s">
        <v>100</v>
      </c>
      <c r="G237" t="s">
        <v>100</v>
      </c>
      <c r="J237" t="s">
        <v>17</v>
      </c>
      <c r="K237" s="23">
        <v>-340</v>
      </c>
      <c r="L237" t="s">
        <v>24</v>
      </c>
      <c r="M237" t="s">
        <v>25</v>
      </c>
    </row>
    <row r="238" spans="1:13" hidden="1" x14ac:dyDescent="0.25">
      <c r="A238" s="5">
        <v>45702</v>
      </c>
      <c r="B238" t="s">
        <v>54</v>
      </c>
      <c r="C238" t="s">
        <v>324</v>
      </c>
      <c r="D238" t="s">
        <v>215</v>
      </c>
      <c r="E238" t="str">
        <f t="shared" si="4"/>
        <v>COM</v>
      </c>
      <c r="F238" t="s">
        <v>325</v>
      </c>
      <c r="G238" t="s">
        <v>325</v>
      </c>
      <c r="J238" t="s">
        <v>17</v>
      </c>
      <c r="K238" s="23">
        <v>-152.9</v>
      </c>
      <c r="L238" t="s">
        <v>24</v>
      </c>
      <c r="M238" t="s">
        <v>25</v>
      </c>
    </row>
    <row r="239" spans="1:13" hidden="1" x14ac:dyDescent="0.25">
      <c r="A239" s="5">
        <v>45702</v>
      </c>
      <c r="B239" t="s">
        <v>54</v>
      </c>
      <c r="C239" t="s">
        <v>326</v>
      </c>
      <c r="D239" t="s">
        <v>616</v>
      </c>
      <c r="E239" t="str">
        <f t="shared" si="4"/>
        <v>COM</v>
      </c>
      <c r="F239" t="s">
        <v>327</v>
      </c>
      <c r="G239" t="s">
        <v>327</v>
      </c>
      <c r="J239" t="s">
        <v>143</v>
      </c>
      <c r="K239" s="23">
        <v>-73.2</v>
      </c>
      <c r="L239" t="s">
        <v>24</v>
      </c>
      <c r="M239" t="s">
        <v>25</v>
      </c>
    </row>
    <row r="240" spans="1:13" hidden="1" x14ac:dyDescent="0.25">
      <c r="A240" s="5">
        <v>45705</v>
      </c>
      <c r="B240" t="s">
        <v>50</v>
      </c>
      <c r="C240" t="s">
        <v>146</v>
      </c>
      <c r="D240" t="s">
        <v>30</v>
      </c>
      <c r="E240" t="str">
        <f t="shared" si="4"/>
        <v>ADM</v>
      </c>
      <c r="F240" t="s">
        <v>147</v>
      </c>
      <c r="G240" t="s">
        <v>147</v>
      </c>
      <c r="J240" t="s">
        <v>17</v>
      </c>
      <c r="K240" s="23">
        <v>-507.3</v>
      </c>
      <c r="L240" t="s">
        <v>24</v>
      </c>
      <c r="M240" t="s">
        <v>25</v>
      </c>
    </row>
    <row r="241" spans="1:13" hidden="1" x14ac:dyDescent="0.25">
      <c r="A241" s="5">
        <v>45705</v>
      </c>
      <c r="B241" t="s">
        <v>54</v>
      </c>
      <c r="C241" t="s">
        <v>328</v>
      </c>
      <c r="D241" t="s">
        <v>611</v>
      </c>
      <c r="E241" t="str">
        <f t="shared" si="4"/>
        <v>COM</v>
      </c>
      <c r="F241" t="s">
        <v>327</v>
      </c>
      <c r="G241" t="s">
        <v>327</v>
      </c>
      <c r="J241" t="s">
        <v>143</v>
      </c>
      <c r="K241" s="23">
        <v>-108.5</v>
      </c>
      <c r="L241" t="s">
        <v>24</v>
      </c>
      <c r="M241" t="s">
        <v>25</v>
      </c>
    </row>
    <row r="242" spans="1:13" hidden="1" x14ac:dyDescent="0.25">
      <c r="A242" s="5">
        <v>45705</v>
      </c>
      <c r="B242" t="s">
        <v>54</v>
      </c>
      <c r="C242" t="s">
        <v>13</v>
      </c>
      <c r="D242" t="s">
        <v>15</v>
      </c>
      <c r="E242" t="str">
        <f t="shared" si="4"/>
        <v>ADM</v>
      </c>
      <c r="F242" t="s">
        <v>16</v>
      </c>
      <c r="G242" t="s">
        <v>16</v>
      </c>
      <c r="J242" t="s">
        <v>17</v>
      </c>
      <c r="K242" s="23">
        <v>-1112.05</v>
      </c>
      <c r="L242" t="s">
        <v>24</v>
      </c>
      <c r="M242" t="s">
        <v>25</v>
      </c>
    </row>
    <row r="243" spans="1:13" hidden="1" x14ac:dyDescent="0.25">
      <c r="A243" s="5">
        <v>45705</v>
      </c>
      <c r="B243" t="s">
        <v>54</v>
      </c>
      <c r="C243" t="s">
        <v>329</v>
      </c>
      <c r="D243" t="s">
        <v>300</v>
      </c>
      <c r="E243" t="str">
        <f t="shared" si="4"/>
        <v>VAR</v>
      </c>
      <c r="F243" t="s">
        <v>208</v>
      </c>
      <c r="G243" t="s">
        <v>208</v>
      </c>
      <c r="J243" t="s">
        <v>143</v>
      </c>
      <c r="K243" s="23">
        <v>-100</v>
      </c>
      <c r="L243" t="s">
        <v>24</v>
      </c>
      <c r="M243" t="s">
        <v>25</v>
      </c>
    </row>
    <row r="244" spans="1:13" hidden="1" x14ac:dyDescent="0.25">
      <c r="A244" s="5">
        <v>45706</v>
      </c>
      <c r="B244" t="s">
        <v>54</v>
      </c>
      <c r="C244" t="s">
        <v>330</v>
      </c>
      <c r="D244" t="s">
        <v>300</v>
      </c>
      <c r="E244" t="str">
        <f t="shared" si="4"/>
        <v>VAR</v>
      </c>
      <c r="F244" t="s">
        <v>205</v>
      </c>
      <c r="G244" t="s">
        <v>205</v>
      </c>
      <c r="J244" t="s">
        <v>17</v>
      </c>
      <c r="K244" s="23">
        <v>-100</v>
      </c>
      <c r="L244" t="s">
        <v>24</v>
      </c>
      <c r="M244" t="s">
        <v>25</v>
      </c>
    </row>
    <row r="245" spans="1:13" hidden="1" x14ac:dyDescent="0.25">
      <c r="A245" s="5">
        <v>45706</v>
      </c>
      <c r="B245" t="s">
        <v>54</v>
      </c>
      <c r="C245" t="s">
        <v>331</v>
      </c>
      <c r="D245" t="s">
        <v>162</v>
      </c>
      <c r="E245" t="str">
        <f t="shared" si="4"/>
        <v>COM</v>
      </c>
      <c r="F245" t="s">
        <v>332</v>
      </c>
      <c r="G245" t="s">
        <v>332</v>
      </c>
      <c r="J245" t="s">
        <v>143</v>
      </c>
      <c r="K245" s="23">
        <v>-200</v>
      </c>
      <c r="L245" t="s">
        <v>24</v>
      </c>
      <c r="M245" t="s">
        <v>25</v>
      </c>
    </row>
    <row r="246" spans="1:13" hidden="1" x14ac:dyDescent="0.25">
      <c r="A246" s="5">
        <v>45706</v>
      </c>
      <c r="B246" t="s">
        <v>54</v>
      </c>
      <c r="C246" t="s">
        <v>333</v>
      </c>
      <c r="D246" t="s">
        <v>300</v>
      </c>
      <c r="E246" t="str">
        <f t="shared" si="4"/>
        <v>VAR</v>
      </c>
      <c r="F246" t="s">
        <v>334</v>
      </c>
      <c r="G246" t="s">
        <v>334</v>
      </c>
      <c r="I246" t="s">
        <v>335</v>
      </c>
      <c r="J246" t="s">
        <v>17</v>
      </c>
      <c r="K246" s="23">
        <v>-300</v>
      </c>
      <c r="L246" t="s">
        <v>24</v>
      </c>
      <c r="M246" t="s">
        <v>25</v>
      </c>
    </row>
    <row r="247" spans="1:13" hidden="1" x14ac:dyDescent="0.25">
      <c r="A247" s="5">
        <v>45706</v>
      </c>
      <c r="B247" t="s">
        <v>54</v>
      </c>
      <c r="C247" t="s">
        <v>336</v>
      </c>
      <c r="D247" t="s">
        <v>616</v>
      </c>
      <c r="E247" t="str">
        <f t="shared" si="4"/>
        <v>COM</v>
      </c>
      <c r="F247" t="s">
        <v>327</v>
      </c>
      <c r="G247" t="s">
        <v>327</v>
      </c>
      <c r="J247" t="s">
        <v>143</v>
      </c>
      <c r="K247" s="23">
        <v>-114.64</v>
      </c>
      <c r="L247" t="s">
        <v>24</v>
      </c>
      <c r="M247" t="s">
        <v>25</v>
      </c>
    </row>
    <row r="248" spans="1:13" hidden="1" x14ac:dyDescent="0.25">
      <c r="A248" s="5">
        <v>45706</v>
      </c>
      <c r="B248" t="s">
        <v>54</v>
      </c>
      <c r="C248" t="s">
        <v>337</v>
      </c>
      <c r="D248" t="s">
        <v>611</v>
      </c>
      <c r="E248" t="str">
        <f t="shared" si="4"/>
        <v>COM</v>
      </c>
      <c r="F248" t="s">
        <v>327</v>
      </c>
      <c r="G248" t="s">
        <v>327</v>
      </c>
      <c r="J248" t="s">
        <v>143</v>
      </c>
      <c r="K248" s="23">
        <v>-113.96</v>
      </c>
      <c r="L248" t="s">
        <v>24</v>
      </c>
      <c r="M248" t="s">
        <v>25</v>
      </c>
    </row>
    <row r="249" spans="1:13" hidden="1" x14ac:dyDescent="0.25">
      <c r="A249" s="5">
        <v>45706</v>
      </c>
      <c r="B249" t="s">
        <v>54</v>
      </c>
      <c r="C249" t="s">
        <v>333</v>
      </c>
      <c r="D249" t="s">
        <v>300</v>
      </c>
      <c r="E249" t="str">
        <f t="shared" si="4"/>
        <v>VAR</v>
      </c>
      <c r="F249" t="s">
        <v>338</v>
      </c>
      <c r="G249" t="s">
        <v>338</v>
      </c>
      <c r="I249" t="s">
        <v>58</v>
      </c>
      <c r="J249" t="s">
        <v>17</v>
      </c>
      <c r="K249" s="23">
        <v>-300</v>
      </c>
      <c r="L249" t="s">
        <v>24</v>
      </c>
      <c r="M249" t="s">
        <v>25</v>
      </c>
    </row>
    <row r="250" spans="1:13" hidden="1" x14ac:dyDescent="0.25">
      <c r="A250" s="5">
        <v>45706</v>
      </c>
      <c r="B250" t="s">
        <v>54</v>
      </c>
      <c r="C250" t="s">
        <v>333</v>
      </c>
      <c r="D250" t="s">
        <v>300</v>
      </c>
      <c r="E250" t="str">
        <f t="shared" si="4"/>
        <v>VAR</v>
      </c>
      <c r="F250" t="s">
        <v>339</v>
      </c>
      <c r="G250" t="s">
        <v>339</v>
      </c>
      <c r="I250" t="s">
        <v>58</v>
      </c>
      <c r="J250" t="s">
        <v>17</v>
      </c>
      <c r="K250" s="23">
        <v>-300</v>
      </c>
      <c r="L250" t="s">
        <v>24</v>
      </c>
      <c r="M250" t="s">
        <v>25</v>
      </c>
    </row>
    <row r="251" spans="1:13" hidden="1" x14ac:dyDescent="0.25">
      <c r="A251" s="5">
        <v>45706</v>
      </c>
      <c r="B251" t="s">
        <v>54</v>
      </c>
      <c r="C251" t="s">
        <v>340</v>
      </c>
      <c r="D251" t="s">
        <v>616</v>
      </c>
      <c r="E251" t="str">
        <f t="shared" si="4"/>
        <v>COM</v>
      </c>
      <c r="F251" t="s">
        <v>54</v>
      </c>
      <c r="G251" t="s">
        <v>54</v>
      </c>
      <c r="J251" t="s">
        <v>17</v>
      </c>
      <c r="K251" s="23">
        <v>-28.5</v>
      </c>
      <c r="L251" t="s">
        <v>24</v>
      </c>
      <c r="M251" t="s">
        <v>25</v>
      </c>
    </row>
    <row r="252" spans="1:13" hidden="1" x14ac:dyDescent="0.25">
      <c r="A252" s="5">
        <v>45706</v>
      </c>
      <c r="B252" t="s">
        <v>54</v>
      </c>
      <c r="C252" t="s">
        <v>341</v>
      </c>
      <c r="D252" t="s">
        <v>215</v>
      </c>
      <c r="E252" t="str">
        <f t="shared" si="4"/>
        <v>COM</v>
      </c>
      <c r="F252" t="s">
        <v>327</v>
      </c>
      <c r="G252" t="s">
        <v>327</v>
      </c>
      <c r="J252" t="s">
        <v>143</v>
      </c>
      <c r="K252" s="23">
        <v>-84.9</v>
      </c>
      <c r="L252" t="s">
        <v>24</v>
      </c>
      <c r="M252" t="s">
        <v>25</v>
      </c>
    </row>
    <row r="253" spans="1:13" hidden="1" x14ac:dyDescent="0.25">
      <c r="A253" s="5">
        <v>45706</v>
      </c>
      <c r="B253" t="s">
        <v>54</v>
      </c>
      <c r="C253" t="s">
        <v>176</v>
      </c>
      <c r="D253" t="s">
        <v>56</v>
      </c>
      <c r="E253" t="str">
        <f t="shared" si="4"/>
        <v>Honorários</v>
      </c>
      <c r="F253" t="s">
        <v>342</v>
      </c>
      <c r="G253" t="s">
        <v>342</v>
      </c>
      <c r="J253" t="s">
        <v>143</v>
      </c>
      <c r="K253" s="23">
        <v>1869</v>
      </c>
      <c r="L253" t="s">
        <v>18</v>
      </c>
      <c r="M253" t="s">
        <v>19</v>
      </c>
    </row>
    <row r="254" spans="1:13" hidden="1" x14ac:dyDescent="0.25">
      <c r="A254" s="5">
        <v>45706</v>
      </c>
      <c r="B254" t="s">
        <v>54</v>
      </c>
      <c r="C254" t="s">
        <v>343</v>
      </c>
      <c r="D254" t="s">
        <v>611</v>
      </c>
      <c r="E254" t="str">
        <f t="shared" si="4"/>
        <v>COM</v>
      </c>
      <c r="F254" t="s">
        <v>327</v>
      </c>
      <c r="G254" t="s">
        <v>327</v>
      </c>
      <c r="J254" t="s">
        <v>143</v>
      </c>
      <c r="K254" s="23">
        <v>-100</v>
      </c>
      <c r="L254" t="s">
        <v>24</v>
      </c>
      <c r="M254" t="s">
        <v>25</v>
      </c>
    </row>
    <row r="255" spans="1:13" hidden="1" x14ac:dyDescent="0.25">
      <c r="A255" s="5">
        <v>45707</v>
      </c>
      <c r="B255" t="s">
        <v>54</v>
      </c>
      <c r="C255" t="s">
        <v>345</v>
      </c>
      <c r="D255" t="s">
        <v>300</v>
      </c>
      <c r="E255" t="str">
        <f t="shared" si="4"/>
        <v>VAR</v>
      </c>
      <c r="F255" t="s">
        <v>108</v>
      </c>
      <c r="G255" t="s">
        <v>108</v>
      </c>
      <c r="I255" t="s">
        <v>109</v>
      </c>
      <c r="J255" t="s">
        <v>17</v>
      </c>
      <c r="K255" s="23">
        <v>-4287.5</v>
      </c>
      <c r="L255" t="s">
        <v>24</v>
      </c>
      <c r="M255" t="s">
        <v>25</v>
      </c>
    </row>
    <row r="256" spans="1:13" hidden="1" x14ac:dyDescent="0.25">
      <c r="A256" s="5">
        <v>45707</v>
      </c>
      <c r="B256" t="s">
        <v>54</v>
      </c>
      <c r="C256" t="s">
        <v>156</v>
      </c>
      <c r="D256" t="s">
        <v>56</v>
      </c>
      <c r="E256" t="str">
        <f t="shared" si="4"/>
        <v>Honorários</v>
      </c>
      <c r="F256" t="s">
        <v>157</v>
      </c>
      <c r="G256" t="s">
        <v>157</v>
      </c>
      <c r="I256" t="s">
        <v>93</v>
      </c>
      <c r="J256" t="s">
        <v>17</v>
      </c>
      <c r="K256" s="23">
        <v>211.8</v>
      </c>
      <c r="L256" t="s">
        <v>18</v>
      </c>
      <c r="M256" t="s">
        <v>19</v>
      </c>
    </row>
    <row r="257" spans="1:13" hidden="1" x14ac:dyDescent="0.25">
      <c r="A257" s="5">
        <v>45707</v>
      </c>
      <c r="B257" t="s">
        <v>54</v>
      </c>
      <c r="C257" t="s">
        <v>346</v>
      </c>
      <c r="D257" t="s">
        <v>300</v>
      </c>
      <c r="E257" t="str">
        <f t="shared" si="4"/>
        <v>VAR</v>
      </c>
      <c r="F257" t="s">
        <v>319</v>
      </c>
      <c r="G257" t="s">
        <v>319</v>
      </c>
      <c r="I257" t="s">
        <v>320</v>
      </c>
      <c r="J257" t="s">
        <v>17</v>
      </c>
      <c r="K257" s="23">
        <v>-10681.5</v>
      </c>
      <c r="L257" t="s">
        <v>24</v>
      </c>
      <c r="M257" t="s">
        <v>25</v>
      </c>
    </row>
    <row r="258" spans="1:13" hidden="1" x14ac:dyDescent="0.25">
      <c r="A258" s="5">
        <v>45707</v>
      </c>
      <c r="B258" t="s">
        <v>54</v>
      </c>
      <c r="C258" t="s">
        <v>249</v>
      </c>
      <c r="D258" t="s">
        <v>56</v>
      </c>
      <c r="E258" t="str">
        <f t="shared" si="4"/>
        <v>Honorários</v>
      </c>
      <c r="F258" t="s">
        <v>250</v>
      </c>
      <c r="G258" t="s">
        <v>250</v>
      </c>
      <c r="I258" t="s">
        <v>251</v>
      </c>
      <c r="J258" t="s">
        <v>17</v>
      </c>
      <c r="K258" s="23">
        <v>150</v>
      </c>
      <c r="L258" t="s">
        <v>18</v>
      </c>
      <c r="M258" t="s">
        <v>19</v>
      </c>
    </row>
    <row r="259" spans="1:13" hidden="1" x14ac:dyDescent="0.25">
      <c r="A259" s="5">
        <v>45707</v>
      </c>
      <c r="B259" t="s">
        <v>54</v>
      </c>
      <c r="C259" t="s">
        <v>347</v>
      </c>
      <c r="D259" t="s">
        <v>56</v>
      </c>
      <c r="E259" t="str">
        <f t="shared" si="4"/>
        <v>Honorários</v>
      </c>
      <c r="F259" t="s">
        <v>348</v>
      </c>
      <c r="G259" t="s">
        <v>348</v>
      </c>
      <c r="I259" t="s">
        <v>349</v>
      </c>
      <c r="J259" t="s">
        <v>17</v>
      </c>
      <c r="K259" s="23">
        <v>2370.1999999999998</v>
      </c>
      <c r="L259" t="s">
        <v>18</v>
      </c>
      <c r="M259" t="s">
        <v>19</v>
      </c>
    </row>
    <row r="260" spans="1:13" hidden="1" x14ac:dyDescent="0.25">
      <c r="A260" s="5">
        <v>45708</v>
      </c>
      <c r="B260" t="s">
        <v>50</v>
      </c>
      <c r="C260" t="s">
        <v>158</v>
      </c>
      <c r="D260" t="s">
        <v>159</v>
      </c>
      <c r="E260" t="str">
        <f t="shared" si="4"/>
        <v>PES</v>
      </c>
      <c r="F260" t="s">
        <v>160</v>
      </c>
      <c r="G260" t="s">
        <v>160</v>
      </c>
      <c r="J260" t="s">
        <v>17</v>
      </c>
      <c r="K260" s="23">
        <v>-285.23</v>
      </c>
      <c r="L260" t="s">
        <v>24</v>
      </c>
      <c r="M260" t="s">
        <v>25</v>
      </c>
    </row>
    <row r="261" spans="1:13" hidden="1" x14ac:dyDescent="0.25">
      <c r="A261" s="5">
        <v>45708</v>
      </c>
      <c r="B261" t="s">
        <v>50</v>
      </c>
      <c r="C261" t="s">
        <v>165</v>
      </c>
      <c r="D261" t="s">
        <v>166</v>
      </c>
      <c r="E261" t="str">
        <f t="shared" si="4"/>
        <v>PES</v>
      </c>
      <c r="F261" t="s">
        <v>167</v>
      </c>
      <c r="G261" t="s">
        <v>167</v>
      </c>
      <c r="J261" t="s">
        <v>17</v>
      </c>
      <c r="K261" s="23">
        <v>-2041.63</v>
      </c>
      <c r="L261" t="s">
        <v>24</v>
      </c>
      <c r="M261" t="s">
        <v>25</v>
      </c>
    </row>
    <row r="262" spans="1:13" hidden="1" x14ac:dyDescent="0.25">
      <c r="A262" s="5">
        <v>45708</v>
      </c>
      <c r="B262" t="s">
        <v>50</v>
      </c>
      <c r="C262" t="s">
        <v>350</v>
      </c>
      <c r="D262" t="s">
        <v>302</v>
      </c>
      <c r="E262" t="str">
        <f t="shared" si="4"/>
        <v>ADM</v>
      </c>
      <c r="F262" t="s">
        <v>303</v>
      </c>
      <c r="G262" t="s">
        <v>303</v>
      </c>
      <c r="H262" t="s">
        <v>285</v>
      </c>
      <c r="J262" t="s">
        <v>143</v>
      </c>
      <c r="K262" s="23">
        <v>-42.74</v>
      </c>
      <c r="L262" t="s">
        <v>24</v>
      </c>
      <c r="M262" t="s">
        <v>25</v>
      </c>
    </row>
    <row r="263" spans="1:13" hidden="1" x14ac:dyDescent="0.25">
      <c r="A263" s="5">
        <v>45708</v>
      </c>
      <c r="B263" t="s">
        <v>50</v>
      </c>
      <c r="C263" t="s">
        <v>351</v>
      </c>
      <c r="D263" t="s">
        <v>302</v>
      </c>
      <c r="E263" t="str">
        <f t="shared" si="4"/>
        <v>ADM</v>
      </c>
      <c r="F263" t="s">
        <v>303</v>
      </c>
      <c r="G263" t="s">
        <v>303</v>
      </c>
      <c r="J263" t="s">
        <v>143</v>
      </c>
      <c r="K263" s="23">
        <v>-125.57</v>
      </c>
      <c r="L263" t="s">
        <v>24</v>
      </c>
      <c r="M263" t="s">
        <v>25</v>
      </c>
    </row>
    <row r="264" spans="1:13" hidden="1" x14ac:dyDescent="0.25">
      <c r="A264" s="5">
        <v>45708</v>
      </c>
      <c r="B264" t="s">
        <v>50</v>
      </c>
      <c r="C264" t="s">
        <v>151</v>
      </c>
      <c r="D264" t="s">
        <v>152</v>
      </c>
      <c r="E264" t="str">
        <f t="shared" si="4"/>
        <v>VAR</v>
      </c>
      <c r="F264" t="s">
        <v>151</v>
      </c>
      <c r="G264" t="s">
        <v>151</v>
      </c>
      <c r="J264" t="s">
        <v>17</v>
      </c>
      <c r="K264" s="23">
        <v>-6435.84</v>
      </c>
      <c r="L264" t="s">
        <v>24</v>
      </c>
      <c r="M264" t="s">
        <v>25</v>
      </c>
    </row>
    <row r="265" spans="1:13" hidden="1" x14ac:dyDescent="0.25">
      <c r="A265" s="5">
        <v>45708</v>
      </c>
      <c r="B265" t="s">
        <v>50</v>
      </c>
      <c r="C265" t="s">
        <v>352</v>
      </c>
      <c r="D265" t="s">
        <v>302</v>
      </c>
      <c r="E265" t="str">
        <f t="shared" si="4"/>
        <v>ADM</v>
      </c>
      <c r="F265" t="s">
        <v>303</v>
      </c>
      <c r="G265" t="s">
        <v>303</v>
      </c>
      <c r="J265" t="s">
        <v>143</v>
      </c>
      <c r="K265" s="23">
        <v>-42.74</v>
      </c>
      <c r="L265" t="s">
        <v>24</v>
      </c>
      <c r="M265" t="s">
        <v>25</v>
      </c>
    </row>
    <row r="266" spans="1:13" hidden="1" x14ac:dyDescent="0.25">
      <c r="A266" s="5">
        <v>45708</v>
      </c>
      <c r="B266" t="s">
        <v>50</v>
      </c>
      <c r="C266" t="s">
        <v>353</v>
      </c>
      <c r="D266" t="s">
        <v>302</v>
      </c>
      <c r="E266" t="str">
        <f t="shared" si="4"/>
        <v>ADM</v>
      </c>
      <c r="F266" t="s">
        <v>303</v>
      </c>
      <c r="G266" t="s">
        <v>303</v>
      </c>
      <c r="J266" t="s">
        <v>143</v>
      </c>
      <c r="K266" s="23">
        <v>-42.74</v>
      </c>
      <c r="L266" t="s">
        <v>24</v>
      </c>
      <c r="M266" t="s">
        <v>25</v>
      </c>
    </row>
    <row r="267" spans="1:13" hidden="1" x14ac:dyDescent="0.25">
      <c r="A267" s="5">
        <v>45708</v>
      </c>
      <c r="B267" t="s">
        <v>50</v>
      </c>
      <c r="C267" t="s">
        <v>354</v>
      </c>
      <c r="D267" t="s">
        <v>302</v>
      </c>
      <c r="E267" t="str">
        <f t="shared" si="4"/>
        <v>ADM</v>
      </c>
      <c r="F267" t="s">
        <v>303</v>
      </c>
      <c r="G267" t="s">
        <v>303</v>
      </c>
      <c r="J267" t="s">
        <v>143</v>
      </c>
      <c r="K267" s="23">
        <v>-42.74</v>
      </c>
      <c r="L267" t="s">
        <v>24</v>
      </c>
      <c r="M267" t="s">
        <v>25</v>
      </c>
    </row>
    <row r="268" spans="1:13" hidden="1" x14ac:dyDescent="0.25">
      <c r="A268" s="5">
        <v>45708</v>
      </c>
      <c r="B268" t="s">
        <v>50</v>
      </c>
      <c r="C268" t="s">
        <v>355</v>
      </c>
      <c r="D268" t="s">
        <v>302</v>
      </c>
      <c r="E268" t="str">
        <f t="shared" si="4"/>
        <v>ADM</v>
      </c>
      <c r="F268" t="s">
        <v>303</v>
      </c>
      <c r="G268" t="s">
        <v>303</v>
      </c>
      <c r="J268" t="s">
        <v>143</v>
      </c>
      <c r="K268" s="23">
        <v>-42.74</v>
      </c>
      <c r="L268" t="s">
        <v>24</v>
      </c>
      <c r="M268" t="s">
        <v>25</v>
      </c>
    </row>
    <row r="269" spans="1:13" hidden="1" x14ac:dyDescent="0.25">
      <c r="A269" s="5">
        <v>45708</v>
      </c>
      <c r="B269" t="s">
        <v>50</v>
      </c>
      <c r="C269" t="s">
        <v>153</v>
      </c>
      <c r="D269" t="s">
        <v>154</v>
      </c>
      <c r="E269" t="str">
        <f t="shared" si="4"/>
        <v>ADM</v>
      </c>
      <c r="F269" t="s">
        <v>155</v>
      </c>
      <c r="G269" t="s">
        <v>155</v>
      </c>
      <c r="J269" t="s">
        <v>17</v>
      </c>
      <c r="K269" s="23">
        <v>-128.88</v>
      </c>
      <c r="L269" t="s">
        <v>24</v>
      </c>
      <c r="M269" t="s">
        <v>25</v>
      </c>
    </row>
    <row r="270" spans="1:13" hidden="1" x14ac:dyDescent="0.25">
      <c r="A270" s="5">
        <v>45708</v>
      </c>
      <c r="B270" t="s">
        <v>67</v>
      </c>
      <c r="C270" t="s">
        <v>110</v>
      </c>
      <c r="D270" t="s">
        <v>56</v>
      </c>
      <c r="E270" t="str">
        <f t="shared" si="4"/>
        <v>Honorários</v>
      </c>
      <c r="F270" t="s">
        <v>111</v>
      </c>
      <c r="G270" t="s">
        <v>111</v>
      </c>
      <c r="J270" t="s">
        <v>17</v>
      </c>
      <c r="K270" s="23">
        <v>354</v>
      </c>
      <c r="L270" t="s">
        <v>18</v>
      </c>
      <c r="M270" t="s">
        <v>83</v>
      </c>
    </row>
    <row r="271" spans="1:13" hidden="1" x14ac:dyDescent="0.25">
      <c r="A271" s="5">
        <v>45709</v>
      </c>
      <c r="B271" t="s">
        <v>54</v>
      </c>
      <c r="C271" t="s">
        <v>356</v>
      </c>
      <c r="D271" t="s">
        <v>611</v>
      </c>
      <c r="E271" t="str">
        <f t="shared" si="4"/>
        <v>COM</v>
      </c>
      <c r="F271" t="s">
        <v>54</v>
      </c>
      <c r="G271" t="s">
        <v>54</v>
      </c>
      <c r="J271" t="s">
        <v>17</v>
      </c>
      <c r="K271" s="23">
        <v>-231.5</v>
      </c>
      <c r="L271" t="s">
        <v>24</v>
      </c>
      <c r="M271" t="s">
        <v>25</v>
      </c>
    </row>
    <row r="272" spans="1:13" hidden="1" x14ac:dyDescent="0.25">
      <c r="A272" s="5">
        <v>45709</v>
      </c>
      <c r="B272" t="s">
        <v>54</v>
      </c>
      <c r="C272" t="s">
        <v>357</v>
      </c>
      <c r="D272" t="s">
        <v>300</v>
      </c>
      <c r="E272" t="str">
        <f t="shared" si="4"/>
        <v>VAR</v>
      </c>
      <c r="F272" t="s">
        <v>358</v>
      </c>
      <c r="G272" t="s">
        <v>358</v>
      </c>
      <c r="I272" t="s">
        <v>359</v>
      </c>
      <c r="J272" t="s">
        <v>17</v>
      </c>
      <c r="K272" s="23">
        <v>-300</v>
      </c>
      <c r="L272" t="s">
        <v>24</v>
      </c>
      <c r="M272" t="s">
        <v>25</v>
      </c>
    </row>
    <row r="273" spans="1:13" hidden="1" x14ac:dyDescent="0.25">
      <c r="A273" s="5">
        <v>45709</v>
      </c>
      <c r="B273" t="s">
        <v>54</v>
      </c>
      <c r="C273" t="s">
        <v>360</v>
      </c>
      <c r="D273" t="s">
        <v>99</v>
      </c>
      <c r="E273" t="str">
        <f t="shared" ref="E273:E336" si="5">IF(OR(D273="Honorários",D273="Despesa do cliente"),D273,LEFT(D273,3))</f>
        <v>ADM</v>
      </c>
      <c r="F273" t="s">
        <v>100</v>
      </c>
      <c r="G273" t="s">
        <v>100</v>
      </c>
      <c r="J273" t="s">
        <v>17</v>
      </c>
      <c r="K273" s="23">
        <v>-340</v>
      </c>
      <c r="L273" t="s">
        <v>24</v>
      </c>
      <c r="M273" t="s">
        <v>25</v>
      </c>
    </row>
    <row r="274" spans="1:13" hidden="1" x14ac:dyDescent="0.25">
      <c r="A274" s="5">
        <v>45709</v>
      </c>
      <c r="B274" t="s">
        <v>54</v>
      </c>
      <c r="C274" t="s">
        <v>361</v>
      </c>
      <c r="D274" t="s">
        <v>162</v>
      </c>
      <c r="E274" t="str">
        <f t="shared" si="5"/>
        <v>COM</v>
      </c>
      <c r="F274" t="s">
        <v>362</v>
      </c>
      <c r="G274" t="s">
        <v>362</v>
      </c>
      <c r="J274" t="s">
        <v>17</v>
      </c>
      <c r="K274" s="23">
        <v>-200</v>
      </c>
      <c r="L274" t="s">
        <v>24</v>
      </c>
      <c r="M274" t="s">
        <v>25</v>
      </c>
    </row>
    <row r="275" spans="1:13" hidden="1" x14ac:dyDescent="0.25">
      <c r="A275" s="5">
        <v>45709</v>
      </c>
      <c r="B275" t="s">
        <v>54</v>
      </c>
      <c r="C275" t="s">
        <v>170</v>
      </c>
      <c r="D275" t="s">
        <v>56</v>
      </c>
      <c r="E275" t="str">
        <f t="shared" si="5"/>
        <v>Honorários</v>
      </c>
      <c r="F275" t="s">
        <v>171</v>
      </c>
      <c r="G275" t="s">
        <v>171</v>
      </c>
      <c r="I275" t="s">
        <v>172</v>
      </c>
      <c r="J275" t="s">
        <v>17</v>
      </c>
      <c r="K275" s="23">
        <v>119.35</v>
      </c>
      <c r="L275" t="s">
        <v>18</v>
      </c>
      <c r="M275" t="s">
        <v>83</v>
      </c>
    </row>
    <row r="276" spans="1:13" hidden="1" x14ac:dyDescent="0.25">
      <c r="A276" s="5">
        <v>45709</v>
      </c>
      <c r="B276" t="s">
        <v>54</v>
      </c>
      <c r="C276" t="s">
        <v>330</v>
      </c>
      <c r="D276" t="s">
        <v>300</v>
      </c>
      <c r="E276" t="str">
        <f t="shared" si="5"/>
        <v>VAR</v>
      </c>
      <c r="F276" t="s">
        <v>205</v>
      </c>
      <c r="G276" t="s">
        <v>205</v>
      </c>
      <c r="J276" t="s">
        <v>17</v>
      </c>
      <c r="K276" s="23">
        <v>-100</v>
      </c>
      <c r="L276" t="s">
        <v>24</v>
      </c>
      <c r="M276" t="s">
        <v>25</v>
      </c>
    </row>
    <row r="277" spans="1:13" hidden="1" x14ac:dyDescent="0.25">
      <c r="A277" s="5">
        <v>45709</v>
      </c>
      <c r="B277" t="s">
        <v>54</v>
      </c>
      <c r="C277" t="s">
        <v>357</v>
      </c>
      <c r="D277" t="s">
        <v>300</v>
      </c>
      <c r="E277" t="str">
        <f t="shared" si="5"/>
        <v>VAR</v>
      </c>
      <c r="F277" t="s">
        <v>363</v>
      </c>
      <c r="G277" t="s">
        <v>363</v>
      </c>
      <c r="I277" t="s">
        <v>82</v>
      </c>
      <c r="J277" t="s">
        <v>17</v>
      </c>
      <c r="K277" s="23">
        <v>-300</v>
      </c>
      <c r="L277" t="s">
        <v>24</v>
      </c>
      <c r="M277" t="s">
        <v>25</v>
      </c>
    </row>
    <row r="278" spans="1:13" hidden="1" x14ac:dyDescent="0.25">
      <c r="A278" s="5">
        <v>45712</v>
      </c>
      <c r="B278" t="s">
        <v>67</v>
      </c>
      <c r="C278" t="s">
        <v>178</v>
      </c>
      <c r="D278" t="s">
        <v>56</v>
      </c>
      <c r="E278" t="str">
        <f t="shared" si="5"/>
        <v>Honorários</v>
      </c>
      <c r="F278" t="s">
        <v>179</v>
      </c>
      <c r="G278" t="s">
        <v>179</v>
      </c>
      <c r="I278" t="s">
        <v>180</v>
      </c>
      <c r="J278" t="s">
        <v>17</v>
      </c>
      <c r="K278" s="23">
        <v>150</v>
      </c>
      <c r="L278" t="s">
        <v>18</v>
      </c>
      <c r="M278" t="s">
        <v>19</v>
      </c>
    </row>
    <row r="279" spans="1:13" hidden="1" x14ac:dyDescent="0.25">
      <c r="A279" s="5">
        <v>45713</v>
      </c>
      <c r="B279" t="s">
        <v>54</v>
      </c>
      <c r="C279" t="s">
        <v>364</v>
      </c>
      <c r="D279" t="s">
        <v>56</v>
      </c>
      <c r="E279" t="str">
        <f t="shared" si="5"/>
        <v>Honorários</v>
      </c>
      <c r="F279" t="s">
        <v>365</v>
      </c>
      <c r="G279" t="s">
        <v>365</v>
      </c>
      <c r="J279" t="s">
        <v>143</v>
      </c>
      <c r="K279" s="23">
        <v>300</v>
      </c>
      <c r="L279" t="s">
        <v>18</v>
      </c>
      <c r="M279" t="s">
        <v>19</v>
      </c>
    </row>
    <row r="280" spans="1:13" hidden="1" x14ac:dyDescent="0.25">
      <c r="A280" s="5">
        <v>45713</v>
      </c>
      <c r="B280" t="s">
        <v>54</v>
      </c>
      <c r="C280" t="s">
        <v>366</v>
      </c>
      <c r="D280" t="s">
        <v>77</v>
      </c>
      <c r="E280" t="str">
        <f t="shared" si="5"/>
        <v>Despesa do cliente</v>
      </c>
      <c r="F280" t="s">
        <v>322</v>
      </c>
      <c r="G280" t="s">
        <v>322</v>
      </c>
      <c r="I280" t="s">
        <v>323</v>
      </c>
      <c r="J280" t="s">
        <v>17</v>
      </c>
      <c r="K280" s="23">
        <v>-120</v>
      </c>
      <c r="L280" t="s">
        <v>24</v>
      </c>
      <c r="M280" t="s">
        <v>25</v>
      </c>
    </row>
    <row r="281" spans="1:13" hidden="1" x14ac:dyDescent="0.25">
      <c r="A281" s="5">
        <v>45714</v>
      </c>
      <c r="B281" t="s">
        <v>54</v>
      </c>
      <c r="C281" t="s">
        <v>367</v>
      </c>
      <c r="D281" t="s">
        <v>77</v>
      </c>
      <c r="E281" t="str">
        <f t="shared" si="5"/>
        <v>Despesa do cliente</v>
      </c>
      <c r="F281" t="s">
        <v>60</v>
      </c>
      <c r="G281" t="s">
        <v>60</v>
      </c>
      <c r="I281" t="s">
        <v>58</v>
      </c>
      <c r="J281" t="s">
        <v>17</v>
      </c>
      <c r="K281" s="23">
        <v>-21.73</v>
      </c>
      <c r="L281" t="s">
        <v>24</v>
      </c>
      <c r="M281" t="s">
        <v>25</v>
      </c>
    </row>
    <row r="282" spans="1:13" hidden="1" x14ac:dyDescent="0.25">
      <c r="A282" s="5">
        <v>45714</v>
      </c>
      <c r="B282" t="s">
        <v>54</v>
      </c>
      <c r="C282" t="s">
        <v>368</v>
      </c>
      <c r="D282" t="s">
        <v>308</v>
      </c>
      <c r="E282" t="str">
        <f t="shared" si="5"/>
        <v>T&amp;O</v>
      </c>
      <c r="F282" t="s">
        <v>369</v>
      </c>
      <c r="G282" t="s">
        <v>369</v>
      </c>
      <c r="J282" t="s">
        <v>17</v>
      </c>
      <c r="K282" s="23">
        <v>-21.73</v>
      </c>
      <c r="L282" t="s">
        <v>24</v>
      </c>
      <c r="M282" t="s">
        <v>25</v>
      </c>
    </row>
    <row r="283" spans="1:13" hidden="1" x14ac:dyDescent="0.25">
      <c r="A283" s="5">
        <v>45714</v>
      </c>
      <c r="B283" t="s">
        <v>54</v>
      </c>
      <c r="C283" t="s">
        <v>186</v>
      </c>
      <c r="D283" t="s">
        <v>56</v>
      </c>
      <c r="E283" t="str">
        <f t="shared" si="5"/>
        <v>Honorários</v>
      </c>
      <c r="F283" t="s">
        <v>187</v>
      </c>
      <c r="G283" t="s">
        <v>187</v>
      </c>
      <c r="I283" t="s">
        <v>93</v>
      </c>
      <c r="J283" t="s">
        <v>17</v>
      </c>
      <c r="K283" s="23">
        <v>282.39999999999998</v>
      </c>
      <c r="L283" t="s">
        <v>18</v>
      </c>
      <c r="M283" t="s">
        <v>19</v>
      </c>
    </row>
    <row r="284" spans="1:13" hidden="1" x14ac:dyDescent="0.25">
      <c r="A284" s="5">
        <v>45716</v>
      </c>
      <c r="B284" t="s">
        <v>50</v>
      </c>
      <c r="C284" t="s">
        <v>204</v>
      </c>
      <c r="D284" t="s">
        <v>128</v>
      </c>
      <c r="E284" t="str">
        <f t="shared" si="5"/>
        <v>PES</v>
      </c>
      <c r="F284" t="s">
        <v>205</v>
      </c>
      <c r="G284" t="s">
        <v>205</v>
      </c>
      <c r="J284" t="s">
        <v>17</v>
      </c>
      <c r="K284" s="23">
        <v>-1300</v>
      </c>
      <c r="L284" t="s">
        <v>24</v>
      </c>
      <c r="M284" t="s">
        <v>25</v>
      </c>
    </row>
    <row r="285" spans="1:13" hidden="1" x14ac:dyDescent="0.25">
      <c r="A285" s="5">
        <v>45716</v>
      </c>
      <c r="B285" t="s">
        <v>50</v>
      </c>
      <c r="C285" t="s">
        <v>206</v>
      </c>
      <c r="D285" t="s">
        <v>207</v>
      </c>
      <c r="E285" t="str">
        <f t="shared" si="5"/>
        <v>DIR</v>
      </c>
      <c r="F285" t="s">
        <v>67</v>
      </c>
      <c r="G285" t="s">
        <v>67</v>
      </c>
      <c r="J285" t="s">
        <v>17</v>
      </c>
      <c r="K285" s="23">
        <v>-1351.02</v>
      </c>
      <c r="L285" t="s">
        <v>24</v>
      </c>
      <c r="M285" t="s">
        <v>25</v>
      </c>
    </row>
    <row r="286" spans="1:13" hidden="1" x14ac:dyDescent="0.25">
      <c r="A286" s="5">
        <v>45716</v>
      </c>
      <c r="B286" t="s">
        <v>50</v>
      </c>
      <c r="C286" t="s">
        <v>204</v>
      </c>
      <c r="D286" t="s">
        <v>128</v>
      </c>
      <c r="E286" t="str">
        <f t="shared" si="5"/>
        <v>PES</v>
      </c>
      <c r="F286" t="s">
        <v>208</v>
      </c>
      <c r="G286" t="s">
        <v>208</v>
      </c>
      <c r="J286" t="s">
        <v>17</v>
      </c>
      <c r="K286" s="23">
        <v>-1300</v>
      </c>
      <c r="L286" t="s">
        <v>24</v>
      </c>
      <c r="M286" t="s">
        <v>25</v>
      </c>
    </row>
    <row r="287" spans="1:13" hidden="1" x14ac:dyDescent="0.25">
      <c r="A287" s="5">
        <v>45716</v>
      </c>
      <c r="B287" t="s">
        <v>54</v>
      </c>
      <c r="C287" t="s">
        <v>370</v>
      </c>
      <c r="D287" t="s">
        <v>300</v>
      </c>
      <c r="E287" t="str">
        <f t="shared" si="5"/>
        <v>VAR</v>
      </c>
      <c r="F287" t="s">
        <v>67</v>
      </c>
      <c r="G287" t="s">
        <v>67</v>
      </c>
      <c r="J287" t="s">
        <v>17</v>
      </c>
      <c r="K287" s="23">
        <v>-100</v>
      </c>
      <c r="L287" t="s">
        <v>24</v>
      </c>
      <c r="M287" t="s">
        <v>25</v>
      </c>
    </row>
    <row r="288" spans="1:13" hidden="1" x14ac:dyDescent="0.25">
      <c r="A288" s="5">
        <v>45716</v>
      </c>
      <c r="B288" t="s">
        <v>54</v>
      </c>
      <c r="C288" t="s">
        <v>370</v>
      </c>
      <c r="D288" t="s">
        <v>300</v>
      </c>
      <c r="E288" t="str">
        <f t="shared" si="5"/>
        <v>VAR</v>
      </c>
      <c r="F288" t="s">
        <v>209</v>
      </c>
      <c r="G288" t="s">
        <v>209</v>
      </c>
      <c r="J288" t="s">
        <v>17</v>
      </c>
      <c r="K288" s="23">
        <v>-100</v>
      </c>
      <c r="L288" t="s">
        <v>24</v>
      </c>
      <c r="M288" t="s">
        <v>25</v>
      </c>
    </row>
    <row r="289" spans="1:13" hidden="1" x14ac:dyDescent="0.25">
      <c r="A289" s="5">
        <v>45716</v>
      </c>
      <c r="B289" t="s">
        <v>50</v>
      </c>
      <c r="C289" t="s">
        <v>190</v>
      </c>
      <c r="D289" t="s">
        <v>191</v>
      </c>
      <c r="E289" t="str">
        <f t="shared" si="5"/>
        <v>ADM</v>
      </c>
      <c r="F289" t="s">
        <v>371</v>
      </c>
      <c r="G289" t="s">
        <v>371</v>
      </c>
      <c r="J289" t="s">
        <v>17</v>
      </c>
      <c r="K289" s="23">
        <v>-390.61</v>
      </c>
      <c r="L289" t="s">
        <v>24</v>
      </c>
      <c r="M289" t="s">
        <v>25</v>
      </c>
    </row>
    <row r="290" spans="1:13" hidden="1" x14ac:dyDescent="0.25">
      <c r="A290" s="5">
        <v>45716</v>
      </c>
      <c r="B290" t="s">
        <v>50</v>
      </c>
      <c r="C290" t="s">
        <v>200</v>
      </c>
      <c r="D290" t="s">
        <v>201</v>
      </c>
      <c r="E290" t="str">
        <f t="shared" si="5"/>
        <v>DIR</v>
      </c>
      <c r="F290" t="s">
        <v>67</v>
      </c>
      <c r="G290" t="s">
        <v>67</v>
      </c>
      <c r="J290" t="s">
        <v>17</v>
      </c>
      <c r="K290" s="23">
        <v>-3648.98</v>
      </c>
      <c r="L290" t="s">
        <v>24</v>
      </c>
      <c r="M290" t="s">
        <v>25</v>
      </c>
    </row>
    <row r="291" spans="1:13" hidden="1" x14ac:dyDescent="0.25">
      <c r="A291" s="5">
        <v>45716</v>
      </c>
      <c r="B291" t="s">
        <v>54</v>
      </c>
      <c r="C291" t="s">
        <v>370</v>
      </c>
      <c r="D291" t="s">
        <v>300</v>
      </c>
      <c r="E291" t="str">
        <f t="shared" si="5"/>
        <v>VAR</v>
      </c>
      <c r="F291" t="s">
        <v>54</v>
      </c>
      <c r="G291" t="s">
        <v>54</v>
      </c>
      <c r="J291" t="s">
        <v>17</v>
      </c>
      <c r="K291" s="23">
        <v>-100</v>
      </c>
      <c r="L291" t="s">
        <v>24</v>
      </c>
      <c r="M291" t="s">
        <v>25</v>
      </c>
    </row>
    <row r="292" spans="1:13" hidden="1" x14ac:dyDescent="0.25">
      <c r="A292" s="5">
        <v>45716</v>
      </c>
      <c r="B292" t="s">
        <v>54</v>
      </c>
      <c r="C292" t="s">
        <v>372</v>
      </c>
      <c r="D292" t="s">
        <v>56</v>
      </c>
      <c r="E292" t="str">
        <f t="shared" si="5"/>
        <v>Honorários</v>
      </c>
      <c r="F292" t="s">
        <v>373</v>
      </c>
      <c r="G292" t="s">
        <v>373</v>
      </c>
      <c r="I292" t="s">
        <v>374</v>
      </c>
      <c r="J292" t="s">
        <v>17</v>
      </c>
      <c r="K292" s="23">
        <v>1678.79</v>
      </c>
      <c r="L292" t="s">
        <v>18</v>
      </c>
      <c r="M292" t="s">
        <v>19</v>
      </c>
    </row>
    <row r="293" spans="1:13" hidden="1" x14ac:dyDescent="0.25">
      <c r="A293" s="5">
        <v>45716</v>
      </c>
      <c r="B293" t="s">
        <v>54</v>
      </c>
      <c r="C293" t="s">
        <v>375</v>
      </c>
      <c r="D293" t="s">
        <v>300</v>
      </c>
      <c r="E293" t="str">
        <f t="shared" si="5"/>
        <v>VAR</v>
      </c>
      <c r="F293" t="s">
        <v>342</v>
      </c>
      <c r="G293" t="s">
        <v>342</v>
      </c>
      <c r="I293" t="s">
        <v>75</v>
      </c>
      <c r="J293" t="s">
        <v>17</v>
      </c>
      <c r="K293" s="23">
        <v>-186.9</v>
      </c>
      <c r="L293" t="s">
        <v>24</v>
      </c>
      <c r="M293" t="s">
        <v>25</v>
      </c>
    </row>
    <row r="294" spans="1:13" hidden="1" x14ac:dyDescent="0.25">
      <c r="A294" s="5">
        <v>45716</v>
      </c>
      <c r="B294" t="s">
        <v>50</v>
      </c>
      <c r="C294" t="s">
        <v>200</v>
      </c>
      <c r="D294" t="s">
        <v>201</v>
      </c>
      <c r="E294" t="str">
        <f t="shared" si="5"/>
        <v>DIR</v>
      </c>
      <c r="F294" t="s">
        <v>54</v>
      </c>
      <c r="G294" t="s">
        <v>54</v>
      </c>
      <c r="J294" t="s">
        <v>17</v>
      </c>
      <c r="K294" s="23">
        <v>-6148.98</v>
      </c>
      <c r="L294" t="s">
        <v>24</v>
      </c>
      <c r="M294" t="s">
        <v>25</v>
      </c>
    </row>
    <row r="295" spans="1:13" hidden="1" x14ac:dyDescent="0.25">
      <c r="A295" s="5">
        <v>45716</v>
      </c>
      <c r="B295" t="s">
        <v>54</v>
      </c>
      <c r="C295" t="s">
        <v>370</v>
      </c>
      <c r="D295" t="s">
        <v>300</v>
      </c>
      <c r="E295" t="str">
        <f t="shared" si="5"/>
        <v>VAR</v>
      </c>
      <c r="F295" t="s">
        <v>208</v>
      </c>
      <c r="G295" t="s">
        <v>208</v>
      </c>
      <c r="J295" t="s">
        <v>17</v>
      </c>
      <c r="K295" s="23">
        <v>-100</v>
      </c>
      <c r="L295" t="s">
        <v>24</v>
      </c>
      <c r="M295" t="s">
        <v>25</v>
      </c>
    </row>
    <row r="296" spans="1:13" hidden="1" x14ac:dyDescent="0.25">
      <c r="A296" s="5">
        <v>45716</v>
      </c>
      <c r="B296" t="s">
        <v>54</v>
      </c>
      <c r="C296" t="s">
        <v>272</v>
      </c>
      <c r="D296" t="s">
        <v>198</v>
      </c>
      <c r="E296" t="str">
        <f t="shared" si="5"/>
        <v>PES</v>
      </c>
      <c r="F296" t="s">
        <v>203</v>
      </c>
      <c r="G296" t="s">
        <v>203</v>
      </c>
      <c r="J296" t="s">
        <v>143</v>
      </c>
      <c r="K296" s="23">
        <v>-1518</v>
      </c>
      <c r="L296" t="s">
        <v>24</v>
      </c>
      <c r="M296" t="s">
        <v>25</v>
      </c>
    </row>
    <row r="297" spans="1:13" hidden="1" x14ac:dyDescent="0.25">
      <c r="A297" s="5">
        <v>45716</v>
      </c>
      <c r="B297" t="s">
        <v>54</v>
      </c>
      <c r="C297" t="s">
        <v>376</v>
      </c>
      <c r="D297" t="s">
        <v>300</v>
      </c>
      <c r="E297" t="str">
        <f t="shared" si="5"/>
        <v>VAR</v>
      </c>
      <c r="F297" t="s">
        <v>377</v>
      </c>
      <c r="G297" t="s">
        <v>377</v>
      </c>
      <c r="I297" t="s">
        <v>58</v>
      </c>
      <c r="J297" t="s">
        <v>17</v>
      </c>
      <c r="K297" s="23">
        <v>-600</v>
      </c>
      <c r="L297" t="s">
        <v>24</v>
      </c>
      <c r="M297" t="s">
        <v>25</v>
      </c>
    </row>
    <row r="298" spans="1:13" hidden="1" x14ac:dyDescent="0.25">
      <c r="A298" s="5">
        <v>45716</v>
      </c>
      <c r="B298" t="s">
        <v>50</v>
      </c>
      <c r="C298" t="s">
        <v>206</v>
      </c>
      <c r="D298" t="s">
        <v>207</v>
      </c>
      <c r="E298" t="str">
        <f t="shared" si="5"/>
        <v>DIR</v>
      </c>
      <c r="F298" t="s">
        <v>54</v>
      </c>
      <c r="G298" t="s">
        <v>54</v>
      </c>
      <c r="J298" t="s">
        <v>17</v>
      </c>
      <c r="K298" s="23">
        <v>-1351.02</v>
      </c>
      <c r="L298" t="s">
        <v>24</v>
      </c>
      <c r="M298" t="s">
        <v>25</v>
      </c>
    </row>
    <row r="299" spans="1:13" hidden="1" x14ac:dyDescent="0.25">
      <c r="A299" s="5">
        <v>45716</v>
      </c>
      <c r="B299" t="s">
        <v>54</v>
      </c>
      <c r="C299" t="s">
        <v>306</v>
      </c>
      <c r="D299" t="s">
        <v>99</v>
      </c>
      <c r="E299" t="str">
        <f t="shared" si="5"/>
        <v>ADM</v>
      </c>
      <c r="F299" t="s">
        <v>100</v>
      </c>
      <c r="G299" t="s">
        <v>100</v>
      </c>
      <c r="J299" t="s">
        <v>17</v>
      </c>
      <c r="K299" s="23">
        <v>-340</v>
      </c>
      <c r="L299" t="s">
        <v>24</v>
      </c>
      <c r="M299" t="s">
        <v>25</v>
      </c>
    </row>
    <row r="300" spans="1:13" hidden="1" x14ac:dyDescent="0.25">
      <c r="A300" s="5">
        <v>45716</v>
      </c>
      <c r="B300" t="s">
        <v>54</v>
      </c>
      <c r="C300" t="s">
        <v>378</v>
      </c>
      <c r="D300" t="s">
        <v>300</v>
      </c>
      <c r="E300" t="str">
        <f t="shared" si="5"/>
        <v>VAR</v>
      </c>
      <c r="F300" t="s">
        <v>373</v>
      </c>
      <c r="G300" t="s">
        <v>373</v>
      </c>
      <c r="I300" t="s">
        <v>374</v>
      </c>
      <c r="J300" t="s">
        <v>17</v>
      </c>
      <c r="K300" s="23">
        <v>-3216.41</v>
      </c>
      <c r="L300" t="s">
        <v>24</v>
      </c>
      <c r="M300" t="s">
        <v>25</v>
      </c>
    </row>
    <row r="301" spans="1:13" hidden="1" x14ac:dyDescent="0.25">
      <c r="A301" s="5">
        <v>45716</v>
      </c>
      <c r="B301" t="s">
        <v>50</v>
      </c>
      <c r="C301" t="s">
        <v>379</v>
      </c>
      <c r="D301" t="s">
        <v>56</v>
      </c>
      <c r="E301" t="str">
        <f t="shared" si="5"/>
        <v>Honorários</v>
      </c>
      <c r="F301" t="s">
        <v>373</v>
      </c>
      <c r="G301" t="s">
        <v>373</v>
      </c>
      <c r="I301" t="s">
        <v>374</v>
      </c>
      <c r="J301" t="s">
        <v>17</v>
      </c>
      <c r="K301" s="23">
        <v>3334.18</v>
      </c>
      <c r="L301" t="s">
        <v>18</v>
      </c>
      <c r="M301" t="s">
        <v>19</v>
      </c>
    </row>
    <row r="302" spans="1:13" hidden="1" x14ac:dyDescent="0.25">
      <c r="A302" s="5">
        <v>45716</v>
      </c>
      <c r="B302" t="s">
        <v>54</v>
      </c>
      <c r="C302" t="s">
        <v>197</v>
      </c>
      <c r="D302" t="s">
        <v>198</v>
      </c>
      <c r="E302" t="str">
        <f t="shared" si="5"/>
        <v>PES</v>
      </c>
      <c r="F302" t="s">
        <v>209</v>
      </c>
      <c r="G302" t="s">
        <v>209</v>
      </c>
      <c r="J302" t="s">
        <v>17</v>
      </c>
      <c r="K302" s="23">
        <v>-2200</v>
      </c>
      <c r="L302" t="s">
        <v>24</v>
      </c>
      <c r="M302" t="s">
        <v>25</v>
      </c>
    </row>
    <row r="303" spans="1:13" hidden="1" x14ac:dyDescent="0.25">
      <c r="A303" s="5">
        <v>45716</v>
      </c>
      <c r="B303" t="s">
        <v>54</v>
      </c>
      <c r="C303" t="s">
        <v>370</v>
      </c>
      <c r="D303" t="s">
        <v>300</v>
      </c>
      <c r="E303" t="str">
        <f t="shared" si="5"/>
        <v>VAR</v>
      </c>
      <c r="F303" t="s">
        <v>205</v>
      </c>
      <c r="G303" t="s">
        <v>205</v>
      </c>
      <c r="J303" t="s">
        <v>17</v>
      </c>
      <c r="K303" s="23">
        <v>-100</v>
      </c>
      <c r="L303" t="s">
        <v>24</v>
      </c>
      <c r="M303" t="s">
        <v>25</v>
      </c>
    </row>
    <row r="304" spans="1:13" hidden="1" x14ac:dyDescent="0.25">
      <c r="A304" s="5">
        <v>45716</v>
      </c>
      <c r="B304" t="s">
        <v>50</v>
      </c>
      <c r="C304" t="s">
        <v>197</v>
      </c>
      <c r="D304" t="s">
        <v>198</v>
      </c>
      <c r="E304" t="str">
        <f t="shared" si="5"/>
        <v>PES</v>
      </c>
      <c r="F304" t="s">
        <v>199</v>
      </c>
      <c r="G304" t="s">
        <v>199</v>
      </c>
      <c r="J304" t="s">
        <v>17</v>
      </c>
      <c r="K304" s="23">
        <v>-3195.89</v>
      </c>
      <c r="L304" t="s">
        <v>24</v>
      </c>
      <c r="M304" t="s">
        <v>25</v>
      </c>
    </row>
    <row r="305" spans="1:14" hidden="1" x14ac:dyDescent="0.25">
      <c r="A305" s="5">
        <v>45716</v>
      </c>
      <c r="B305" t="s">
        <v>50</v>
      </c>
      <c r="C305" t="s">
        <v>190</v>
      </c>
      <c r="D305" t="s">
        <v>191</v>
      </c>
      <c r="E305" t="str">
        <f t="shared" si="5"/>
        <v>ADM</v>
      </c>
      <c r="F305" t="s">
        <v>380</v>
      </c>
      <c r="G305" t="s">
        <v>380</v>
      </c>
      <c r="J305" t="s">
        <v>17</v>
      </c>
      <c r="K305" s="23">
        <v>-669.63</v>
      </c>
      <c r="L305" t="s">
        <v>24</v>
      </c>
      <c r="M305" t="s">
        <v>25</v>
      </c>
    </row>
    <row r="306" spans="1:14" hidden="1" x14ac:dyDescent="0.25">
      <c r="A306" s="5">
        <v>45716</v>
      </c>
      <c r="B306" t="s">
        <v>54</v>
      </c>
      <c r="C306" t="s">
        <v>370</v>
      </c>
      <c r="D306" t="s">
        <v>300</v>
      </c>
      <c r="E306" t="str">
        <f t="shared" si="5"/>
        <v>VAR</v>
      </c>
      <c r="F306" t="s">
        <v>199</v>
      </c>
      <c r="G306" t="s">
        <v>199</v>
      </c>
      <c r="J306" t="s">
        <v>17</v>
      </c>
      <c r="K306" s="23">
        <v>-100</v>
      </c>
      <c r="L306" t="s">
        <v>24</v>
      </c>
      <c r="M306" t="s">
        <v>25</v>
      </c>
      <c r="N306">
        <v>1</v>
      </c>
    </row>
    <row r="307" spans="1:14" hidden="1" x14ac:dyDescent="0.25">
      <c r="A307" s="5">
        <v>45717</v>
      </c>
      <c r="B307" t="s">
        <v>20</v>
      </c>
      <c r="C307" t="s">
        <v>37</v>
      </c>
      <c r="D307" t="s">
        <v>30</v>
      </c>
      <c r="E307" t="str">
        <f t="shared" si="5"/>
        <v>ADM</v>
      </c>
      <c r="F307" t="s">
        <v>23</v>
      </c>
      <c r="G307" t="s">
        <v>23</v>
      </c>
      <c r="J307" t="s">
        <v>17</v>
      </c>
      <c r="K307" s="23">
        <v>-80.91</v>
      </c>
      <c r="L307" t="s">
        <v>24</v>
      </c>
      <c r="M307" t="s">
        <v>25</v>
      </c>
    </row>
    <row r="308" spans="1:14" hidden="1" x14ac:dyDescent="0.25">
      <c r="A308" s="5">
        <v>45717</v>
      </c>
      <c r="B308" t="s">
        <v>20</v>
      </c>
      <c r="C308" t="s">
        <v>381</v>
      </c>
      <c r="D308" t="s">
        <v>28</v>
      </c>
      <c r="E308" t="str">
        <f t="shared" si="5"/>
        <v>ADM</v>
      </c>
      <c r="F308" t="s">
        <v>23</v>
      </c>
      <c r="G308" t="s">
        <v>23</v>
      </c>
      <c r="J308" t="s">
        <v>143</v>
      </c>
      <c r="K308" s="23">
        <v>-384.3</v>
      </c>
      <c r="L308" t="s">
        <v>24</v>
      </c>
      <c r="M308" t="s">
        <v>25</v>
      </c>
    </row>
    <row r="309" spans="1:14" hidden="1" x14ac:dyDescent="0.25">
      <c r="A309" s="5">
        <v>45717</v>
      </c>
      <c r="B309" t="s">
        <v>20</v>
      </c>
      <c r="C309" t="s">
        <v>46</v>
      </c>
      <c r="D309" t="s">
        <v>30</v>
      </c>
      <c r="E309" t="str">
        <f t="shared" si="5"/>
        <v>ADM</v>
      </c>
      <c r="F309" t="s">
        <v>23</v>
      </c>
      <c r="G309" t="s">
        <v>23</v>
      </c>
      <c r="J309" t="s">
        <v>17</v>
      </c>
      <c r="K309" s="23">
        <v>-119.9</v>
      </c>
      <c r="L309" t="s">
        <v>24</v>
      </c>
      <c r="M309" t="s">
        <v>25</v>
      </c>
    </row>
    <row r="310" spans="1:14" hidden="1" x14ac:dyDescent="0.25">
      <c r="A310" s="5">
        <v>45717</v>
      </c>
      <c r="B310" t="s">
        <v>13</v>
      </c>
      <c r="C310" t="s">
        <v>47</v>
      </c>
      <c r="D310" t="s">
        <v>382</v>
      </c>
      <c r="E310" t="str">
        <f t="shared" si="5"/>
        <v>PES</v>
      </c>
      <c r="F310" t="s">
        <v>16</v>
      </c>
      <c r="G310" t="s">
        <v>16</v>
      </c>
      <c r="J310" t="s">
        <v>17</v>
      </c>
      <c r="K310" s="23">
        <v>-249.21</v>
      </c>
      <c r="L310" t="s">
        <v>24</v>
      </c>
      <c r="M310" t="s">
        <v>25</v>
      </c>
    </row>
    <row r="311" spans="1:14" hidden="1" x14ac:dyDescent="0.25">
      <c r="A311" s="5">
        <v>45717</v>
      </c>
      <c r="B311" t="s">
        <v>20</v>
      </c>
      <c r="C311" t="s">
        <v>32</v>
      </c>
      <c r="D311" t="s">
        <v>30</v>
      </c>
      <c r="E311" t="str">
        <f t="shared" si="5"/>
        <v>ADM</v>
      </c>
      <c r="F311" t="s">
        <v>23</v>
      </c>
      <c r="G311" t="s">
        <v>23</v>
      </c>
      <c r="J311" t="s">
        <v>17</v>
      </c>
      <c r="K311" s="23">
        <v>-58.9</v>
      </c>
      <c r="L311" t="s">
        <v>24</v>
      </c>
      <c r="M311" t="s">
        <v>25</v>
      </c>
    </row>
    <row r="312" spans="1:14" hidden="1" x14ac:dyDescent="0.25">
      <c r="A312" s="5">
        <v>45717</v>
      </c>
      <c r="B312" t="s">
        <v>20</v>
      </c>
      <c r="C312" t="s">
        <v>383</v>
      </c>
      <c r="D312" t="s">
        <v>149</v>
      </c>
      <c r="E312" t="str">
        <f t="shared" si="5"/>
        <v>ADM</v>
      </c>
      <c r="F312" t="s">
        <v>23</v>
      </c>
      <c r="G312" t="s">
        <v>23</v>
      </c>
      <c r="J312" t="s">
        <v>143</v>
      </c>
      <c r="K312" s="23">
        <v>-26.8</v>
      </c>
      <c r="L312" t="s">
        <v>24</v>
      </c>
      <c r="M312" t="s">
        <v>25</v>
      </c>
    </row>
    <row r="313" spans="1:14" hidden="1" x14ac:dyDescent="0.25">
      <c r="A313" s="5">
        <v>45717</v>
      </c>
      <c r="B313" t="s">
        <v>20</v>
      </c>
      <c r="C313" t="s">
        <v>40</v>
      </c>
      <c r="D313" t="s">
        <v>30</v>
      </c>
      <c r="E313" t="str">
        <f t="shared" si="5"/>
        <v>ADM</v>
      </c>
      <c r="F313" t="s">
        <v>23</v>
      </c>
      <c r="G313" t="s">
        <v>23</v>
      </c>
      <c r="J313" t="s">
        <v>17</v>
      </c>
      <c r="K313" s="23">
        <v>-19.899999999999999</v>
      </c>
      <c r="L313" t="s">
        <v>24</v>
      </c>
      <c r="M313" t="s">
        <v>25</v>
      </c>
    </row>
    <row r="314" spans="1:14" hidden="1" x14ac:dyDescent="0.25">
      <c r="A314" s="5">
        <v>45717</v>
      </c>
      <c r="B314" t="s">
        <v>20</v>
      </c>
      <c r="C314" t="s">
        <v>384</v>
      </c>
      <c r="D314" t="s">
        <v>28</v>
      </c>
      <c r="E314" t="str">
        <f t="shared" si="5"/>
        <v>ADM</v>
      </c>
      <c r="F314" t="s">
        <v>23</v>
      </c>
      <c r="G314" t="s">
        <v>23</v>
      </c>
      <c r="J314" t="s">
        <v>143</v>
      </c>
      <c r="K314" s="23">
        <v>-52.68</v>
      </c>
      <c r="L314" t="s">
        <v>24</v>
      </c>
      <c r="M314" t="s">
        <v>25</v>
      </c>
    </row>
    <row r="315" spans="1:14" hidden="1" x14ac:dyDescent="0.25">
      <c r="A315" s="5">
        <v>45717</v>
      </c>
      <c r="B315" t="s">
        <v>13</v>
      </c>
      <c r="C315" t="s">
        <v>14</v>
      </c>
      <c r="D315" t="s">
        <v>15</v>
      </c>
      <c r="E315" t="str">
        <f t="shared" si="5"/>
        <v>ADM</v>
      </c>
      <c r="F315" t="s">
        <v>16</v>
      </c>
      <c r="G315" t="s">
        <v>16</v>
      </c>
      <c r="J315" t="s">
        <v>143</v>
      </c>
      <c r="K315" s="23">
        <v>1012.15</v>
      </c>
      <c r="L315" t="s">
        <v>18</v>
      </c>
      <c r="M315" t="s">
        <v>19</v>
      </c>
    </row>
    <row r="316" spans="1:14" hidden="1" x14ac:dyDescent="0.25">
      <c r="A316" s="5">
        <v>45717</v>
      </c>
      <c r="B316" t="s">
        <v>13</v>
      </c>
      <c r="C316" t="s">
        <v>35</v>
      </c>
      <c r="D316" t="s">
        <v>30</v>
      </c>
      <c r="E316" t="str">
        <f t="shared" si="5"/>
        <v>ADM</v>
      </c>
      <c r="F316" t="s">
        <v>16</v>
      </c>
      <c r="G316" t="s">
        <v>16</v>
      </c>
      <c r="J316" t="s">
        <v>17</v>
      </c>
      <c r="K316" s="23">
        <v>-120.29</v>
      </c>
      <c r="L316" t="s">
        <v>24</v>
      </c>
      <c r="M316" t="s">
        <v>25</v>
      </c>
    </row>
    <row r="317" spans="1:14" hidden="1" x14ac:dyDescent="0.25">
      <c r="A317" s="5">
        <v>45717</v>
      </c>
      <c r="B317" t="s">
        <v>20</v>
      </c>
      <c r="C317" t="s">
        <v>385</v>
      </c>
      <c r="D317" t="s">
        <v>28</v>
      </c>
      <c r="E317" t="str">
        <f t="shared" si="5"/>
        <v>ADM</v>
      </c>
      <c r="F317" t="s">
        <v>23</v>
      </c>
      <c r="G317" t="s">
        <v>23</v>
      </c>
      <c r="J317" t="s">
        <v>143</v>
      </c>
      <c r="K317" s="23">
        <v>-41.7</v>
      </c>
      <c r="L317" t="s">
        <v>24</v>
      </c>
      <c r="M317" t="s">
        <v>25</v>
      </c>
    </row>
    <row r="318" spans="1:14" hidden="1" x14ac:dyDescent="0.25">
      <c r="A318" s="5">
        <v>45717</v>
      </c>
      <c r="B318" t="s">
        <v>13</v>
      </c>
      <c r="C318" t="s">
        <v>36</v>
      </c>
      <c r="D318" t="s">
        <v>382</v>
      </c>
      <c r="E318" t="str">
        <f t="shared" si="5"/>
        <v>PES</v>
      </c>
      <c r="F318" t="s">
        <v>16</v>
      </c>
      <c r="G318" t="s">
        <v>16</v>
      </c>
      <c r="J318" t="s">
        <v>17</v>
      </c>
      <c r="K318" s="23">
        <v>-59.9</v>
      </c>
      <c r="L318" t="s">
        <v>24</v>
      </c>
      <c r="M318" t="s">
        <v>25</v>
      </c>
    </row>
    <row r="319" spans="1:14" hidden="1" x14ac:dyDescent="0.25">
      <c r="A319" s="5">
        <v>45717</v>
      </c>
      <c r="B319" t="s">
        <v>13</v>
      </c>
      <c r="C319" t="s">
        <v>29</v>
      </c>
      <c r="D319" t="s">
        <v>30</v>
      </c>
      <c r="E319" t="str">
        <f t="shared" si="5"/>
        <v>ADM</v>
      </c>
      <c r="F319" t="s">
        <v>16</v>
      </c>
      <c r="G319" t="s">
        <v>16</v>
      </c>
      <c r="J319" t="s">
        <v>17</v>
      </c>
      <c r="K319" s="23">
        <v>-456.75</v>
      </c>
      <c r="L319" t="s">
        <v>24</v>
      </c>
      <c r="M319" t="s">
        <v>25</v>
      </c>
    </row>
    <row r="320" spans="1:14" hidden="1" x14ac:dyDescent="0.25">
      <c r="A320" s="5">
        <v>45717</v>
      </c>
      <c r="B320" t="s">
        <v>20</v>
      </c>
      <c r="C320" t="s">
        <v>44</v>
      </c>
      <c r="D320" t="s">
        <v>28</v>
      </c>
      <c r="E320" t="str">
        <f t="shared" si="5"/>
        <v>ADM</v>
      </c>
      <c r="F320" t="s">
        <v>23</v>
      </c>
      <c r="G320" t="s">
        <v>23</v>
      </c>
      <c r="J320" t="s">
        <v>17</v>
      </c>
      <c r="K320" s="23">
        <v>-725</v>
      </c>
      <c r="L320" t="s">
        <v>24</v>
      </c>
      <c r="M320" t="s">
        <v>25</v>
      </c>
    </row>
    <row r="321" spans="1:13" hidden="1" x14ac:dyDescent="0.25">
      <c r="A321" s="5">
        <v>45717</v>
      </c>
      <c r="B321" t="s">
        <v>20</v>
      </c>
      <c r="C321" t="s">
        <v>41</v>
      </c>
      <c r="D321" t="s">
        <v>30</v>
      </c>
      <c r="E321" t="str">
        <f t="shared" si="5"/>
        <v>ADM</v>
      </c>
      <c r="F321" t="s">
        <v>23</v>
      </c>
      <c r="G321" t="s">
        <v>23</v>
      </c>
      <c r="J321" t="s">
        <v>17</v>
      </c>
      <c r="K321" s="23">
        <v>-38.99</v>
      </c>
      <c r="L321" t="s">
        <v>24</v>
      </c>
      <c r="M321" t="s">
        <v>25</v>
      </c>
    </row>
    <row r="322" spans="1:13" hidden="1" x14ac:dyDescent="0.25">
      <c r="A322" s="5">
        <v>45717</v>
      </c>
      <c r="B322" t="s">
        <v>20</v>
      </c>
      <c r="C322" t="s">
        <v>386</v>
      </c>
      <c r="D322" t="s">
        <v>162</v>
      </c>
      <c r="E322" t="str">
        <f t="shared" si="5"/>
        <v>COM</v>
      </c>
      <c r="F322" t="s">
        <v>23</v>
      </c>
      <c r="G322" t="s">
        <v>23</v>
      </c>
      <c r="J322" t="s">
        <v>143</v>
      </c>
      <c r="K322" s="23">
        <v>-15</v>
      </c>
      <c r="L322" t="s">
        <v>24</v>
      </c>
      <c r="M322" t="s">
        <v>25</v>
      </c>
    </row>
    <row r="323" spans="1:13" hidden="1" x14ac:dyDescent="0.25">
      <c r="A323" s="5">
        <v>45717</v>
      </c>
      <c r="B323" t="s">
        <v>20</v>
      </c>
      <c r="C323" t="s">
        <v>387</v>
      </c>
      <c r="D323" t="s">
        <v>28</v>
      </c>
      <c r="E323" t="str">
        <f t="shared" si="5"/>
        <v>ADM</v>
      </c>
      <c r="F323" t="s">
        <v>23</v>
      </c>
      <c r="G323" t="s">
        <v>23</v>
      </c>
      <c r="J323" t="s">
        <v>143</v>
      </c>
      <c r="K323" s="23">
        <v>-42.28</v>
      </c>
      <c r="L323" t="s">
        <v>24</v>
      </c>
      <c r="M323" t="s">
        <v>25</v>
      </c>
    </row>
    <row r="324" spans="1:13" hidden="1" x14ac:dyDescent="0.25">
      <c r="A324" s="5">
        <v>45717</v>
      </c>
      <c r="B324" t="s">
        <v>20</v>
      </c>
      <c r="C324" t="s">
        <v>284</v>
      </c>
      <c r="D324" t="s">
        <v>39</v>
      </c>
      <c r="E324" t="str">
        <f t="shared" si="5"/>
        <v>INV</v>
      </c>
      <c r="F324" t="s">
        <v>23</v>
      </c>
      <c r="G324" t="s">
        <v>23</v>
      </c>
      <c r="H324" t="s">
        <v>285</v>
      </c>
      <c r="J324" t="s">
        <v>143</v>
      </c>
      <c r="K324" s="23">
        <v>-333.24</v>
      </c>
      <c r="L324" t="s">
        <v>24</v>
      </c>
      <c r="M324" t="s">
        <v>25</v>
      </c>
    </row>
    <row r="325" spans="1:13" hidden="1" x14ac:dyDescent="0.25">
      <c r="A325" s="5">
        <v>45717</v>
      </c>
      <c r="B325" t="s">
        <v>20</v>
      </c>
      <c r="C325" t="s">
        <v>41</v>
      </c>
      <c r="D325" t="s">
        <v>30</v>
      </c>
      <c r="E325" t="str">
        <f t="shared" si="5"/>
        <v>ADM</v>
      </c>
      <c r="F325" t="s">
        <v>23</v>
      </c>
      <c r="G325" t="s">
        <v>23</v>
      </c>
      <c r="J325" t="s">
        <v>17</v>
      </c>
      <c r="K325" s="23">
        <v>-11.99</v>
      </c>
      <c r="L325" t="s">
        <v>24</v>
      </c>
      <c r="M325" t="s">
        <v>25</v>
      </c>
    </row>
    <row r="326" spans="1:13" hidden="1" x14ac:dyDescent="0.25">
      <c r="A326" s="5">
        <v>45717</v>
      </c>
      <c r="B326" t="s">
        <v>13</v>
      </c>
      <c r="C326" t="s">
        <v>48</v>
      </c>
      <c r="D326" t="s">
        <v>30</v>
      </c>
      <c r="E326" t="str">
        <f t="shared" si="5"/>
        <v>ADM</v>
      </c>
      <c r="F326" t="s">
        <v>16</v>
      </c>
      <c r="G326" t="s">
        <v>16</v>
      </c>
      <c r="J326" t="s">
        <v>17</v>
      </c>
      <c r="K326" s="23">
        <v>-126</v>
      </c>
      <c r="L326" t="s">
        <v>24</v>
      </c>
      <c r="M326" t="s">
        <v>25</v>
      </c>
    </row>
    <row r="327" spans="1:13" hidden="1" x14ac:dyDescent="0.25">
      <c r="A327" s="5">
        <v>45717</v>
      </c>
      <c r="B327" t="s">
        <v>20</v>
      </c>
      <c r="C327" t="s">
        <v>45</v>
      </c>
      <c r="D327" t="s">
        <v>15</v>
      </c>
      <c r="E327" t="str">
        <f t="shared" si="5"/>
        <v>ADM</v>
      </c>
      <c r="F327" t="s">
        <v>23</v>
      </c>
      <c r="G327" t="s">
        <v>23</v>
      </c>
      <c r="J327" t="s">
        <v>17</v>
      </c>
      <c r="K327" s="23">
        <v>2100.63</v>
      </c>
      <c r="L327" t="s">
        <v>18</v>
      </c>
      <c r="M327" t="s">
        <v>19</v>
      </c>
    </row>
    <row r="328" spans="1:13" hidden="1" x14ac:dyDescent="0.25">
      <c r="A328" s="5">
        <v>45717</v>
      </c>
      <c r="B328" t="s">
        <v>20</v>
      </c>
      <c r="C328" t="s">
        <v>384</v>
      </c>
      <c r="D328" t="s">
        <v>28</v>
      </c>
      <c r="E328" t="str">
        <f t="shared" si="5"/>
        <v>ADM</v>
      </c>
      <c r="F328" t="s">
        <v>23</v>
      </c>
      <c r="G328" t="s">
        <v>23</v>
      </c>
      <c r="J328" t="s">
        <v>143</v>
      </c>
      <c r="K328" s="23">
        <v>-54.47</v>
      </c>
      <c r="L328" t="s">
        <v>24</v>
      </c>
      <c r="M328" t="s">
        <v>25</v>
      </c>
    </row>
    <row r="329" spans="1:13" hidden="1" x14ac:dyDescent="0.25">
      <c r="A329" s="5">
        <v>45717</v>
      </c>
      <c r="B329" t="s">
        <v>20</v>
      </c>
      <c r="C329" t="s">
        <v>387</v>
      </c>
      <c r="D329" t="s">
        <v>28</v>
      </c>
      <c r="E329" t="str">
        <f t="shared" si="5"/>
        <v>ADM</v>
      </c>
      <c r="F329" t="s">
        <v>23</v>
      </c>
      <c r="G329" t="s">
        <v>23</v>
      </c>
      <c r="J329" t="s">
        <v>143</v>
      </c>
      <c r="K329" s="23">
        <v>-35.67</v>
      </c>
      <c r="L329" t="s">
        <v>24</v>
      </c>
      <c r="M329" t="s">
        <v>25</v>
      </c>
    </row>
    <row r="330" spans="1:13" hidden="1" x14ac:dyDescent="0.25">
      <c r="A330" s="5">
        <v>45717</v>
      </c>
      <c r="B330" t="s">
        <v>20</v>
      </c>
      <c r="C330" t="s">
        <v>32</v>
      </c>
      <c r="D330" t="s">
        <v>30</v>
      </c>
      <c r="E330" t="str">
        <f t="shared" si="5"/>
        <v>ADM</v>
      </c>
      <c r="F330" t="s">
        <v>23</v>
      </c>
      <c r="G330" t="s">
        <v>23</v>
      </c>
      <c r="J330" t="s">
        <v>17</v>
      </c>
      <c r="K330" s="23">
        <v>-58.9</v>
      </c>
      <c r="L330" t="s">
        <v>24</v>
      </c>
      <c r="M330" t="s">
        <v>25</v>
      </c>
    </row>
    <row r="331" spans="1:13" hidden="1" x14ac:dyDescent="0.25">
      <c r="A331" s="5">
        <v>45721</v>
      </c>
      <c r="B331" t="s">
        <v>54</v>
      </c>
      <c r="C331" t="s">
        <v>395</v>
      </c>
      <c r="D331" t="s">
        <v>56</v>
      </c>
      <c r="E331" t="str">
        <f t="shared" si="5"/>
        <v>Honorários</v>
      </c>
      <c r="F331" t="s">
        <v>396</v>
      </c>
      <c r="G331" t="s">
        <v>396</v>
      </c>
      <c r="J331" t="s">
        <v>143</v>
      </c>
      <c r="K331" s="23">
        <v>300</v>
      </c>
      <c r="L331" t="s">
        <v>18</v>
      </c>
      <c r="M331" t="s">
        <v>19</v>
      </c>
    </row>
    <row r="332" spans="1:13" hidden="1" x14ac:dyDescent="0.25">
      <c r="A332" s="5">
        <v>45721</v>
      </c>
      <c r="B332" t="s">
        <v>50</v>
      </c>
      <c r="C332" t="s">
        <v>61</v>
      </c>
      <c r="D332" t="s">
        <v>62</v>
      </c>
      <c r="E332" t="str">
        <f t="shared" si="5"/>
        <v>INV</v>
      </c>
      <c r="F332" t="s">
        <v>63</v>
      </c>
      <c r="G332" t="s">
        <v>63</v>
      </c>
      <c r="J332" t="s">
        <v>17</v>
      </c>
      <c r="K332" s="23">
        <v>-1750</v>
      </c>
      <c r="L332" t="s">
        <v>24</v>
      </c>
      <c r="M332" t="s">
        <v>25</v>
      </c>
    </row>
    <row r="333" spans="1:13" hidden="1" x14ac:dyDescent="0.25">
      <c r="A333" s="5">
        <v>45721</v>
      </c>
      <c r="B333" t="s">
        <v>50</v>
      </c>
      <c r="C333" t="s">
        <v>388</v>
      </c>
      <c r="D333" t="s">
        <v>96</v>
      </c>
      <c r="E333" t="str">
        <f t="shared" si="5"/>
        <v>ADM</v>
      </c>
      <c r="F333" t="s">
        <v>97</v>
      </c>
      <c r="G333" t="s">
        <v>97</v>
      </c>
      <c r="J333" t="s">
        <v>17</v>
      </c>
      <c r="K333" s="23">
        <v>-1247.17</v>
      </c>
      <c r="L333" t="s">
        <v>24</v>
      </c>
      <c r="M333" t="s">
        <v>25</v>
      </c>
    </row>
    <row r="334" spans="1:13" hidden="1" x14ac:dyDescent="0.25">
      <c r="A334" s="5">
        <v>45721</v>
      </c>
      <c r="B334" t="s">
        <v>50</v>
      </c>
      <c r="C334" t="s">
        <v>51</v>
      </c>
      <c r="D334" t="s">
        <v>52</v>
      </c>
      <c r="E334" t="str">
        <f t="shared" si="5"/>
        <v>ADM</v>
      </c>
      <c r="F334" t="s">
        <v>53</v>
      </c>
      <c r="G334" t="s">
        <v>53</v>
      </c>
      <c r="J334" t="s">
        <v>17</v>
      </c>
      <c r="K334" s="23">
        <v>-1518</v>
      </c>
      <c r="L334" t="s">
        <v>24</v>
      </c>
      <c r="M334" t="s">
        <v>25</v>
      </c>
    </row>
    <row r="335" spans="1:13" hidden="1" x14ac:dyDescent="0.25">
      <c r="A335" s="5">
        <v>45721</v>
      </c>
      <c r="B335" t="s">
        <v>67</v>
      </c>
      <c r="C335" t="s">
        <v>68</v>
      </c>
      <c r="D335" t="s">
        <v>56</v>
      </c>
      <c r="E335" t="str">
        <f t="shared" si="5"/>
        <v>Honorários</v>
      </c>
      <c r="F335" t="s">
        <v>69</v>
      </c>
      <c r="G335" t="s">
        <v>69</v>
      </c>
      <c r="I335" t="s">
        <v>70</v>
      </c>
      <c r="J335" t="s">
        <v>17</v>
      </c>
      <c r="K335" s="23">
        <v>250</v>
      </c>
      <c r="L335" t="s">
        <v>18</v>
      </c>
      <c r="M335" t="s">
        <v>19</v>
      </c>
    </row>
    <row r="336" spans="1:13" hidden="1" x14ac:dyDescent="0.25">
      <c r="A336" s="5">
        <v>45721</v>
      </c>
      <c r="B336" t="s">
        <v>50</v>
      </c>
      <c r="C336" t="s">
        <v>389</v>
      </c>
      <c r="D336" t="s">
        <v>96</v>
      </c>
      <c r="E336" t="str">
        <f t="shared" si="5"/>
        <v>ADM</v>
      </c>
      <c r="F336" t="s">
        <v>97</v>
      </c>
      <c r="G336" t="s">
        <v>97</v>
      </c>
      <c r="J336" t="s">
        <v>17</v>
      </c>
      <c r="K336" s="23">
        <v>-1247.78</v>
      </c>
      <c r="L336" t="s">
        <v>24</v>
      </c>
      <c r="M336" t="s">
        <v>25</v>
      </c>
    </row>
    <row r="337" spans="1:13" hidden="1" x14ac:dyDescent="0.25">
      <c r="A337" s="5">
        <v>45721</v>
      </c>
      <c r="B337" t="s">
        <v>50</v>
      </c>
      <c r="C337" t="s">
        <v>390</v>
      </c>
      <c r="D337" t="s">
        <v>96</v>
      </c>
      <c r="E337" t="str">
        <f t="shared" ref="E337:E400" si="6">IF(OR(D337="Honorários",D337="Despesa do cliente"),D337,LEFT(D337,3))</f>
        <v>ADM</v>
      </c>
      <c r="F337" t="s">
        <v>97</v>
      </c>
      <c r="G337" t="s">
        <v>97</v>
      </c>
      <c r="J337" t="s">
        <v>17</v>
      </c>
      <c r="K337" s="23">
        <v>-49.46</v>
      </c>
      <c r="L337" t="s">
        <v>24</v>
      </c>
      <c r="M337" t="s">
        <v>25</v>
      </c>
    </row>
    <row r="338" spans="1:13" hidden="1" x14ac:dyDescent="0.25">
      <c r="A338" s="5">
        <v>45721</v>
      </c>
      <c r="B338" t="s">
        <v>50</v>
      </c>
      <c r="C338" t="s">
        <v>391</v>
      </c>
      <c r="D338" t="s">
        <v>96</v>
      </c>
      <c r="E338" t="str">
        <f t="shared" si="6"/>
        <v>ADM</v>
      </c>
      <c r="F338" t="s">
        <v>97</v>
      </c>
      <c r="G338" t="s">
        <v>97</v>
      </c>
      <c r="J338" t="s">
        <v>17</v>
      </c>
      <c r="K338" s="23">
        <v>-49.46</v>
      </c>
      <c r="L338" t="s">
        <v>24</v>
      </c>
      <c r="M338" t="s">
        <v>25</v>
      </c>
    </row>
    <row r="339" spans="1:13" hidden="1" x14ac:dyDescent="0.25">
      <c r="A339" s="5">
        <v>45721</v>
      </c>
      <c r="B339" t="s">
        <v>50</v>
      </c>
      <c r="C339" t="s">
        <v>392</v>
      </c>
      <c r="D339" t="s">
        <v>96</v>
      </c>
      <c r="E339" t="str">
        <f t="shared" si="6"/>
        <v>ADM</v>
      </c>
      <c r="F339" t="s">
        <v>97</v>
      </c>
      <c r="G339" t="s">
        <v>97</v>
      </c>
      <c r="J339" t="s">
        <v>17</v>
      </c>
      <c r="K339" s="23">
        <v>-49.46</v>
      </c>
      <c r="L339" t="s">
        <v>24</v>
      </c>
      <c r="M339" t="s">
        <v>25</v>
      </c>
    </row>
    <row r="340" spans="1:13" hidden="1" x14ac:dyDescent="0.25">
      <c r="A340" s="5">
        <v>45721</v>
      </c>
      <c r="B340" t="s">
        <v>50</v>
      </c>
      <c r="C340" t="s">
        <v>393</v>
      </c>
      <c r="D340" t="s">
        <v>96</v>
      </c>
      <c r="E340" t="str">
        <f t="shared" si="6"/>
        <v>ADM</v>
      </c>
      <c r="F340" t="s">
        <v>97</v>
      </c>
      <c r="G340" t="s">
        <v>97</v>
      </c>
      <c r="J340" t="s">
        <v>17</v>
      </c>
      <c r="K340" s="23">
        <v>-49.46</v>
      </c>
      <c r="L340" t="s">
        <v>24</v>
      </c>
      <c r="M340" t="s">
        <v>25</v>
      </c>
    </row>
    <row r="341" spans="1:13" hidden="1" x14ac:dyDescent="0.25">
      <c r="A341" s="5">
        <v>45721</v>
      </c>
      <c r="B341" t="s">
        <v>50</v>
      </c>
      <c r="C341" t="s">
        <v>394</v>
      </c>
      <c r="D341" t="s">
        <v>96</v>
      </c>
      <c r="E341" t="str">
        <f t="shared" si="6"/>
        <v>ADM</v>
      </c>
      <c r="F341" t="s">
        <v>97</v>
      </c>
      <c r="G341" t="s">
        <v>97</v>
      </c>
      <c r="J341" t="s">
        <v>17</v>
      </c>
      <c r="K341" s="23">
        <v>-49.46</v>
      </c>
      <c r="L341" t="s">
        <v>24</v>
      </c>
      <c r="M341" t="s">
        <v>25</v>
      </c>
    </row>
    <row r="342" spans="1:13" hidden="1" x14ac:dyDescent="0.25">
      <c r="A342" s="5">
        <v>45721</v>
      </c>
      <c r="B342" t="s">
        <v>50</v>
      </c>
      <c r="C342" t="s">
        <v>101</v>
      </c>
      <c r="D342" t="s">
        <v>15</v>
      </c>
      <c r="E342" t="str">
        <f t="shared" si="6"/>
        <v>ADM</v>
      </c>
      <c r="F342" t="s">
        <v>23</v>
      </c>
      <c r="G342" t="s">
        <v>23</v>
      </c>
      <c r="J342" t="s">
        <v>17</v>
      </c>
      <c r="K342" s="23">
        <v>-2100.63</v>
      </c>
      <c r="L342" t="s">
        <v>24</v>
      </c>
      <c r="M342" t="s">
        <v>25</v>
      </c>
    </row>
    <row r="343" spans="1:13" hidden="1" x14ac:dyDescent="0.25">
      <c r="A343" s="5">
        <v>45722</v>
      </c>
      <c r="B343" t="s">
        <v>50</v>
      </c>
      <c r="C343" t="s">
        <v>71</v>
      </c>
      <c r="D343" t="s">
        <v>72</v>
      </c>
      <c r="E343" t="str">
        <f t="shared" si="6"/>
        <v>FIN</v>
      </c>
      <c r="F343" t="s">
        <v>23</v>
      </c>
      <c r="G343" t="s">
        <v>23</v>
      </c>
      <c r="J343" t="s">
        <v>17</v>
      </c>
      <c r="K343" s="23">
        <v>-79.5</v>
      </c>
      <c r="L343" t="s">
        <v>24</v>
      </c>
      <c r="M343" t="s">
        <v>25</v>
      </c>
    </row>
    <row r="344" spans="1:13" hidden="1" x14ac:dyDescent="0.25">
      <c r="A344" s="5">
        <v>45722</v>
      </c>
      <c r="B344" t="s">
        <v>54</v>
      </c>
      <c r="C344" t="s">
        <v>118</v>
      </c>
      <c r="D344" t="s">
        <v>113</v>
      </c>
      <c r="E344" t="str">
        <f t="shared" si="6"/>
        <v>ADM</v>
      </c>
      <c r="F344" t="s">
        <v>114</v>
      </c>
      <c r="G344" t="s">
        <v>114</v>
      </c>
      <c r="J344" t="s">
        <v>17</v>
      </c>
      <c r="K344" s="23">
        <v>-130.37</v>
      </c>
      <c r="L344" t="s">
        <v>24</v>
      </c>
      <c r="M344" t="s">
        <v>25</v>
      </c>
    </row>
    <row r="345" spans="1:13" hidden="1" x14ac:dyDescent="0.25">
      <c r="A345" s="5">
        <v>45722</v>
      </c>
      <c r="B345" t="s">
        <v>50</v>
      </c>
      <c r="C345" t="s">
        <v>401</v>
      </c>
      <c r="D345" t="s">
        <v>103</v>
      </c>
      <c r="E345" t="str">
        <f t="shared" si="6"/>
        <v>ADM</v>
      </c>
      <c r="F345" t="s">
        <v>104</v>
      </c>
      <c r="G345" t="s">
        <v>104</v>
      </c>
      <c r="J345" t="s">
        <v>143</v>
      </c>
      <c r="K345" s="23">
        <v>-160</v>
      </c>
      <c r="L345" t="s">
        <v>24</v>
      </c>
      <c r="M345" t="s">
        <v>25</v>
      </c>
    </row>
    <row r="346" spans="1:13" hidden="1" x14ac:dyDescent="0.25">
      <c r="A346" s="5">
        <v>45723</v>
      </c>
      <c r="B346" t="s">
        <v>54</v>
      </c>
      <c r="C346" t="s">
        <v>409</v>
      </c>
      <c r="D346" t="s">
        <v>56</v>
      </c>
      <c r="E346" t="str">
        <f t="shared" si="6"/>
        <v>Honorários</v>
      </c>
      <c r="F346" t="s">
        <v>365</v>
      </c>
      <c r="G346" t="s">
        <v>365</v>
      </c>
      <c r="J346" t="s">
        <v>143</v>
      </c>
      <c r="K346" s="23">
        <v>200</v>
      </c>
      <c r="L346" t="s">
        <v>18</v>
      </c>
      <c r="M346" t="s">
        <v>83</v>
      </c>
    </row>
    <row r="347" spans="1:13" hidden="1" x14ac:dyDescent="0.25">
      <c r="A347" s="5">
        <v>45723</v>
      </c>
      <c r="B347" t="s">
        <v>54</v>
      </c>
      <c r="C347" t="s">
        <v>298</v>
      </c>
      <c r="D347" t="s">
        <v>56</v>
      </c>
      <c r="E347" t="str">
        <f t="shared" si="6"/>
        <v>Honorários</v>
      </c>
      <c r="F347" t="s">
        <v>135</v>
      </c>
      <c r="G347" t="s">
        <v>135</v>
      </c>
      <c r="I347" t="s">
        <v>136</v>
      </c>
      <c r="J347" t="s">
        <v>143</v>
      </c>
      <c r="K347" s="23">
        <v>303.60000000000002</v>
      </c>
      <c r="L347" t="s">
        <v>18</v>
      </c>
      <c r="M347" t="s">
        <v>19</v>
      </c>
    </row>
    <row r="348" spans="1:13" hidden="1" x14ac:dyDescent="0.25">
      <c r="A348" s="5">
        <v>45723</v>
      </c>
      <c r="B348" t="s">
        <v>54</v>
      </c>
      <c r="C348" t="s">
        <v>434</v>
      </c>
      <c r="D348" t="s">
        <v>215</v>
      </c>
      <c r="E348" t="str">
        <f t="shared" si="6"/>
        <v>COM</v>
      </c>
      <c r="F348" t="s">
        <v>325</v>
      </c>
      <c r="G348" t="s">
        <v>325</v>
      </c>
      <c r="J348" t="s">
        <v>17</v>
      </c>
      <c r="K348" s="23">
        <v>-329.4</v>
      </c>
      <c r="L348" t="s">
        <v>24</v>
      </c>
      <c r="M348" t="s">
        <v>25</v>
      </c>
    </row>
    <row r="349" spans="1:13" hidden="1" x14ac:dyDescent="0.25">
      <c r="A349" s="5">
        <v>45723</v>
      </c>
      <c r="B349" t="s">
        <v>50</v>
      </c>
      <c r="C349" t="s">
        <v>91</v>
      </c>
      <c r="D349" t="s">
        <v>56</v>
      </c>
      <c r="E349" t="str">
        <f t="shared" si="6"/>
        <v>Honorários</v>
      </c>
      <c r="F349" t="s">
        <v>92</v>
      </c>
      <c r="G349" t="s">
        <v>92</v>
      </c>
      <c r="I349" t="s">
        <v>93</v>
      </c>
      <c r="J349" t="s">
        <v>17</v>
      </c>
      <c r="K349" s="23">
        <v>500</v>
      </c>
      <c r="L349" t="s">
        <v>18</v>
      </c>
      <c r="M349" t="s">
        <v>19</v>
      </c>
    </row>
    <row r="350" spans="1:13" hidden="1" x14ac:dyDescent="0.25">
      <c r="A350" s="5">
        <v>45723</v>
      </c>
      <c r="B350" t="s">
        <v>54</v>
      </c>
      <c r="C350" t="s">
        <v>410</v>
      </c>
      <c r="D350" t="s">
        <v>99</v>
      </c>
      <c r="E350" t="str">
        <f t="shared" si="6"/>
        <v>ADM</v>
      </c>
      <c r="F350" t="s">
        <v>100</v>
      </c>
      <c r="G350" t="s">
        <v>100</v>
      </c>
      <c r="J350" t="s">
        <v>143</v>
      </c>
      <c r="K350" s="23">
        <v>-170</v>
      </c>
      <c r="L350" t="s">
        <v>24</v>
      </c>
      <c r="M350" t="s">
        <v>25</v>
      </c>
    </row>
    <row r="351" spans="1:13" hidden="1" x14ac:dyDescent="0.25">
      <c r="A351" s="5">
        <v>45726</v>
      </c>
      <c r="B351" t="s">
        <v>54</v>
      </c>
      <c r="C351" t="s">
        <v>119</v>
      </c>
      <c r="D351" t="s">
        <v>72</v>
      </c>
      <c r="E351" t="str">
        <f t="shared" si="6"/>
        <v>FIN</v>
      </c>
      <c r="F351" t="s">
        <v>120</v>
      </c>
      <c r="G351" t="s">
        <v>120</v>
      </c>
      <c r="J351" t="s">
        <v>17</v>
      </c>
      <c r="K351" s="23">
        <v>-15</v>
      </c>
      <c r="L351" t="s">
        <v>24</v>
      </c>
      <c r="M351" t="s">
        <v>25</v>
      </c>
    </row>
    <row r="352" spans="1:13" hidden="1" x14ac:dyDescent="0.25">
      <c r="A352" s="5">
        <v>45726</v>
      </c>
      <c r="B352" t="s">
        <v>54</v>
      </c>
      <c r="C352" t="s">
        <v>411</v>
      </c>
      <c r="D352" t="s">
        <v>56</v>
      </c>
      <c r="E352" t="str">
        <f t="shared" si="6"/>
        <v>Honorários</v>
      </c>
      <c r="F352" t="s">
        <v>412</v>
      </c>
      <c r="G352" t="s">
        <v>412</v>
      </c>
      <c r="I352" t="s">
        <v>196</v>
      </c>
      <c r="J352" t="s">
        <v>143</v>
      </c>
      <c r="K352" s="23">
        <v>300</v>
      </c>
      <c r="L352" t="s">
        <v>18</v>
      </c>
      <c r="M352" t="s">
        <v>19</v>
      </c>
    </row>
    <row r="353" spans="1:13" hidden="1" x14ac:dyDescent="0.25">
      <c r="A353" s="5">
        <v>45726</v>
      </c>
      <c r="B353" t="s">
        <v>54</v>
      </c>
      <c r="C353" t="s">
        <v>435</v>
      </c>
      <c r="D353" t="s">
        <v>56</v>
      </c>
      <c r="E353" t="str">
        <f t="shared" si="6"/>
        <v>Honorários</v>
      </c>
      <c r="F353" t="s">
        <v>436</v>
      </c>
      <c r="G353" t="s">
        <v>436</v>
      </c>
      <c r="J353" t="s">
        <v>143</v>
      </c>
      <c r="K353" s="23">
        <v>500</v>
      </c>
      <c r="L353" t="s">
        <v>18</v>
      </c>
      <c r="M353" t="s">
        <v>19</v>
      </c>
    </row>
    <row r="354" spans="1:13" hidden="1" x14ac:dyDescent="0.25">
      <c r="A354" s="5">
        <v>45726</v>
      </c>
      <c r="B354" t="s">
        <v>50</v>
      </c>
      <c r="C354" t="s">
        <v>437</v>
      </c>
      <c r="D354" t="s">
        <v>113</v>
      </c>
      <c r="E354" t="str">
        <f t="shared" si="6"/>
        <v>ADM</v>
      </c>
      <c r="F354" t="s">
        <v>438</v>
      </c>
      <c r="G354" t="s">
        <v>438</v>
      </c>
      <c r="J354" t="s">
        <v>17</v>
      </c>
      <c r="K354" s="23">
        <v>-251.58</v>
      </c>
      <c r="L354" t="s">
        <v>24</v>
      </c>
      <c r="M354" t="s">
        <v>25</v>
      </c>
    </row>
    <row r="355" spans="1:13" hidden="1" x14ac:dyDescent="0.25">
      <c r="A355" s="5">
        <v>45726</v>
      </c>
      <c r="B355" t="s">
        <v>50</v>
      </c>
      <c r="C355" t="s">
        <v>127</v>
      </c>
      <c r="D355" t="s">
        <v>128</v>
      </c>
      <c r="E355" t="str">
        <f t="shared" si="6"/>
        <v>PES</v>
      </c>
      <c r="F355" t="s">
        <v>129</v>
      </c>
      <c r="G355" t="s">
        <v>129</v>
      </c>
      <c r="J355" t="s">
        <v>17</v>
      </c>
      <c r="K355" s="23">
        <v>-106.73</v>
      </c>
      <c r="L355" t="s">
        <v>24</v>
      </c>
      <c r="M355" t="s">
        <v>25</v>
      </c>
    </row>
    <row r="356" spans="1:13" hidden="1" x14ac:dyDescent="0.25">
      <c r="A356" s="5">
        <v>45726</v>
      </c>
      <c r="B356" t="s">
        <v>50</v>
      </c>
      <c r="C356" t="s">
        <v>439</v>
      </c>
      <c r="D356" t="s">
        <v>113</v>
      </c>
      <c r="E356" t="str">
        <f t="shared" si="6"/>
        <v>ADM</v>
      </c>
      <c r="F356" t="s">
        <v>438</v>
      </c>
      <c r="G356" t="s">
        <v>438</v>
      </c>
      <c r="J356" t="s">
        <v>17</v>
      </c>
      <c r="K356" s="23">
        <v>-119.99</v>
      </c>
      <c r="L356" t="s">
        <v>24</v>
      </c>
      <c r="M356" t="s">
        <v>25</v>
      </c>
    </row>
    <row r="357" spans="1:13" hidden="1" x14ac:dyDescent="0.25">
      <c r="A357" s="5">
        <v>45727</v>
      </c>
      <c r="B357" t="s">
        <v>54</v>
      </c>
      <c r="C357" t="s">
        <v>440</v>
      </c>
      <c r="D357" t="s">
        <v>56</v>
      </c>
      <c r="E357" t="str">
        <f t="shared" si="6"/>
        <v>Honorários</v>
      </c>
      <c r="F357" t="s">
        <v>441</v>
      </c>
      <c r="G357" t="s">
        <v>441</v>
      </c>
      <c r="I357" t="s">
        <v>82</v>
      </c>
      <c r="J357" t="s">
        <v>143</v>
      </c>
      <c r="K357" s="23">
        <v>33893.51</v>
      </c>
      <c r="L357" t="s">
        <v>18</v>
      </c>
      <c r="M357" t="s">
        <v>19</v>
      </c>
    </row>
    <row r="358" spans="1:13" hidden="1" x14ac:dyDescent="0.25">
      <c r="A358" s="5">
        <v>45727</v>
      </c>
      <c r="B358" t="s">
        <v>54</v>
      </c>
      <c r="C358" t="s">
        <v>442</v>
      </c>
      <c r="D358" t="s">
        <v>56</v>
      </c>
      <c r="E358" t="str">
        <f t="shared" si="6"/>
        <v>Honorários</v>
      </c>
      <c r="F358" t="s">
        <v>402</v>
      </c>
      <c r="G358" t="s">
        <v>402</v>
      </c>
      <c r="I358" t="s">
        <v>82</v>
      </c>
      <c r="J358" t="s">
        <v>17</v>
      </c>
      <c r="K358" s="23">
        <v>2600</v>
      </c>
      <c r="L358" t="s">
        <v>18</v>
      </c>
      <c r="M358" t="s">
        <v>19</v>
      </c>
    </row>
    <row r="359" spans="1:13" hidden="1" x14ac:dyDescent="0.25">
      <c r="A359" s="5">
        <v>45728</v>
      </c>
      <c r="B359" t="s">
        <v>54</v>
      </c>
      <c r="C359" t="s">
        <v>443</v>
      </c>
      <c r="D359" t="s">
        <v>56</v>
      </c>
      <c r="E359" t="str">
        <f t="shared" si="6"/>
        <v>Honorários</v>
      </c>
      <c r="F359" t="s">
        <v>413</v>
      </c>
      <c r="G359" t="s">
        <v>413</v>
      </c>
      <c r="I359" t="s">
        <v>93</v>
      </c>
      <c r="J359" t="s">
        <v>143</v>
      </c>
      <c r="K359" s="23">
        <v>3750</v>
      </c>
      <c r="L359" t="s">
        <v>18</v>
      </c>
      <c r="M359" t="s">
        <v>19</v>
      </c>
    </row>
    <row r="360" spans="1:13" hidden="1" x14ac:dyDescent="0.25">
      <c r="A360" s="5">
        <v>45728</v>
      </c>
      <c r="B360" t="s">
        <v>54</v>
      </c>
      <c r="C360" t="s">
        <v>444</v>
      </c>
      <c r="D360" t="s">
        <v>611</v>
      </c>
      <c r="E360" t="str">
        <f t="shared" si="6"/>
        <v>COM</v>
      </c>
      <c r="F360" t="s">
        <v>327</v>
      </c>
      <c r="G360" t="s">
        <v>327</v>
      </c>
      <c r="J360" t="s">
        <v>143</v>
      </c>
      <c r="K360" s="23">
        <v>-25</v>
      </c>
      <c r="L360" t="s">
        <v>24</v>
      </c>
      <c r="M360" t="s">
        <v>25</v>
      </c>
    </row>
    <row r="361" spans="1:13" hidden="1" x14ac:dyDescent="0.25">
      <c r="A361" s="5">
        <v>45729</v>
      </c>
      <c r="B361" t="s">
        <v>54</v>
      </c>
      <c r="C361" t="s">
        <v>445</v>
      </c>
      <c r="D361" t="s">
        <v>300</v>
      </c>
      <c r="E361" t="str">
        <f t="shared" si="6"/>
        <v>VAR</v>
      </c>
      <c r="F361" t="s">
        <v>413</v>
      </c>
      <c r="G361" t="s">
        <v>413</v>
      </c>
      <c r="I361" t="s">
        <v>93</v>
      </c>
      <c r="J361" t="s">
        <v>143</v>
      </c>
      <c r="K361" s="23">
        <v>-375</v>
      </c>
      <c r="L361" t="s">
        <v>24</v>
      </c>
      <c r="M361" t="s">
        <v>25</v>
      </c>
    </row>
    <row r="362" spans="1:13" hidden="1" x14ac:dyDescent="0.25">
      <c r="A362" s="5">
        <v>45729</v>
      </c>
      <c r="B362" t="s">
        <v>54</v>
      </c>
      <c r="C362" t="s">
        <v>446</v>
      </c>
      <c r="D362" t="s">
        <v>300</v>
      </c>
      <c r="E362" t="str">
        <f t="shared" si="6"/>
        <v>VAR</v>
      </c>
      <c r="F362" t="s">
        <v>441</v>
      </c>
      <c r="G362" t="s">
        <v>441</v>
      </c>
      <c r="I362" t="s">
        <v>82</v>
      </c>
      <c r="J362" t="s">
        <v>143</v>
      </c>
      <c r="K362" s="23">
        <v>-23725.45</v>
      </c>
      <c r="L362" t="s">
        <v>24</v>
      </c>
      <c r="M362" t="s">
        <v>25</v>
      </c>
    </row>
    <row r="363" spans="1:13" hidden="1" x14ac:dyDescent="0.25">
      <c r="A363" s="5">
        <v>45729</v>
      </c>
      <c r="B363" t="s">
        <v>54</v>
      </c>
      <c r="C363" t="s">
        <v>447</v>
      </c>
      <c r="D363" t="s">
        <v>448</v>
      </c>
      <c r="E363" t="str">
        <f t="shared" si="6"/>
        <v>COM</v>
      </c>
      <c r="F363" t="s">
        <v>208</v>
      </c>
      <c r="G363" t="s">
        <v>208</v>
      </c>
      <c r="J363" t="s">
        <v>17</v>
      </c>
      <c r="K363" s="23">
        <v>-20</v>
      </c>
      <c r="L363" t="s">
        <v>24</v>
      </c>
      <c r="M363" t="s">
        <v>25</v>
      </c>
    </row>
    <row r="364" spans="1:13" hidden="1" x14ac:dyDescent="0.25">
      <c r="A364" s="5">
        <v>45729</v>
      </c>
      <c r="B364" t="s">
        <v>54</v>
      </c>
      <c r="C364" t="s">
        <v>449</v>
      </c>
      <c r="D364" t="s">
        <v>300</v>
      </c>
      <c r="E364" t="str">
        <f t="shared" si="6"/>
        <v>VAR</v>
      </c>
      <c r="F364" t="s">
        <v>413</v>
      </c>
      <c r="G364" t="s">
        <v>413</v>
      </c>
      <c r="I364" t="s">
        <v>93</v>
      </c>
      <c r="J364" t="s">
        <v>143</v>
      </c>
      <c r="K364" s="23">
        <v>-750</v>
      </c>
      <c r="L364" t="s">
        <v>24</v>
      </c>
      <c r="M364" t="s">
        <v>25</v>
      </c>
    </row>
    <row r="365" spans="1:13" hidden="1" x14ac:dyDescent="0.25">
      <c r="A365" s="5">
        <v>45729</v>
      </c>
      <c r="B365" t="s">
        <v>54</v>
      </c>
      <c r="C365" t="s">
        <v>450</v>
      </c>
      <c r="D365" t="s">
        <v>77</v>
      </c>
      <c r="E365" t="str">
        <f t="shared" si="6"/>
        <v>Despesa do cliente</v>
      </c>
      <c r="F365" t="s">
        <v>60</v>
      </c>
      <c r="G365" t="s">
        <v>60</v>
      </c>
      <c r="J365" t="s">
        <v>143</v>
      </c>
      <c r="K365" s="23">
        <v>-21.73</v>
      </c>
      <c r="L365" t="s">
        <v>18</v>
      </c>
      <c r="M365" t="s">
        <v>19</v>
      </c>
    </row>
    <row r="366" spans="1:13" hidden="1" x14ac:dyDescent="0.25">
      <c r="A366" s="5">
        <v>45729</v>
      </c>
      <c r="B366" t="s">
        <v>54</v>
      </c>
      <c r="C366" t="s">
        <v>451</v>
      </c>
      <c r="D366" t="s">
        <v>56</v>
      </c>
      <c r="E366" t="str">
        <f t="shared" si="6"/>
        <v>Honorários</v>
      </c>
      <c r="F366" t="s">
        <v>403</v>
      </c>
      <c r="G366" t="s">
        <v>403</v>
      </c>
      <c r="I366" t="s">
        <v>404</v>
      </c>
      <c r="J366" t="s">
        <v>143</v>
      </c>
      <c r="K366" s="23">
        <v>1290.95</v>
      </c>
      <c r="L366" t="s">
        <v>18</v>
      </c>
      <c r="M366" t="s">
        <v>19</v>
      </c>
    </row>
    <row r="367" spans="1:13" hidden="1" x14ac:dyDescent="0.25">
      <c r="A367" s="5">
        <v>45730</v>
      </c>
      <c r="B367" t="s">
        <v>54</v>
      </c>
      <c r="C367" t="s">
        <v>410</v>
      </c>
      <c r="D367" t="s">
        <v>99</v>
      </c>
      <c r="E367" t="str">
        <f t="shared" si="6"/>
        <v>ADM</v>
      </c>
      <c r="F367" t="s">
        <v>100</v>
      </c>
      <c r="G367" t="s">
        <v>100</v>
      </c>
      <c r="J367" t="s">
        <v>143</v>
      </c>
      <c r="K367" s="23">
        <v>-340</v>
      </c>
      <c r="L367" t="s">
        <v>24</v>
      </c>
      <c r="M367" t="s">
        <v>25</v>
      </c>
    </row>
    <row r="368" spans="1:13" hidden="1" x14ac:dyDescent="0.25">
      <c r="A368" s="5">
        <v>45733</v>
      </c>
      <c r="B368" t="s">
        <v>54</v>
      </c>
      <c r="C368" t="s">
        <v>415</v>
      </c>
      <c r="D368" t="s">
        <v>56</v>
      </c>
      <c r="E368" t="str">
        <f t="shared" si="6"/>
        <v>Honorários</v>
      </c>
      <c r="F368" t="s">
        <v>416</v>
      </c>
      <c r="G368" t="s">
        <v>416</v>
      </c>
      <c r="I368" t="s">
        <v>417</v>
      </c>
      <c r="J368" t="s">
        <v>17</v>
      </c>
      <c r="K368" s="23">
        <v>600</v>
      </c>
      <c r="L368" t="s">
        <v>18</v>
      </c>
      <c r="M368" t="s">
        <v>19</v>
      </c>
    </row>
    <row r="369" spans="1:13" hidden="1" x14ac:dyDescent="0.25">
      <c r="A369" s="5">
        <v>45733</v>
      </c>
      <c r="B369" t="s">
        <v>50</v>
      </c>
      <c r="C369" t="s">
        <v>452</v>
      </c>
      <c r="D369" t="s">
        <v>30</v>
      </c>
      <c r="E369" t="str">
        <f t="shared" si="6"/>
        <v>ADM</v>
      </c>
      <c r="F369" t="s">
        <v>147</v>
      </c>
      <c r="G369" t="s">
        <v>147</v>
      </c>
      <c r="J369" t="s">
        <v>17</v>
      </c>
      <c r="K369" s="23">
        <v>-507.3</v>
      </c>
      <c r="L369" t="s">
        <v>24</v>
      </c>
      <c r="M369" t="s">
        <v>25</v>
      </c>
    </row>
    <row r="370" spans="1:13" hidden="1" x14ac:dyDescent="0.25">
      <c r="A370" s="5">
        <v>45733</v>
      </c>
      <c r="B370" t="s">
        <v>54</v>
      </c>
      <c r="C370" t="s">
        <v>13</v>
      </c>
      <c r="D370" t="s">
        <v>15</v>
      </c>
      <c r="E370" t="str">
        <f t="shared" si="6"/>
        <v>ADM</v>
      </c>
      <c r="F370" t="s">
        <v>16</v>
      </c>
      <c r="G370" t="s">
        <v>16</v>
      </c>
      <c r="J370" t="s">
        <v>17</v>
      </c>
      <c r="K370" s="23">
        <v>-1012.15</v>
      </c>
      <c r="L370" t="s">
        <v>24</v>
      </c>
      <c r="M370" t="s">
        <v>25</v>
      </c>
    </row>
    <row r="371" spans="1:13" hidden="1" x14ac:dyDescent="0.25">
      <c r="A371" s="5">
        <v>45734</v>
      </c>
      <c r="B371" t="s">
        <v>54</v>
      </c>
      <c r="C371" t="s">
        <v>453</v>
      </c>
      <c r="D371" t="s">
        <v>56</v>
      </c>
      <c r="E371" t="str">
        <f t="shared" si="6"/>
        <v>Honorários</v>
      </c>
      <c r="F371" t="s">
        <v>400</v>
      </c>
      <c r="G371" t="s">
        <v>400</v>
      </c>
      <c r="I371" t="s">
        <v>335</v>
      </c>
      <c r="J371" t="s">
        <v>17</v>
      </c>
      <c r="K371" s="23">
        <v>1362.3</v>
      </c>
      <c r="L371" t="s">
        <v>18</v>
      </c>
      <c r="M371" t="s">
        <v>19</v>
      </c>
    </row>
    <row r="372" spans="1:13" hidden="1" x14ac:dyDescent="0.25">
      <c r="A372" s="5">
        <v>45734</v>
      </c>
      <c r="B372" t="s">
        <v>54</v>
      </c>
      <c r="C372" t="s">
        <v>454</v>
      </c>
      <c r="D372" t="s">
        <v>103</v>
      </c>
      <c r="E372" t="str">
        <f t="shared" si="6"/>
        <v>ADM</v>
      </c>
      <c r="F372" t="s">
        <v>455</v>
      </c>
      <c r="G372" t="s">
        <v>455</v>
      </c>
      <c r="J372" t="s">
        <v>17</v>
      </c>
      <c r="K372" s="23">
        <v>-337</v>
      </c>
      <c r="L372" t="s">
        <v>24</v>
      </c>
      <c r="M372" t="s">
        <v>25</v>
      </c>
    </row>
    <row r="373" spans="1:13" hidden="1" x14ac:dyDescent="0.25">
      <c r="A373" s="5">
        <v>45734</v>
      </c>
      <c r="B373" t="s">
        <v>54</v>
      </c>
      <c r="C373" t="s">
        <v>456</v>
      </c>
      <c r="D373" t="s">
        <v>56</v>
      </c>
      <c r="E373" t="str">
        <f t="shared" si="6"/>
        <v>Honorários</v>
      </c>
      <c r="F373" t="s">
        <v>414</v>
      </c>
      <c r="G373" t="s">
        <v>414</v>
      </c>
      <c r="I373" t="s">
        <v>75</v>
      </c>
      <c r="J373" t="s">
        <v>17</v>
      </c>
      <c r="K373" s="23">
        <v>462.99</v>
      </c>
      <c r="L373" t="s">
        <v>18</v>
      </c>
      <c r="M373" t="s">
        <v>19</v>
      </c>
    </row>
    <row r="374" spans="1:13" hidden="1" x14ac:dyDescent="0.25">
      <c r="A374" s="5">
        <v>45734</v>
      </c>
      <c r="B374" t="s">
        <v>54</v>
      </c>
      <c r="C374" t="s">
        <v>457</v>
      </c>
      <c r="D374" t="s">
        <v>56</v>
      </c>
      <c r="E374" t="str">
        <f t="shared" si="6"/>
        <v>Honorários</v>
      </c>
      <c r="F374" t="s">
        <v>458</v>
      </c>
      <c r="G374" t="s">
        <v>458</v>
      </c>
      <c r="I374" t="s">
        <v>75</v>
      </c>
      <c r="J374" t="s">
        <v>143</v>
      </c>
      <c r="K374" s="23">
        <v>1362.3</v>
      </c>
      <c r="L374" t="s">
        <v>18</v>
      </c>
      <c r="M374" t="s">
        <v>19</v>
      </c>
    </row>
    <row r="375" spans="1:13" hidden="1" x14ac:dyDescent="0.25">
      <c r="A375" s="5">
        <v>45735</v>
      </c>
      <c r="B375" t="s">
        <v>54</v>
      </c>
      <c r="C375" t="s">
        <v>459</v>
      </c>
      <c r="D375" t="s">
        <v>103</v>
      </c>
      <c r="E375" t="str">
        <f t="shared" si="6"/>
        <v>ADM</v>
      </c>
      <c r="F375" t="s">
        <v>369</v>
      </c>
      <c r="G375" t="s">
        <v>369</v>
      </c>
      <c r="J375" t="s">
        <v>17</v>
      </c>
      <c r="K375" s="23">
        <v>-40</v>
      </c>
      <c r="L375" t="s">
        <v>24</v>
      </c>
      <c r="M375" t="s">
        <v>25</v>
      </c>
    </row>
    <row r="376" spans="1:13" hidden="1" x14ac:dyDescent="0.25">
      <c r="A376" s="5">
        <v>45735</v>
      </c>
      <c r="B376" t="s">
        <v>54</v>
      </c>
      <c r="C376" t="s">
        <v>456</v>
      </c>
      <c r="D376" t="s">
        <v>56</v>
      </c>
      <c r="E376" t="str">
        <f t="shared" si="6"/>
        <v>Honorários</v>
      </c>
      <c r="F376" t="s">
        <v>460</v>
      </c>
      <c r="G376" t="s">
        <v>460</v>
      </c>
      <c r="I376" t="s">
        <v>75</v>
      </c>
      <c r="J376" t="s">
        <v>17</v>
      </c>
      <c r="K376" s="23">
        <v>934.08</v>
      </c>
      <c r="L376" t="s">
        <v>18</v>
      </c>
      <c r="M376" t="s">
        <v>19</v>
      </c>
    </row>
    <row r="377" spans="1:13" hidden="1" x14ac:dyDescent="0.25">
      <c r="A377" s="5">
        <v>45735</v>
      </c>
      <c r="B377" t="s">
        <v>54</v>
      </c>
      <c r="C377" t="s">
        <v>461</v>
      </c>
      <c r="D377" t="s">
        <v>103</v>
      </c>
      <c r="E377" t="str">
        <f t="shared" si="6"/>
        <v>ADM</v>
      </c>
      <c r="F377" t="s">
        <v>462</v>
      </c>
      <c r="G377" t="s">
        <v>462</v>
      </c>
      <c r="J377" t="s">
        <v>17</v>
      </c>
      <c r="K377" s="23">
        <v>-40</v>
      </c>
      <c r="L377" t="s">
        <v>24</v>
      </c>
      <c r="M377" t="s">
        <v>25</v>
      </c>
    </row>
    <row r="378" spans="1:13" hidden="1" x14ac:dyDescent="0.25">
      <c r="A378" s="5">
        <v>45736</v>
      </c>
      <c r="B378" t="s">
        <v>67</v>
      </c>
      <c r="C378" t="s">
        <v>110</v>
      </c>
      <c r="D378" t="s">
        <v>56</v>
      </c>
      <c r="E378" t="str">
        <f t="shared" si="6"/>
        <v>Honorários</v>
      </c>
      <c r="F378" t="s">
        <v>111</v>
      </c>
      <c r="G378" t="s">
        <v>111</v>
      </c>
      <c r="J378" t="s">
        <v>17</v>
      </c>
      <c r="K378" s="23">
        <v>354</v>
      </c>
      <c r="L378" t="s">
        <v>18</v>
      </c>
      <c r="M378" t="s">
        <v>83</v>
      </c>
    </row>
    <row r="379" spans="1:13" hidden="1" x14ac:dyDescent="0.25">
      <c r="A379" s="5">
        <v>45736</v>
      </c>
      <c r="B379" t="s">
        <v>50</v>
      </c>
      <c r="C379" t="s">
        <v>355</v>
      </c>
      <c r="D379" t="s">
        <v>302</v>
      </c>
      <c r="E379" t="str">
        <f t="shared" si="6"/>
        <v>ADM</v>
      </c>
      <c r="F379" t="s">
        <v>303</v>
      </c>
      <c r="G379" t="s">
        <v>303</v>
      </c>
      <c r="J379" t="s">
        <v>143</v>
      </c>
      <c r="K379" s="23">
        <v>-42.74</v>
      </c>
      <c r="L379" t="s">
        <v>24</v>
      </c>
      <c r="M379" t="s">
        <v>25</v>
      </c>
    </row>
    <row r="380" spans="1:13" hidden="1" x14ac:dyDescent="0.25">
      <c r="A380" s="5">
        <v>45736</v>
      </c>
      <c r="B380" t="s">
        <v>50</v>
      </c>
      <c r="C380" t="s">
        <v>158</v>
      </c>
      <c r="D380" t="s">
        <v>159</v>
      </c>
      <c r="E380" t="str">
        <f t="shared" si="6"/>
        <v>PES</v>
      </c>
      <c r="F380" t="s">
        <v>160</v>
      </c>
      <c r="G380" t="s">
        <v>160</v>
      </c>
      <c r="J380" t="s">
        <v>17</v>
      </c>
      <c r="K380" s="23">
        <v>-285.23</v>
      </c>
      <c r="L380" t="s">
        <v>24</v>
      </c>
      <c r="M380" t="s">
        <v>25</v>
      </c>
    </row>
    <row r="381" spans="1:13" hidden="1" x14ac:dyDescent="0.25">
      <c r="A381" s="5">
        <v>45736</v>
      </c>
      <c r="B381" t="s">
        <v>50</v>
      </c>
      <c r="C381" t="s">
        <v>354</v>
      </c>
      <c r="D381" t="s">
        <v>302</v>
      </c>
      <c r="E381" t="str">
        <f t="shared" si="6"/>
        <v>ADM</v>
      </c>
      <c r="F381" t="s">
        <v>303</v>
      </c>
      <c r="G381" t="s">
        <v>303</v>
      </c>
      <c r="J381" t="s">
        <v>143</v>
      </c>
      <c r="K381" s="23">
        <v>-42.74</v>
      </c>
      <c r="L381" t="s">
        <v>24</v>
      </c>
      <c r="M381" t="s">
        <v>25</v>
      </c>
    </row>
    <row r="382" spans="1:13" hidden="1" x14ac:dyDescent="0.25">
      <c r="A382" s="5">
        <v>45736</v>
      </c>
      <c r="B382" t="s">
        <v>50</v>
      </c>
      <c r="C382" t="s">
        <v>350</v>
      </c>
      <c r="D382" t="s">
        <v>302</v>
      </c>
      <c r="E382" t="str">
        <f t="shared" si="6"/>
        <v>ADM</v>
      </c>
      <c r="F382" t="s">
        <v>303</v>
      </c>
      <c r="G382" t="s">
        <v>303</v>
      </c>
      <c r="H382" t="s">
        <v>285</v>
      </c>
      <c r="J382" t="s">
        <v>143</v>
      </c>
      <c r="K382" s="23">
        <v>-42.74</v>
      </c>
      <c r="L382" t="s">
        <v>24</v>
      </c>
      <c r="M382" t="s">
        <v>25</v>
      </c>
    </row>
    <row r="383" spans="1:13" hidden="1" x14ac:dyDescent="0.25">
      <c r="A383" s="5">
        <v>45736</v>
      </c>
      <c r="B383" t="s">
        <v>50</v>
      </c>
      <c r="C383" t="s">
        <v>153</v>
      </c>
      <c r="D383" t="s">
        <v>154</v>
      </c>
      <c r="E383" t="str">
        <f t="shared" si="6"/>
        <v>ADM</v>
      </c>
      <c r="F383" t="s">
        <v>155</v>
      </c>
      <c r="G383" t="s">
        <v>155</v>
      </c>
      <c r="J383" t="s">
        <v>17</v>
      </c>
      <c r="K383" s="23">
        <v>-106.3</v>
      </c>
      <c r="L383" t="s">
        <v>24</v>
      </c>
      <c r="M383" t="s">
        <v>25</v>
      </c>
    </row>
    <row r="384" spans="1:13" hidden="1" x14ac:dyDescent="0.25">
      <c r="A384" s="5">
        <v>45736</v>
      </c>
      <c r="B384" t="s">
        <v>50</v>
      </c>
      <c r="C384" t="s">
        <v>165</v>
      </c>
      <c r="D384" t="s">
        <v>166</v>
      </c>
      <c r="E384" t="str">
        <f t="shared" si="6"/>
        <v>PES</v>
      </c>
      <c r="F384" t="s">
        <v>167</v>
      </c>
      <c r="G384" t="s">
        <v>167</v>
      </c>
      <c r="J384" t="s">
        <v>17</v>
      </c>
      <c r="K384" s="23">
        <v>-2041.63</v>
      </c>
      <c r="L384" t="s">
        <v>24</v>
      </c>
      <c r="M384" t="s">
        <v>25</v>
      </c>
    </row>
    <row r="385" spans="1:13" hidden="1" x14ac:dyDescent="0.25">
      <c r="A385" s="5">
        <v>45736</v>
      </c>
      <c r="B385" t="s">
        <v>50</v>
      </c>
      <c r="C385" t="s">
        <v>151</v>
      </c>
      <c r="D385" t="s">
        <v>152</v>
      </c>
      <c r="E385" t="str">
        <f t="shared" si="6"/>
        <v>VAR</v>
      </c>
      <c r="F385" t="s">
        <v>151</v>
      </c>
      <c r="G385" t="s">
        <v>151</v>
      </c>
      <c r="J385" t="s">
        <v>17</v>
      </c>
      <c r="K385" s="23">
        <v>-1722.45</v>
      </c>
      <c r="L385" t="s">
        <v>24</v>
      </c>
      <c r="M385" t="s">
        <v>25</v>
      </c>
    </row>
    <row r="386" spans="1:13" hidden="1" x14ac:dyDescent="0.25">
      <c r="A386" s="5">
        <v>45736</v>
      </c>
      <c r="B386" t="s">
        <v>50</v>
      </c>
      <c r="C386" t="s">
        <v>351</v>
      </c>
      <c r="D386" t="s">
        <v>302</v>
      </c>
      <c r="E386" t="str">
        <f t="shared" si="6"/>
        <v>ADM</v>
      </c>
      <c r="F386" t="s">
        <v>303</v>
      </c>
      <c r="G386" t="s">
        <v>303</v>
      </c>
      <c r="J386" t="s">
        <v>143</v>
      </c>
      <c r="K386" s="23">
        <v>-125.52</v>
      </c>
      <c r="L386" t="s">
        <v>24</v>
      </c>
      <c r="M386" t="s">
        <v>25</v>
      </c>
    </row>
    <row r="387" spans="1:13" hidden="1" x14ac:dyDescent="0.25">
      <c r="A387" s="5">
        <v>45736</v>
      </c>
      <c r="B387" t="s">
        <v>50</v>
      </c>
      <c r="C387" t="s">
        <v>353</v>
      </c>
      <c r="D387" t="s">
        <v>302</v>
      </c>
      <c r="E387" t="str">
        <f t="shared" si="6"/>
        <v>ADM</v>
      </c>
      <c r="F387" t="s">
        <v>303</v>
      </c>
      <c r="G387" t="s">
        <v>303</v>
      </c>
      <c r="J387" t="s">
        <v>143</v>
      </c>
      <c r="K387" s="23">
        <v>-42.74</v>
      </c>
      <c r="L387" t="s">
        <v>24</v>
      </c>
      <c r="M387" t="s">
        <v>25</v>
      </c>
    </row>
    <row r="388" spans="1:13" hidden="1" x14ac:dyDescent="0.25">
      <c r="A388" s="5">
        <v>45736</v>
      </c>
      <c r="B388" t="s">
        <v>50</v>
      </c>
      <c r="C388" t="s">
        <v>352</v>
      </c>
      <c r="D388" t="s">
        <v>302</v>
      </c>
      <c r="E388" t="str">
        <f t="shared" si="6"/>
        <v>ADM</v>
      </c>
      <c r="F388" t="s">
        <v>303</v>
      </c>
      <c r="G388" t="s">
        <v>303</v>
      </c>
      <c r="J388" t="s">
        <v>143</v>
      </c>
      <c r="K388" s="23">
        <v>-42.74</v>
      </c>
      <c r="L388" t="s">
        <v>24</v>
      </c>
      <c r="M388" t="s">
        <v>25</v>
      </c>
    </row>
    <row r="389" spans="1:13" hidden="1" x14ac:dyDescent="0.25">
      <c r="A389" s="5">
        <v>45736</v>
      </c>
      <c r="B389" t="s">
        <v>50</v>
      </c>
      <c r="C389" t="s">
        <v>463</v>
      </c>
      <c r="D389" t="s">
        <v>56</v>
      </c>
      <c r="E389" t="str">
        <f t="shared" si="6"/>
        <v>Honorários</v>
      </c>
      <c r="F389" t="s">
        <v>60</v>
      </c>
      <c r="G389" t="s">
        <v>60</v>
      </c>
      <c r="I389" t="s">
        <v>58</v>
      </c>
      <c r="J389" t="s">
        <v>143</v>
      </c>
      <c r="K389" s="23">
        <v>4802.2700000000004</v>
      </c>
      <c r="L389" t="s">
        <v>18</v>
      </c>
      <c r="M389" t="s">
        <v>19</v>
      </c>
    </row>
    <row r="390" spans="1:13" hidden="1" x14ac:dyDescent="0.25">
      <c r="A390" s="5">
        <v>45737</v>
      </c>
      <c r="B390" t="s">
        <v>50</v>
      </c>
      <c r="C390" t="s">
        <v>170</v>
      </c>
      <c r="D390" t="s">
        <v>56</v>
      </c>
      <c r="E390" t="str">
        <f t="shared" si="6"/>
        <v>Honorários</v>
      </c>
      <c r="F390" t="s">
        <v>171</v>
      </c>
      <c r="G390" t="s">
        <v>171</v>
      </c>
      <c r="I390" t="s">
        <v>172</v>
      </c>
      <c r="J390" t="s">
        <v>17</v>
      </c>
      <c r="K390" s="23">
        <v>119.35</v>
      </c>
      <c r="L390" t="s">
        <v>18</v>
      </c>
      <c r="M390" t="s">
        <v>83</v>
      </c>
    </row>
    <row r="391" spans="1:13" hidden="1" x14ac:dyDescent="0.25">
      <c r="A391" s="5">
        <v>45737</v>
      </c>
      <c r="B391" t="s">
        <v>54</v>
      </c>
      <c r="C391" t="s">
        <v>410</v>
      </c>
      <c r="D391" t="s">
        <v>99</v>
      </c>
      <c r="E391" t="str">
        <f t="shared" si="6"/>
        <v>ADM</v>
      </c>
      <c r="F391" t="s">
        <v>100</v>
      </c>
      <c r="G391" t="s">
        <v>100</v>
      </c>
      <c r="J391" t="s">
        <v>143</v>
      </c>
      <c r="K391" s="23">
        <v>-340</v>
      </c>
      <c r="L391" t="s">
        <v>24</v>
      </c>
      <c r="M391" t="s">
        <v>25</v>
      </c>
    </row>
    <row r="392" spans="1:13" hidden="1" x14ac:dyDescent="0.25">
      <c r="A392" s="5">
        <v>45740</v>
      </c>
      <c r="B392" t="s">
        <v>54</v>
      </c>
      <c r="C392" t="s">
        <v>397</v>
      </c>
      <c r="D392" t="s">
        <v>56</v>
      </c>
      <c r="E392" t="str">
        <f t="shared" si="6"/>
        <v>Honorários</v>
      </c>
      <c r="F392" t="s">
        <v>398</v>
      </c>
      <c r="G392" t="s">
        <v>398</v>
      </c>
      <c r="I392" t="s">
        <v>399</v>
      </c>
      <c r="J392" t="s">
        <v>143</v>
      </c>
      <c r="K392" s="23">
        <v>9171.34</v>
      </c>
      <c r="L392" t="s">
        <v>18</v>
      </c>
      <c r="M392" t="s">
        <v>19</v>
      </c>
    </row>
    <row r="393" spans="1:13" hidden="1" x14ac:dyDescent="0.25">
      <c r="A393" s="5">
        <v>45740</v>
      </c>
      <c r="B393" t="s">
        <v>50</v>
      </c>
      <c r="C393" t="s">
        <v>464</v>
      </c>
      <c r="D393" t="s">
        <v>56</v>
      </c>
      <c r="E393" t="str">
        <f t="shared" si="6"/>
        <v>Honorários</v>
      </c>
      <c r="F393" t="s">
        <v>402</v>
      </c>
      <c r="G393" t="s">
        <v>402</v>
      </c>
      <c r="I393" t="s">
        <v>82</v>
      </c>
      <c r="J393" t="s">
        <v>143</v>
      </c>
      <c r="K393" s="23">
        <v>9860.56</v>
      </c>
      <c r="L393" t="s">
        <v>18</v>
      </c>
      <c r="M393" t="s">
        <v>19</v>
      </c>
    </row>
    <row r="394" spans="1:13" hidden="1" x14ac:dyDescent="0.25">
      <c r="A394" s="5">
        <v>45740</v>
      </c>
      <c r="B394" t="s">
        <v>50</v>
      </c>
      <c r="C394" t="s">
        <v>465</v>
      </c>
      <c r="D394" t="s">
        <v>56</v>
      </c>
      <c r="E394" t="str">
        <f t="shared" si="6"/>
        <v>Honorários</v>
      </c>
      <c r="F394" t="s">
        <v>400</v>
      </c>
      <c r="G394" t="s">
        <v>400</v>
      </c>
      <c r="I394" t="s">
        <v>335</v>
      </c>
      <c r="J394" t="s">
        <v>17</v>
      </c>
      <c r="K394" s="23">
        <v>1137.7</v>
      </c>
      <c r="L394" t="s">
        <v>18</v>
      </c>
      <c r="M394" t="s">
        <v>83</v>
      </c>
    </row>
    <row r="395" spans="1:13" hidden="1" x14ac:dyDescent="0.25">
      <c r="A395" s="5">
        <v>45740</v>
      </c>
      <c r="B395" t="s">
        <v>50</v>
      </c>
      <c r="C395" t="s">
        <v>405</v>
      </c>
      <c r="D395" t="s">
        <v>56</v>
      </c>
      <c r="E395" t="str">
        <f t="shared" si="6"/>
        <v>Honorários</v>
      </c>
      <c r="F395" t="s">
        <v>406</v>
      </c>
      <c r="G395" t="s">
        <v>406</v>
      </c>
      <c r="I395" t="s">
        <v>407</v>
      </c>
      <c r="J395" t="s">
        <v>143</v>
      </c>
      <c r="K395" s="23">
        <v>1510.48</v>
      </c>
      <c r="L395" t="s">
        <v>18</v>
      </c>
      <c r="M395" t="s">
        <v>19</v>
      </c>
    </row>
    <row r="396" spans="1:13" hidden="1" x14ac:dyDescent="0.25">
      <c r="A396" s="5">
        <v>45740</v>
      </c>
      <c r="B396" t="s">
        <v>54</v>
      </c>
      <c r="C396" t="s">
        <v>466</v>
      </c>
      <c r="D396" t="s">
        <v>308</v>
      </c>
      <c r="E396" t="str">
        <f t="shared" si="6"/>
        <v>T&amp;O</v>
      </c>
      <c r="F396" t="s">
        <v>467</v>
      </c>
      <c r="G396" t="s">
        <v>467</v>
      </c>
      <c r="J396" t="s">
        <v>17</v>
      </c>
      <c r="K396" s="23">
        <v>-15000</v>
      </c>
      <c r="L396" t="s">
        <v>24</v>
      </c>
      <c r="M396" t="s">
        <v>25</v>
      </c>
    </row>
    <row r="397" spans="1:13" hidden="1" x14ac:dyDescent="0.25">
      <c r="A397" s="5">
        <v>45741</v>
      </c>
      <c r="B397" t="s">
        <v>54</v>
      </c>
      <c r="C397" t="s">
        <v>468</v>
      </c>
      <c r="D397" t="s">
        <v>56</v>
      </c>
      <c r="E397" t="str">
        <f t="shared" si="6"/>
        <v>Honorários</v>
      </c>
      <c r="F397" t="s">
        <v>408</v>
      </c>
      <c r="G397" t="s">
        <v>408</v>
      </c>
      <c r="I397" t="s">
        <v>82</v>
      </c>
      <c r="J397" t="s">
        <v>17</v>
      </c>
      <c r="K397" s="23">
        <v>3213.56</v>
      </c>
      <c r="L397" t="s">
        <v>18</v>
      </c>
      <c r="M397" t="s">
        <v>19</v>
      </c>
    </row>
    <row r="398" spans="1:13" hidden="1" x14ac:dyDescent="0.25">
      <c r="A398" s="5">
        <v>45741</v>
      </c>
      <c r="B398" t="s">
        <v>54</v>
      </c>
      <c r="C398" t="s">
        <v>156</v>
      </c>
      <c r="D398" t="s">
        <v>56</v>
      </c>
      <c r="E398" t="str">
        <f t="shared" si="6"/>
        <v>Honorários</v>
      </c>
      <c r="F398" t="s">
        <v>157</v>
      </c>
      <c r="G398" t="s">
        <v>157</v>
      </c>
      <c r="I398" t="s">
        <v>93</v>
      </c>
      <c r="J398" t="s">
        <v>17</v>
      </c>
      <c r="K398" s="23">
        <v>423.6</v>
      </c>
      <c r="L398" t="s">
        <v>18</v>
      </c>
      <c r="M398" t="s">
        <v>19</v>
      </c>
    </row>
    <row r="399" spans="1:13" hidden="1" x14ac:dyDescent="0.25">
      <c r="A399" s="5">
        <v>45741</v>
      </c>
      <c r="B399" t="s">
        <v>67</v>
      </c>
      <c r="C399" t="s">
        <v>178</v>
      </c>
      <c r="D399" t="s">
        <v>56</v>
      </c>
      <c r="E399" t="str">
        <f t="shared" si="6"/>
        <v>Honorários</v>
      </c>
      <c r="F399" t="s">
        <v>179</v>
      </c>
      <c r="G399" t="s">
        <v>179</v>
      </c>
      <c r="I399" t="s">
        <v>180</v>
      </c>
      <c r="J399" t="s">
        <v>17</v>
      </c>
      <c r="K399" s="23">
        <v>150</v>
      </c>
      <c r="L399" t="s">
        <v>18</v>
      </c>
      <c r="M399" t="s">
        <v>19</v>
      </c>
    </row>
    <row r="400" spans="1:13" hidden="1" x14ac:dyDescent="0.25">
      <c r="A400" s="5">
        <v>45741</v>
      </c>
      <c r="B400" t="s">
        <v>54</v>
      </c>
      <c r="C400" t="s">
        <v>469</v>
      </c>
      <c r="D400" t="s">
        <v>300</v>
      </c>
      <c r="E400" t="str">
        <f t="shared" si="6"/>
        <v>VAR</v>
      </c>
      <c r="F400" t="s">
        <v>403</v>
      </c>
      <c r="G400" t="s">
        <v>403</v>
      </c>
      <c r="I400" t="s">
        <v>404</v>
      </c>
      <c r="J400" t="s">
        <v>17</v>
      </c>
      <c r="K400" s="23">
        <v>-903.66</v>
      </c>
      <c r="L400" t="s">
        <v>24</v>
      </c>
      <c r="M400" t="s">
        <v>25</v>
      </c>
    </row>
    <row r="401" spans="1:13" hidden="1" x14ac:dyDescent="0.25">
      <c r="A401" s="5">
        <v>45741</v>
      </c>
      <c r="B401" t="s">
        <v>54</v>
      </c>
      <c r="C401" t="s">
        <v>470</v>
      </c>
      <c r="D401" t="s">
        <v>300</v>
      </c>
      <c r="E401" t="str">
        <f t="shared" ref="E401:E464" si="7">IF(OR(D401="Honorários",D401="Despesa do cliente"),D401,LEFT(D401,3))</f>
        <v>VAR</v>
      </c>
      <c r="F401" t="s">
        <v>157</v>
      </c>
      <c r="G401" t="s">
        <v>157</v>
      </c>
      <c r="I401" t="s">
        <v>93</v>
      </c>
      <c r="J401" t="s">
        <v>143</v>
      </c>
      <c r="K401" s="23">
        <v>-211.8</v>
      </c>
      <c r="L401" t="s">
        <v>24</v>
      </c>
      <c r="M401" t="s">
        <v>25</v>
      </c>
    </row>
    <row r="402" spans="1:13" hidden="1" x14ac:dyDescent="0.25">
      <c r="A402" s="5">
        <v>45741</v>
      </c>
      <c r="B402" t="s">
        <v>54</v>
      </c>
      <c r="C402" t="s">
        <v>471</v>
      </c>
      <c r="D402" t="s">
        <v>300</v>
      </c>
      <c r="E402" t="str">
        <f t="shared" si="7"/>
        <v>VAR</v>
      </c>
      <c r="F402" t="s">
        <v>408</v>
      </c>
      <c r="G402" t="s">
        <v>408</v>
      </c>
      <c r="I402" t="s">
        <v>82</v>
      </c>
      <c r="J402" t="s">
        <v>143</v>
      </c>
      <c r="K402" s="23">
        <v>-2812.18</v>
      </c>
      <c r="L402" t="s">
        <v>24</v>
      </c>
      <c r="M402" t="s">
        <v>25</v>
      </c>
    </row>
    <row r="403" spans="1:13" hidden="1" x14ac:dyDescent="0.25">
      <c r="A403" s="5">
        <v>45741</v>
      </c>
      <c r="B403" t="s">
        <v>54</v>
      </c>
      <c r="C403" t="s">
        <v>472</v>
      </c>
      <c r="D403" t="s">
        <v>56</v>
      </c>
      <c r="E403" t="str">
        <f t="shared" si="7"/>
        <v>Honorários</v>
      </c>
      <c r="F403" t="s">
        <v>403</v>
      </c>
      <c r="G403" t="s">
        <v>403</v>
      </c>
      <c r="I403" t="s">
        <v>404</v>
      </c>
      <c r="J403" t="s">
        <v>143</v>
      </c>
      <c r="K403" s="23">
        <v>6604.83</v>
      </c>
      <c r="L403" t="s">
        <v>18</v>
      </c>
      <c r="M403" t="s">
        <v>19</v>
      </c>
    </row>
    <row r="404" spans="1:13" hidden="1" x14ac:dyDescent="0.25">
      <c r="A404" s="5">
        <v>45741</v>
      </c>
      <c r="B404" t="s">
        <v>54</v>
      </c>
      <c r="C404" t="s">
        <v>473</v>
      </c>
      <c r="D404" t="s">
        <v>56</v>
      </c>
      <c r="E404" t="str">
        <f t="shared" si="7"/>
        <v>Honorários</v>
      </c>
      <c r="F404" t="s">
        <v>474</v>
      </c>
      <c r="G404" t="s">
        <v>474</v>
      </c>
      <c r="I404" t="s">
        <v>75</v>
      </c>
      <c r="J404" t="s">
        <v>143</v>
      </c>
      <c r="K404" s="23">
        <v>713.7</v>
      </c>
      <c r="L404" t="s">
        <v>18</v>
      </c>
      <c r="M404" t="s">
        <v>19</v>
      </c>
    </row>
    <row r="405" spans="1:13" hidden="1" x14ac:dyDescent="0.25">
      <c r="A405" s="5">
        <v>45741</v>
      </c>
      <c r="B405" t="s">
        <v>54</v>
      </c>
      <c r="C405" t="s">
        <v>475</v>
      </c>
      <c r="D405" t="s">
        <v>56</v>
      </c>
      <c r="E405" t="str">
        <f t="shared" si="7"/>
        <v>Honorários</v>
      </c>
      <c r="F405" t="s">
        <v>408</v>
      </c>
      <c r="G405" t="s">
        <v>408</v>
      </c>
      <c r="I405" t="s">
        <v>82</v>
      </c>
      <c r="J405" t="s">
        <v>143</v>
      </c>
      <c r="K405" s="23">
        <v>2410.8000000000002</v>
      </c>
      <c r="L405" t="s">
        <v>18</v>
      </c>
      <c r="M405" t="s">
        <v>19</v>
      </c>
    </row>
    <row r="406" spans="1:13" hidden="1" x14ac:dyDescent="0.25">
      <c r="A406" s="5">
        <v>45742</v>
      </c>
      <c r="B406" t="s">
        <v>50</v>
      </c>
      <c r="C406" t="s">
        <v>115</v>
      </c>
      <c r="D406" t="s">
        <v>56</v>
      </c>
      <c r="E406" t="str">
        <f t="shared" si="7"/>
        <v>Honorários</v>
      </c>
      <c r="F406" t="s">
        <v>116</v>
      </c>
      <c r="G406" t="s">
        <v>116</v>
      </c>
      <c r="I406" t="s">
        <v>117</v>
      </c>
      <c r="J406" t="s">
        <v>17</v>
      </c>
      <c r="K406" s="23">
        <v>1589.72</v>
      </c>
      <c r="L406" t="s">
        <v>18</v>
      </c>
      <c r="M406" t="s">
        <v>19</v>
      </c>
    </row>
    <row r="407" spans="1:13" hidden="1" x14ac:dyDescent="0.25">
      <c r="A407" s="5">
        <v>45744</v>
      </c>
      <c r="B407" t="s">
        <v>54</v>
      </c>
      <c r="C407" t="s">
        <v>476</v>
      </c>
      <c r="D407" t="s">
        <v>89</v>
      </c>
      <c r="E407" t="str">
        <f t="shared" si="7"/>
        <v>ADM</v>
      </c>
      <c r="F407" t="s">
        <v>477</v>
      </c>
      <c r="G407" t="s">
        <v>477</v>
      </c>
      <c r="J407" t="s">
        <v>143</v>
      </c>
      <c r="K407" s="23">
        <v>-65.14</v>
      </c>
      <c r="L407" t="s">
        <v>24</v>
      </c>
      <c r="M407" t="s">
        <v>25</v>
      </c>
    </row>
    <row r="408" spans="1:13" hidden="1" x14ac:dyDescent="0.25">
      <c r="A408" s="5">
        <v>45744</v>
      </c>
      <c r="B408" t="s">
        <v>50</v>
      </c>
      <c r="C408" t="s">
        <v>478</v>
      </c>
      <c r="D408" t="s">
        <v>191</v>
      </c>
      <c r="E408" t="str">
        <f t="shared" si="7"/>
        <v>ADM</v>
      </c>
      <c r="F408" t="s">
        <v>380</v>
      </c>
      <c r="G408" t="s">
        <v>380</v>
      </c>
      <c r="J408" t="s">
        <v>17</v>
      </c>
      <c r="K408" s="23">
        <v>-627.22</v>
      </c>
      <c r="L408" t="s">
        <v>24</v>
      </c>
      <c r="M408" t="s">
        <v>25</v>
      </c>
    </row>
    <row r="409" spans="1:13" hidden="1" x14ac:dyDescent="0.25">
      <c r="A409" s="5">
        <v>45744</v>
      </c>
      <c r="B409" t="s">
        <v>54</v>
      </c>
      <c r="C409" t="s">
        <v>479</v>
      </c>
      <c r="D409" t="s">
        <v>1488</v>
      </c>
      <c r="E409" t="str">
        <f t="shared" si="7"/>
        <v>PES</v>
      </c>
      <c r="F409" t="s">
        <v>480</v>
      </c>
      <c r="G409" t="s">
        <v>480</v>
      </c>
      <c r="J409" t="s">
        <v>143</v>
      </c>
      <c r="K409" s="23">
        <v>-30</v>
      </c>
      <c r="L409" t="s">
        <v>24</v>
      </c>
      <c r="M409" t="s">
        <v>25</v>
      </c>
    </row>
    <row r="410" spans="1:13" hidden="1" x14ac:dyDescent="0.25">
      <c r="A410" s="5">
        <v>45744</v>
      </c>
      <c r="B410" t="s">
        <v>50</v>
      </c>
      <c r="C410" t="s">
        <v>481</v>
      </c>
      <c r="D410" t="s">
        <v>191</v>
      </c>
      <c r="E410" t="str">
        <f t="shared" si="7"/>
        <v>ADM</v>
      </c>
      <c r="F410" t="s">
        <v>371</v>
      </c>
      <c r="G410" t="s">
        <v>371</v>
      </c>
      <c r="J410" t="s">
        <v>17</v>
      </c>
      <c r="K410" s="23">
        <v>-380.75</v>
      </c>
      <c r="L410" t="s">
        <v>24</v>
      </c>
      <c r="M410" t="s">
        <v>25</v>
      </c>
    </row>
    <row r="411" spans="1:13" hidden="1" x14ac:dyDescent="0.25">
      <c r="A411" s="5">
        <v>45744</v>
      </c>
      <c r="B411" t="s">
        <v>54</v>
      </c>
      <c r="C411" t="s">
        <v>410</v>
      </c>
      <c r="D411" t="s">
        <v>99</v>
      </c>
      <c r="E411" t="str">
        <f t="shared" si="7"/>
        <v>ADM</v>
      </c>
      <c r="F411" t="s">
        <v>100</v>
      </c>
      <c r="G411" t="s">
        <v>100</v>
      </c>
      <c r="J411" t="s">
        <v>143</v>
      </c>
      <c r="K411" s="23">
        <v>-340</v>
      </c>
      <c r="L411" t="s">
        <v>24</v>
      </c>
      <c r="M411" t="s">
        <v>25</v>
      </c>
    </row>
    <row r="412" spans="1:13" hidden="1" x14ac:dyDescent="0.25">
      <c r="A412" s="5">
        <v>45744</v>
      </c>
      <c r="B412" t="s">
        <v>54</v>
      </c>
      <c r="C412" t="s">
        <v>482</v>
      </c>
      <c r="D412" t="s">
        <v>300</v>
      </c>
      <c r="E412" t="str">
        <f t="shared" si="7"/>
        <v>VAR</v>
      </c>
      <c r="F412" t="s">
        <v>483</v>
      </c>
      <c r="G412" t="s">
        <v>483</v>
      </c>
      <c r="J412" t="s">
        <v>143</v>
      </c>
      <c r="K412" s="23">
        <v>-200</v>
      </c>
      <c r="L412" t="s">
        <v>24</v>
      </c>
      <c r="M412" t="s">
        <v>25</v>
      </c>
    </row>
    <row r="413" spans="1:13" hidden="1" x14ac:dyDescent="0.25">
      <c r="A413" s="5">
        <v>45747</v>
      </c>
      <c r="B413" t="s">
        <v>54</v>
      </c>
      <c r="C413" t="s">
        <v>200</v>
      </c>
      <c r="D413" t="s">
        <v>201</v>
      </c>
      <c r="E413" t="str">
        <f t="shared" si="7"/>
        <v>DIR</v>
      </c>
      <c r="F413" t="s">
        <v>67</v>
      </c>
      <c r="G413" t="s">
        <v>67</v>
      </c>
      <c r="J413" t="s">
        <v>17</v>
      </c>
      <c r="K413" s="23">
        <v>-3648.98</v>
      </c>
      <c r="L413" t="s">
        <v>24</v>
      </c>
      <c r="M413" t="s">
        <v>25</v>
      </c>
    </row>
    <row r="414" spans="1:13" hidden="1" x14ac:dyDescent="0.25">
      <c r="A414" s="5">
        <v>45747</v>
      </c>
      <c r="B414" t="s">
        <v>50</v>
      </c>
      <c r="C414" t="s">
        <v>204</v>
      </c>
      <c r="D414" t="s">
        <v>128</v>
      </c>
      <c r="E414" t="str">
        <f t="shared" si="7"/>
        <v>PES</v>
      </c>
      <c r="F414" t="s">
        <v>208</v>
      </c>
      <c r="G414" t="s">
        <v>208</v>
      </c>
      <c r="J414" t="s">
        <v>17</v>
      </c>
      <c r="K414" s="23">
        <v>-1300</v>
      </c>
      <c r="L414" t="s">
        <v>24</v>
      </c>
      <c r="M414" t="s">
        <v>25</v>
      </c>
    </row>
    <row r="415" spans="1:13" hidden="1" x14ac:dyDescent="0.25">
      <c r="A415" s="5">
        <v>45747</v>
      </c>
      <c r="B415" t="s">
        <v>50</v>
      </c>
      <c r="C415" t="s">
        <v>197</v>
      </c>
      <c r="D415" t="s">
        <v>198</v>
      </c>
      <c r="E415" t="str">
        <f t="shared" si="7"/>
        <v>PES</v>
      </c>
      <c r="F415" t="s">
        <v>199</v>
      </c>
      <c r="G415" t="s">
        <v>199</v>
      </c>
      <c r="J415" t="s">
        <v>17</v>
      </c>
      <c r="K415" s="23">
        <v>-3195.89</v>
      </c>
      <c r="L415" t="s">
        <v>24</v>
      </c>
      <c r="M415" t="s">
        <v>25</v>
      </c>
    </row>
    <row r="416" spans="1:13" hidden="1" x14ac:dyDescent="0.25">
      <c r="A416" s="5">
        <v>45747</v>
      </c>
      <c r="B416" t="s">
        <v>50</v>
      </c>
      <c r="C416" t="s">
        <v>484</v>
      </c>
      <c r="D416" t="s">
        <v>207</v>
      </c>
      <c r="E416" t="str">
        <f t="shared" si="7"/>
        <v>DIR</v>
      </c>
      <c r="F416" t="s">
        <v>67</v>
      </c>
      <c r="G416" t="s">
        <v>67</v>
      </c>
      <c r="J416" t="s">
        <v>17</v>
      </c>
      <c r="K416" s="23">
        <v>-1351.02</v>
      </c>
      <c r="L416" t="s">
        <v>24</v>
      </c>
      <c r="M416" t="s">
        <v>25</v>
      </c>
    </row>
    <row r="417" spans="1:13" hidden="1" x14ac:dyDescent="0.25">
      <c r="A417" s="5">
        <v>45747</v>
      </c>
      <c r="B417" t="s">
        <v>54</v>
      </c>
      <c r="C417" t="s">
        <v>272</v>
      </c>
      <c r="D417" t="s">
        <v>198</v>
      </c>
      <c r="E417" t="str">
        <f t="shared" si="7"/>
        <v>PES</v>
      </c>
      <c r="F417" t="s">
        <v>203</v>
      </c>
      <c r="G417" t="s">
        <v>203</v>
      </c>
      <c r="J417" t="s">
        <v>143</v>
      </c>
      <c r="K417" s="23">
        <v>-1518</v>
      </c>
      <c r="L417" t="s">
        <v>24</v>
      </c>
      <c r="M417" t="s">
        <v>25</v>
      </c>
    </row>
    <row r="418" spans="1:13" hidden="1" x14ac:dyDescent="0.25">
      <c r="A418" s="5">
        <v>45747</v>
      </c>
      <c r="B418" t="s">
        <v>54</v>
      </c>
      <c r="C418" t="s">
        <v>485</v>
      </c>
      <c r="D418" t="s">
        <v>89</v>
      </c>
      <c r="E418" t="str">
        <f t="shared" si="7"/>
        <v>ADM</v>
      </c>
      <c r="F418" t="s">
        <v>486</v>
      </c>
      <c r="G418" t="s">
        <v>486</v>
      </c>
      <c r="J418" t="s">
        <v>143</v>
      </c>
      <c r="K418" s="23">
        <v>-4</v>
      </c>
      <c r="L418" t="s">
        <v>24</v>
      </c>
      <c r="M418" t="s">
        <v>25</v>
      </c>
    </row>
    <row r="419" spans="1:13" hidden="1" x14ac:dyDescent="0.25">
      <c r="A419" s="5">
        <v>45747</v>
      </c>
      <c r="B419" t="s">
        <v>50</v>
      </c>
      <c r="C419" t="s">
        <v>272</v>
      </c>
      <c r="D419" t="s">
        <v>198</v>
      </c>
      <c r="E419" t="str">
        <f t="shared" si="7"/>
        <v>PES</v>
      </c>
      <c r="F419" t="s">
        <v>209</v>
      </c>
      <c r="G419" t="s">
        <v>209</v>
      </c>
      <c r="J419" t="s">
        <v>17</v>
      </c>
      <c r="K419" s="23">
        <v>-1420.06</v>
      </c>
      <c r="L419" t="s">
        <v>24</v>
      </c>
      <c r="M419" t="s">
        <v>25</v>
      </c>
    </row>
    <row r="420" spans="1:13" hidden="1" x14ac:dyDescent="0.25">
      <c r="A420" s="5">
        <v>45747</v>
      </c>
      <c r="B420" t="s">
        <v>50</v>
      </c>
      <c r="C420" t="s">
        <v>204</v>
      </c>
      <c r="D420" t="s">
        <v>128</v>
      </c>
      <c r="E420" t="str">
        <f t="shared" si="7"/>
        <v>PES</v>
      </c>
      <c r="F420" t="s">
        <v>205</v>
      </c>
      <c r="G420" t="s">
        <v>205</v>
      </c>
      <c r="J420" t="s">
        <v>17</v>
      </c>
      <c r="K420" s="23">
        <v>-1300</v>
      </c>
      <c r="L420" t="s">
        <v>24</v>
      </c>
      <c r="M420" t="s">
        <v>25</v>
      </c>
    </row>
    <row r="421" spans="1:13" hidden="1" x14ac:dyDescent="0.25">
      <c r="A421" s="5">
        <v>45747</v>
      </c>
      <c r="B421" t="s">
        <v>54</v>
      </c>
      <c r="C421" t="s">
        <v>487</v>
      </c>
      <c r="D421" t="s">
        <v>56</v>
      </c>
      <c r="E421" t="str">
        <f t="shared" si="7"/>
        <v>Honorários</v>
      </c>
      <c r="F421" t="s">
        <v>488</v>
      </c>
      <c r="G421" t="s">
        <v>488</v>
      </c>
      <c r="I421" t="s">
        <v>58</v>
      </c>
      <c r="J421" t="s">
        <v>17</v>
      </c>
      <c r="K421" s="23">
        <v>759</v>
      </c>
      <c r="L421" t="s">
        <v>18</v>
      </c>
      <c r="M421" t="s">
        <v>19</v>
      </c>
    </row>
    <row r="422" spans="1:13" hidden="1" x14ac:dyDescent="0.25">
      <c r="A422" s="5">
        <v>45747</v>
      </c>
      <c r="B422" t="s">
        <v>54</v>
      </c>
      <c r="C422" t="s">
        <v>200</v>
      </c>
      <c r="D422" t="s">
        <v>201</v>
      </c>
      <c r="E422" t="str">
        <f t="shared" si="7"/>
        <v>DIR</v>
      </c>
      <c r="F422" t="s">
        <v>54</v>
      </c>
      <c r="G422" t="s">
        <v>54</v>
      </c>
      <c r="J422" t="s">
        <v>17</v>
      </c>
      <c r="K422" s="23">
        <v>-6148.98</v>
      </c>
      <c r="L422" t="s">
        <v>24</v>
      </c>
      <c r="M422" t="s">
        <v>25</v>
      </c>
    </row>
    <row r="423" spans="1:13" hidden="1" x14ac:dyDescent="0.25">
      <c r="A423" s="5">
        <v>45747</v>
      </c>
      <c r="B423" t="s">
        <v>54</v>
      </c>
      <c r="C423" t="s">
        <v>197</v>
      </c>
      <c r="D423" t="s">
        <v>198</v>
      </c>
      <c r="E423" t="str">
        <f t="shared" si="7"/>
        <v>PES</v>
      </c>
      <c r="F423" t="s">
        <v>209</v>
      </c>
      <c r="G423" t="s">
        <v>209</v>
      </c>
      <c r="J423" t="s">
        <v>17</v>
      </c>
      <c r="K423" s="23">
        <v>-1079.94</v>
      </c>
      <c r="L423" t="s">
        <v>24</v>
      </c>
      <c r="M423" t="s">
        <v>25</v>
      </c>
    </row>
    <row r="424" spans="1:13" hidden="1" x14ac:dyDescent="0.25">
      <c r="A424" s="5">
        <v>45747</v>
      </c>
      <c r="B424" t="s">
        <v>50</v>
      </c>
      <c r="C424" t="s">
        <v>484</v>
      </c>
      <c r="D424" t="s">
        <v>207</v>
      </c>
      <c r="E424" t="str">
        <f t="shared" si="7"/>
        <v>DIR</v>
      </c>
      <c r="F424" t="s">
        <v>54</v>
      </c>
      <c r="G424" t="s">
        <v>54</v>
      </c>
      <c r="J424" t="s">
        <v>17</v>
      </c>
      <c r="K424" s="23">
        <v>-1351.02</v>
      </c>
      <c r="L424" t="s">
        <v>24</v>
      </c>
      <c r="M424" t="s">
        <v>25</v>
      </c>
    </row>
    <row r="425" spans="1:13" hidden="1" x14ac:dyDescent="0.25">
      <c r="A425" s="5">
        <v>45748</v>
      </c>
      <c r="B425" t="s">
        <v>20</v>
      </c>
      <c r="C425" t="s">
        <v>284</v>
      </c>
      <c r="D425" t="s">
        <v>39</v>
      </c>
      <c r="E425" t="str">
        <f t="shared" si="7"/>
        <v>INV</v>
      </c>
      <c r="F425" t="s">
        <v>23</v>
      </c>
      <c r="G425" t="s">
        <v>23</v>
      </c>
      <c r="H425" t="s">
        <v>285</v>
      </c>
      <c r="J425" t="s">
        <v>143</v>
      </c>
      <c r="K425" s="23">
        <v>-333.24</v>
      </c>
      <c r="L425" t="s">
        <v>24</v>
      </c>
      <c r="M425" t="s">
        <v>25</v>
      </c>
    </row>
    <row r="426" spans="1:13" hidden="1" x14ac:dyDescent="0.25">
      <c r="A426" s="5">
        <v>45748</v>
      </c>
      <c r="B426" t="s">
        <v>50</v>
      </c>
      <c r="C426" t="s">
        <v>61</v>
      </c>
      <c r="D426" t="s">
        <v>62</v>
      </c>
      <c r="E426" t="str">
        <f t="shared" si="7"/>
        <v>INV</v>
      </c>
      <c r="F426" t="s">
        <v>63</v>
      </c>
      <c r="G426" t="s">
        <v>63</v>
      </c>
      <c r="J426" t="s">
        <v>17</v>
      </c>
      <c r="K426" s="23">
        <v>-1750</v>
      </c>
      <c r="L426" t="s">
        <v>24</v>
      </c>
      <c r="M426" t="s">
        <v>25</v>
      </c>
    </row>
    <row r="427" spans="1:13" hidden="1" x14ac:dyDescent="0.25">
      <c r="A427" s="5">
        <v>45748</v>
      </c>
      <c r="B427" t="s">
        <v>20</v>
      </c>
      <c r="C427" t="s">
        <v>41</v>
      </c>
      <c r="D427" t="s">
        <v>30</v>
      </c>
      <c r="E427" t="str">
        <f t="shared" si="7"/>
        <v>ADM</v>
      </c>
      <c r="F427" t="s">
        <v>23</v>
      </c>
      <c r="G427" t="s">
        <v>23</v>
      </c>
      <c r="J427" t="s">
        <v>17</v>
      </c>
      <c r="K427" s="23">
        <v>-38.99</v>
      </c>
      <c r="L427" t="s">
        <v>24</v>
      </c>
      <c r="M427" t="s">
        <v>25</v>
      </c>
    </row>
    <row r="428" spans="1:13" hidden="1" x14ac:dyDescent="0.25">
      <c r="A428" s="5">
        <v>45748</v>
      </c>
      <c r="B428" t="s">
        <v>20</v>
      </c>
      <c r="C428" t="s">
        <v>489</v>
      </c>
      <c r="D428" t="s">
        <v>162</v>
      </c>
      <c r="E428" t="str">
        <f t="shared" si="7"/>
        <v>COM</v>
      </c>
      <c r="F428" t="s">
        <v>23</v>
      </c>
      <c r="G428" t="s">
        <v>23</v>
      </c>
      <c r="J428" t="s">
        <v>143</v>
      </c>
      <c r="K428" s="23">
        <v>-61.1</v>
      </c>
      <c r="L428" t="s">
        <v>24</v>
      </c>
      <c r="M428" t="s">
        <v>25</v>
      </c>
    </row>
    <row r="429" spans="1:13" hidden="1" x14ac:dyDescent="0.25">
      <c r="A429" s="5">
        <v>45748</v>
      </c>
      <c r="B429" t="s">
        <v>20</v>
      </c>
      <c r="C429" t="s">
        <v>490</v>
      </c>
      <c r="D429" t="s">
        <v>28</v>
      </c>
      <c r="E429" t="str">
        <f t="shared" si="7"/>
        <v>ADM</v>
      </c>
      <c r="F429" t="s">
        <v>23</v>
      </c>
      <c r="G429" t="s">
        <v>23</v>
      </c>
      <c r="J429" t="s">
        <v>143</v>
      </c>
      <c r="K429" s="23">
        <v>-50.7</v>
      </c>
      <c r="L429" t="s">
        <v>24</v>
      </c>
      <c r="M429" t="s">
        <v>25</v>
      </c>
    </row>
    <row r="430" spans="1:13" hidden="1" x14ac:dyDescent="0.25">
      <c r="A430" s="5">
        <v>45748</v>
      </c>
      <c r="B430" t="s">
        <v>20</v>
      </c>
      <c r="C430" t="s">
        <v>40</v>
      </c>
      <c r="D430" t="s">
        <v>30</v>
      </c>
      <c r="E430" t="str">
        <f t="shared" si="7"/>
        <v>ADM</v>
      </c>
      <c r="F430" t="s">
        <v>23</v>
      </c>
      <c r="G430" t="s">
        <v>23</v>
      </c>
      <c r="J430" t="s">
        <v>17</v>
      </c>
      <c r="K430" s="23">
        <v>-19.899999999999999</v>
      </c>
      <c r="L430" t="s">
        <v>24</v>
      </c>
      <c r="M430" t="s">
        <v>25</v>
      </c>
    </row>
    <row r="431" spans="1:13" hidden="1" x14ac:dyDescent="0.25">
      <c r="A431" s="5">
        <v>45748</v>
      </c>
      <c r="B431" t="s">
        <v>50</v>
      </c>
      <c r="C431" t="s">
        <v>51</v>
      </c>
      <c r="D431" t="s">
        <v>52</v>
      </c>
      <c r="E431" t="str">
        <f t="shared" si="7"/>
        <v>ADM</v>
      </c>
      <c r="F431" t="s">
        <v>53</v>
      </c>
      <c r="G431" t="s">
        <v>53</v>
      </c>
      <c r="J431" t="s">
        <v>17</v>
      </c>
      <c r="K431" s="23">
        <v>-1518</v>
      </c>
      <c r="L431" t="s">
        <v>24</v>
      </c>
      <c r="M431" t="s">
        <v>25</v>
      </c>
    </row>
    <row r="432" spans="1:13" hidden="1" x14ac:dyDescent="0.25">
      <c r="A432" s="5">
        <v>45748</v>
      </c>
      <c r="B432" t="s">
        <v>20</v>
      </c>
      <c r="C432" t="s">
        <v>491</v>
      </c>
      <c r="D432" t="s">
        <v>89</v>
      </c>
      <c r="E432" t="str">
        <f t="shared" si="7"/>
        <v>ADM</v>
      </c>
      <c r="F432" t="s">
        <v>23</v>
      </c>
      <c r="G432" t="s">
        <v>23</v>
      </c>
      <c r="J432" t="s">
        <v>143</v>
      </c>
      <c r="K432" s="23">
        <v>-111.38</v>
      </c>
      <c r="L432" t="s">
        <v>24</v>
      </c>
      <c r="M432" t="s">
        <v>25</v>
      </c>
    </row>
    <row r="433" spans="1:13" hidden="1" x14ac:dyDescent="0.25">
      <c r="A433" s="5">
        <v>45748</v>
      </c>
      <c r="B433" t="s">
        <v>20</v>
      </c>
      <c r="C433" t="s">
        <v>492</v>
      </c>
      <c r="D433" t="s">
        <v>28</v>
      </c>
      <c r="E433" t="str">
        <f t="shared" si="7"/>
        <v>ADM</v>
      </c>
      <c r="F433" t="s">
        <v>23</v>
      </c>
      <c r="G433" t="s">
        <v>23</v>
      </c>
      <c r="J433" t="s">
        <v>143</v>
      </c>
      <c r="K433" s="23">
        <v>-415</v>
      </c>
      <c r="L433" t="s">
        <v>24</v>
      </c>
      <c r="M433" t="s">
        <v>25</v>
      </c>
    </row>
    <row r="434" spans="1:13" hidden="1" x14ac:dyDescent="0.25">
      <c r="A434" s="5">
        <v>45748</v>
      </c>
      <c r="B434" t="s">
        <v>20</v>
      </c>
      <c r="C434" t="s">
        <v>387</v>
      </c>
      <c r="D434" t="s">
        <v>28</v>
      </c>
      <c r="E434" t="str">
        <f t="shared" si="7"/>
        <v>ADM</v>
      </c>
      <c r="F434" t="s">
        <v>23</v>
      </c>
      <c r="G434" t="s">
        <v>23</v>
      </c>
      <c r="J434" t="s">
        <v>143</v>
      </c>
      <c r="K434" s="23">
        <v>-45</v>
      </c>
      <c r="L434" t="s">
        <v>24</v>
      </c>
      <c r="M434" t="s">
        <v>25</v>
      </c>
    </row>
    <row r="435" spans="1:13" hidden="1" x14ac:dyDescent="0.25">
      <c r="A435" s="5">
        <v>45748</v>
      </c>
      <c r="B435" t="s">
        <v>20</v>
      </c>
      <c r="C435" t="s">
        <v>493</v>
      </c>
      <c r="D435" t="s">
        <v>162</v>
      </c>
      <c r="E435" t="str">
        <f t="shared" si="7"/>
        <v>COM</v>
      </c>
      <c r="F435" t="s">
        <v>23</v>
      </c>
      <c r="G435" t="s">
        <v>23</v>
      </c>
      <c r="J435" t="s">
        <v>143</v>
      </c>
      <c r="K435" s="23">
        <v>-48</v>
      </c>
      <c r="L435" t="s">
        <v>24</v>
      </c>
      <c r="M435" t="s">
        <v>25</v>
      </c>
    </row>
    <row r="436" spans="1:13" hidden="1" x14ac:dyDescent="0.25">
      <c r="A436" s="5">
        <v>45748</v>
      </c>
      <c r="B436" t="s">
        <v>54</v>
      </c>
      <c r="C436" t="s">
        <v>494</v>
      </c>
      <c r="D436" t="s">
        <v>56</v>
      </c>
      <c r="E436" t="str">
        <f t="shared" si="7"/>
        <v>Honorários</v>
      </c>
      <c r="F436" t="s">
        <v>495</v>
      </c>
      <c r="G436" t="s">
        <v>495</v>
      </c>
      <c r="I436" t="s">
        <v>58</v>
      </c>
      <c r="J436" t="s">
        <v>17</v>
      </c>
      <c r="K436" s="23">
        <v>2288.5</v>
      </c>
      <c r="L436" t="s">
        <v>18</v>
      </c>
      <c r="M436" t="s">
        <v>19</v>
      </c>
    </row>
    <row r="437" spans="1:13" hidden="1" x14ac:dyDescent="0.25">
      <c r="A437" s="5">
        <v>45748</v>
      </c>
      <c r="B437" t="s">
        <v>20</v>
      </c>
      <c r="C437" t="s">
        <v>37</v>
      </c>
      <c r="D437" t="s">
        <v>30</v>
      </c>
      <c r="E437" t="str">
        <f t="shared" si="7"/>
        <v>ADM</v>
      </c>
      <c r="F437" t="s">
        <v>23</v>
      </c>
      <c r="G437" t="s">
        <v>23</v>
      </c>
      <c r="J437" t="s">
        <v>17</v>
      </c>
      <c r="K437" s="23">
        <v>-80.91</v>
      </c>
      <c r="L437" t="s">
        <v>24</v>
      </c>
      <c r="M437" t="s">
        <v>25</v>
      </c>
    </row>
    <row r="438" spans="1:13" hidden="1" x14ac:dyDescent="0.25">
      <c r="A438" s="5">
        <v>45748</v>
      </c>
      <c r="B438" t="s">
        <v>20</v>
      </c>
      <c r="C438" t="s">
        <v>496</v>
      </c>
      <c r="D438" t="s">
        <v>28</v>
      </c>
      <c r="E438" t="str">
        <f t="shared" si="7"/>
        <v>ADM</v>
      </c>
      <c r="F438" t="s">
        <v>23</v>
      </c>
      <c r="G438" t="s">
        <v>23</v>
      </c>
      <c r="J438" t="s">
        <v>143</v>
      </c>
      <c r="K438" s="23">
        <v>-228.34</v>
      </c>
      <c r="L438" t="s">
        <v>24</v>
      </c>
      <c r="M438" t="s">
        <v>25</v>
      </c>
    </row>
    <row r="439" spans="1:13" hidden="1" x14ac:dyDescent="0.25">
      <c r="A439" s="5">
        <v>45748</v>
      </c>
      <c r="B439" t="s">
        <v>20</v>
      </c>
      <c r="C439" t="s">
        <v>497</v>
      </c>
      <c r="D439" t="s">
        <v>28</v>
      </c>
      <c r="E439" t="str">
        <f t="shared" si="7"/>
        <v>ADM</v>
      </c>
      <c r="F439" t="s">
        <v>23</v>
      </c>
      <c r="G439" t="s">
        <v>23</v>
      </c>
      <c r="J439" t="s">
        <v>143</v>
      </c>
      <c r="K439" s="23">
        <v>-15</v>
      </c>
      <c r="L439" t="s">
        <v>24</v>
      </c>
      <c r="M439" t="s">
        <v>25</v>
      </c>
    </row>
    <row r="440" spans="1:13" hidden="1" x14ac:dyDescent="0.25">
      <c r="A440" s="5">
        <v>45748</v>
      </c>
      <c r="B440" t="s">
        <v>20</v>
      </c>
      <c r="C440" t="s">
        <v>45</v>
      </c>
      <c r="D440" t="s">
        <v>15</v>
      </c>
      <c r="E440" t="str">
        <f t="shared" si="7"/>
        <v>ADM</v>
      </c>
      <c r="F440" t="s">
        <v>23</v>
      </c>
      <c r="G440" t="s">
        <v>23</v>
      </c>
      <c r="J440" t="s">
        <v>17</v>
      </c>
      <c r="K440" s="23">
        <v>3059.88</v>
      </c>
      <c r="L440" t="s">
        <v>18</v>
      </c>
      <c r="M440" t="s">
        <v>19</v>
      </c>
    </row>
    <row r="441" spans="1:13" hidden="1" x14ac:dyDescent="0.25">
      <c r="A441" s="5">
        <v>45748</v>
      </c>
      <c r="B441" t="s">
        <v>20</v>
      </c>
      <c r="C441" t="s">
        <v>44</v>
      </c>
      <c r="D441" t="s">
        <v>28</v>
      </c>
      <c r="E441" t="str">
        <f t="shared" si="7"/>
        <v>ADM</v>
      </c>
      <c r="F441" t="s">
        <v>23</v>
      </c>
      <c r="G441" t="s">
        <v>23</v>
      </c>
      <c r="J441" t="s">
        <v>17</v>
      </c>
      <c r="K441" s="23">
        <v>-725</v>
      </c>
      <c r="L441" t="s">
        <v>24</v>
      </c>
      <c r="M441" t="s">
        <v>25</v>
      </c>
    </row>
    <row r="442" spans="1:13" hidden="1" x14ac:dyDescent="0.25">
      <c r="A442" s="5">
        <v>45748</v>
      </c>
      <c r="B442" t="s">
        <v>20</v>
      </c>
      <c r="C442" t="s">
        <v>498</v>
      </c>
      <c r="D442" t="s">
        <v>28</v>
      </c>
      <c r="E442" t="str">
        <f t="shared" si="7"/>
        <v>ADM</v>
      </c>
      <c r="F442" t="s">
        <v>23</v>
      </c>
      <c r="G442" t="s">
        <v>23</v>
      </c>
      <c r="J442" t="s">
        <v>143</v>
      </c>
      <c r="K442" s="23">
        <v>-28</v>
      </c>
      <c r="L442" t="s">
        <v>24</v>
      </c>
      <c r="M442" t="s">
        <v>25</v>
      </c>
    </row>
    <row r="443" spans="1:13" hidden="1" x14ac:dyDescent="0.25">
      <c r="A443" s="5">
        <v>45748</v>
      </c>
      <c r="B443" t="s">
        <v>50</v>
      </c>
      <c r="C443" t="s">
        <v>499</v>
      </c>
      <c r="D443" t="s">
        <v>56</v>
      </c>
      <c r="E443" t="str">
        <f t="shared" si="7"/>
        <v>Honorários</v>
      </c>
      <c r="F443" t="s">
        <v>500</v>
      </c>
      <c r="G443" t="s">
        <v>500</v>
      </c>
      <c r="I443" t="s">
        <v>501</v>
      </c>
      <c r="J443" t="s">
        <v>17</v>
      </c>
      <c r="K443" s="23">
        <v>41260.39</v>
      </c>
      <c r="L443" t="s">
        <v>18</v>
      </c>
      <c r="M443" t="s">
        <v>19</v>
      </c>
    </row>
    <row r="444" spans="1:13" hidden="1" x14ac:dyDescent="0.25">
      <c r="A444" s="5">
        <v>45748</v>
      </c>
      <c r="B444" t="s">
        <v>20</v>
      </c>
      <c r="C444" t="s">
        <v>41</v>
      </c>
      <c r="D444" t="s">
        <v>30</v>
      </c>
      <c r="E444" t="str">
        <f t="shared" si="7"/>
        <v>ADM</v>
      </c>
      <c r="F444" t="s">
        <v>23</v>
      </c>
      <c r="G444" t="s">
        <v>23</v>
      </c>
      <c r="J444" t="s">
        <v>17</v>
      </c>
      <c r="K444" s="23">
        <v>-11.99</v>
      </c>
      <c r="L444" t="s">
        <v>24</v>
      </c>
      <c r="M444" t="s">
        <v>25</v>
      </c>
    </row>
    <row r="445" spans="1:13" hidden="1" x14ac:dyDescent="0.25">
      <c r="A445" s="5">
        <v>45748</v>
      </c>
      <c r="B445" t="s">
        <v>20</v>
      </c>
      <c r="C445" t="s">
        <v>32</v>
      </c>
      <c r="D445" t="s">
        <v>30</v>
      </c>
      <c r="E445" t="str">
        <f t="shared" si="7"/>
        <v>ADM</v>
      </c>
      <c r="F445" t="s">
        <v>23</v>
      </c>
      <c r="G445" t="s">
        <v>23</v>
      </c>
      <c r="J445" t="s">
        <v>17</v>
      </c>
      <c r="K445" s="23">
        <v>-58.9</v>
      </c>
      <c r="L445" t="s">
        <v>24</v>
      </c>
      <c r="M445" t="s">
        <v>25</v>
      </c>
    </row>
    <row r="446" spans="1:13" hidden="1" x14ac:dyDescent="0.25">
      <c r="A446" s="5">
        <v>45748</v>
      </c>
      <c r="B446" t="s">
        <v>20</v>
      </c>
      <c r="C446" t="s">
        <v>32</v>
      </c>
      <c r="D446" t="s">
        <v>30</v>
      </c>
      <c r="E446" t="str">
        <f t="shared" si="7"/>
        <v>ADM</v>
      </c>
      <c r="F446" t="s">
        <v>23</v>
      </c>
      <c r="G446" t="s">
        <v>23</v>
      </c>
      <c r="J446" t="s">
        <v>17</v>
      </c>
      <c r="K446" s="23">
        <v>-58.9</v>
      </c>
      <c r="L446" t="s">
        <v>24</v>
      </c>
      <c r="M446" t="s">
        <v>25</v>
      </c>
    </row>
    <row r="447" spans="1:13" hidden="1" x14ac:dyDescent="0.25">
      <c r="A447" s="5">
        <v>45748</v>
      </c>
      <c r="B447" t="s">
        <v>20</v>
      </c>
      <c r="C447" t="s">
        <v>46</v>
      </c>
      <c r="D447" t="s">
        <v>30</v>
      </c>
      <c r="E447" t="str">
        <f t="shared" si="7"/>
        <v>ADM</v>
      </c>
      <c r="F447" t="s">
        <v>23</v>
      </c>
      <c r="G447" t="s">
        <v>23</v>
      </c>
      <c r="J447" t="s">
        <v>17</v>
      </c>
      <c r="K447" s="23">
        <v>-119.9</v>
      </c>
      <c r="L447" t="s">
        <v>24</v>
      </c>
      <c r="M447" t="s">
        <v>25</v>
      </c>
    </row>
    <row r="448" spans="1:13" hidden="1" x14ac:dyDescent="0.25">
      <c r="A448" s="5">
        <v>45748</v>
      </c>
      <c r="B448" t="s">
        <v>20</v>
      </c>
      <c r="C448" t="s">
        <v>387</v>
      </c>
      <c r="D448" t="s">
        <v>28</v>
      </c>
      <c r="E448" t="str">
        <f t="shared" si="7"/>
        <v>ADM</v>
      </c>
      <c r="F448" t="s">
        <v>23</v>
      </c>
      <c r="G448" t="s">
        <v>23</v>
      </c>
      <c r="J448" t="s">
        <v>143</v>
      </c>
      <c r="K448" s="23">
        <v>-54.3</v>
      </c>
      <c r="L448" t="s">
        <v>24</v>
      </c>
      <c r="M448" t="s">
        <v>25</v>
      </c>
    </row>
    <row r="449" spans="1:13" hidden="1" x14ac:dyDescent="0.25">
      <c r="A449" s="5">
        <v>45748</v>
      </c>
      <c r="B449" t="s">
        <v>20</v>
      </c>
      <c r="C449" t="s">
        <v>502</v>
      </c>
      <c r="D449" t="s">
        <v>616</v>
      </c>
      <c r="E449" t="str">
        <f t="shared" si="7"/>
        <v>COM</v>
      </c>
      <c r="F449" t="s">
        <v>23</v>
      </c>
      <c r="G449" t="s">
        <v>23</v>
      </c>
      <c r="J449" t="s">
        <v>143</v>
      </c>
      <c r="K449" s="23">
        <v>-555.33000000000004</v>
      </c>
      <c r="L449" t="s">
        <v>24</v>
      </c>
      <c r="M449" t="s">
        <v>25</v>
      </c>
    </row>
    <row r="450" spans="1:13" hidden="1" x14ac:dyDescent="0.25">
      <c r="A450" s="5">
        <v>45749</v>
      </c>
      <c r="B450" t="s">
        <v>50</v>
      </c>
      <c r="C450" t="s">
        <v>503</v>
      </c>
      <c r="D450" t="s">
        <v>300</v>
      </c>
      <c r="E450" t="str">
        <f t="shared" si="7"/>
        <v>VAR</v>
      </c>
      <c r="F450" t="s">
        <v>500</v>
      </c>
      <c r="G450" t="s">
        <v>500</v>
      </c>
      <c r="I450" t="s">
        <v>501</v>
      </c>
      <c r="J450" t="s">
        <v>17</v>
      </c>
      <c r="K450" s="23">
        <v>-41260.39</v>
      </c>
      <c r="L450" t="s">
        <v>24</v>
      </c>
      <c r="M450" t="s">
        <v>25</v>
      </c>
    </row>
    <row r="451" spans="1:13" hidden="1" x14ac:dyDescent="0.25">
      <c r="A451" s="5">
        <v>45749</v>
      </c>
      <c r="B451" t="s">
        <v>50</v>
      </c>
      <c r="C451" t="s">
        <v>71</v>
      </c>
      <c r="D451" t="s">
        <v>72</v>
      </c>
      <c r="E451" t="str">
        <f t="shared" si="7"/>
        <v>FIN</v>
      </c>
      <c r="F451" t="s">
        <v>23</v>
      </c>
      <c r="G451" t="s">
        <v>23</v>
      </c>
      <c r="J451" t="s">
        <v>17</v>
      </c>
      <c r="K451" s="23">
        <v>-79.5</v>
      </c>
      <c r="L451" t="s">
        <v>24</v>
      </c>
      <c r="M451" t="s">
        <v>25</v>
      </c>
    </row>
    <row r="452" spans="1:13" hidden="1" x14ac:dyDescent="0.25">
      <c r="A452" s="5">
        <v>45749</v>
      </c>
      <c r="B452" t="s">
        <v>50</v>
      </c>
      <c r="C452" t="s">
        <v>432</v>
      </c>
      <c r="D452" t="s">
        <v>103</v>
      </c>
      <c r="E452" t="str">
        <f t="shared" si="7"/>
        <v>ADM</v>
      </c>
      <c r="F452" t="s">
        <v>104</v>
      </c>
      <c r="G452" t="s">
        <v>104</v>
      </c>
      <c r="J452" t="s">
        <v>143</v>
      </c>
      <c r="K452" s="23">
        <v>-290</v>
      </c>
      <c r="L452" t="s">
        <v>24</v>
      </c>
      <c r="M452" t="s">
        <v>25</v>
      </c>
    </row>
    <row r="453" spans="1:13" hidden="1" x14ac:dyDescent="0.25">
      <c r="A453" s="5">
        <v>45749</v>
      </c>
      <c r="B453" t="s">
        <v>50</v>
      </c>
      <c r="C453" t="s">
        <v>504</v>
      </c>
      <c r="D453" t="s">
        <v>149</v>
      </c>
      <c r="E453" t="str">
        <f t="shared" si="7"/>
        <v>ADM</v>
      </c>
      <c r="F453" t="s">
        <v>505</v>
      </c>
      <c r="G453" t="s">
        <v>505</v>
      </c>
      <c r="J453" t="s">
        <v>143</v>
      </c>
      <c r="K453" s="23">
        <v>-280</v>
      </c>
      <c r="L453" t="s">
        <v>24</v>
      </c>
      <c r="M453" t="s">
        <v>25</v>
      </c>
    </row>
    <row r="454" spans="1:13" hidden="1" x14ac:dyDescent="0.25">
      <c r="A454" s="5">
        <v>45750</v>
      </c>
      <c r="B454" t="s">
        <v>54</v>
      </c>
      <c r="C454" t="s">
        <v>506</v>
      </c>
      <c r="D454" t="s">
        <v>300</v>
      </c>
      <c r="E454" t="str">
        <f t="shared" si="7"/>
        <v>VAR</v>
      </c>
      <c r="F454" t="s">
        <v>67</v>
      </c>
      <c r="G454" t="s">
        <v>67</v>
      </c>
      <c r="J454" t="s">
        <v>143</v>
      </c>
      <c r="K454" s="23">
        <v>-100</v>
      </c>
      <c r="L454" t="s">
        <v>24</v>
      </c>
      <c r="M454" t="s">
        <v>25</v>
      </c>
    </row>
    <row r="455" spans="1:13" hidden="1" x14ac:dyDescent="0.25">
      <c r="A455" s="5">
        <v>45750</v>
      </c>
      <c r="B455" t="s">
        <v>54</v>
      </c>
      <c r="C455" t="s">
        <v>506</v>
      </c>
      <c r="D455" t="s">
        <v>300</v>
      </c>
      <c r="E455" t="str">
        <f t="shared" si="7"/>
        <v>VAR</v>
      </c>
      <c r="F455" t="s">
        <v>304</v>
      </c>
      <c r="G455" t="s">
        <v>304</v>
      </c>
      <c r="J455" t="s">
        <v>143</v>
      </c>
      <c r="K455" s="23">
        <v>-100</v>
      </c>
      <c r="L455" t="s">
        <v>24</v>
      </c>
      <c r="M455" t="s">
        <v>25</v>
      </c>
    </row>
    <row r="456" spans="1:13" hidden="1" x14ac:dyDescent="0.25">
      <c r="A456" s="5">
        <v>45750</v>
      </c>
      <c r="B456" t="s">
        <v>54</v>
      </c>
      <c r="C456" t="s">
        <v>506</v>
      </c>
      <c r="D456" t="s">
        <v>300</v>
      </c>
      <c r="E456" t="str">
        <f t="shared" si="7"/>
        <v>VAR</v>
      </c>
      <c r="F456" t="s">
        <v>327</v>
      </c>
      <c r="G456" t="s">
        <v>327</v>
      </c>
      <c r="J456" t="s">
        <v>143</v>
      </c>
      <c r="K456" s="23">
        <v>-100</v>
      </c>
      <c r="L456" t="s">
        <v>24</v>
      </c>
      <c r="M456" t="s">
        <v>25</v>
      </c>
    </row>
    <row r="457" spans="1:13" hidden="1" x14ac:dyDescent="0.25">
      <c r="A457" s="5">
        <v>45750</v>
      </c>
      <c r="B457" t="s">
        <v>54</v>
      </c>
      <c r="C457" t="s">
        <v>506</v>
      </c>
      <c r="D457" t="s">
        <v>300</v>
      </c>
      <c r="E457" t="str">
        <f t="shared" si="7"/>
        <v>VAR</v>
      </c>
      <c r="F457" t="s">
        <v>208</v>
      </c>
      <c r="G457" t="s">
        <v>208</v>
      </c>
      <c r="J457" t="s">
        <v>143</v>
      </c>
      <c r="K457" s="23">
        <v>-100</v>
      </c>
      <c r="L457" t="s">
        <v>24</v>
      </c>
      <c r="M457" t="s">
        <v>25</v>
      </c>
    </row>
    <row r="458" spans="1:13" hidden="1" x14ac:dyDescent="0.25">
      <c r="A458" s="5">
        <v>45750</v>
      </c>
      <c r="B458" t="s">
        <v>54</v>
      </c>
      <c r="C458" t="s">
        <v>507</v>
      </c>
      <c r="D458" t="s">
        <v>508</v>
      </c>
      <c r="E458" t="str">
        <f t="shared" si="7"/>
        <v>ADM</v>
      </c>
      <c r="F458" t="s">
        <v>509</v>
      </c>
      <c r="G458" t="s">
        <v>509</v>
      </c>
      <c r="J458" t="s">
        <v>143</v>
      </c>
      <c r="K458" s="23">
        <v>-2000</v>
      </c>
      <c r="L458" t="s">
        <v>24</v>
      </c>
      <c r="M458" t="s">
        <v>25</v>
      </c>
    </row>
    <row r="459" spans="1:13" hidden="1" x14ac:dyDescent="0.25">
      <c r="A459" s="5">
        <v>45750</v>
      </c>
      <c r="B459" t="s">
        <v>54</v>
      </c>
      <c r="C459" t="s">
        <v>506</v>
      </c>
      <c r="D459" t="s">
        <v>300</v>
      </c>
      <c r="E459" t="str">
        <f t="shared" si="7"/>
        <v>VAR</v>
      </c>
      <c r="F459" t="s">
        <v>205</v>
      </c>
      <c r="G459" t="s">
        <v>205</v>
      </c>
      <c r="J459" t="s">
        <v>143</v>
      </c>
      <c r="K459" s="23">
        <v>-100</v>
      </c>
      <c r="L459" t="s">
        <v>24</v>
      </c>
      <c r="M459" t="s">
        <v>25</v>
      </c>
    </row>
    <row r="460" spans="1:13" hidden="1" x14ac:dyDescent="0.25">
      <c r="A460" s="5">
        <v>45750</v>
      </c>
      <c r="B460" t="s">
        <v>54</v>
      </c>
      <c r="C460" t="s">
        <v>510</v>
      </c>
      <c r="D460" t="s">
        <v>28</v>
      </c>
      <c r="E460" t="str">
        <f t="shared" si="7"/>
        <v>ADM</v>
      </c>
      <c r="F460" t="s">
        <v>511</v>
      </c>
      <c r="G460" t="s">
        <v>511</v>
      </c>
      <c r="J460" t="s">
        <v>143</v>
      </c>
      <c r="K460" s="23">
        <v>-248</v>
      </c>
      <c r="L460" t="s">
        <v>24</v>
      </c>
      <c r="M460" t="s">
        <v>25</v>
      </c>
    </row>
    <row r="461" spans="1:13" hidden="1" x14ac:dyDescent="0.25">
      <c r="A461" s="5">
        <v>45750</v>
      </c>
      <c r="B461" t="s">
        <v>54</v>
      </c>
      <c r="C461" t="s">
        <v>506</v>
      </c>
      <c r="D461" t="s">
        <v>300</v>
      </c>
      <c r="E461" t="str">
        <f t="shared" si="7"/>
        <v>VAR</v>
      </c>
      <c r="F461" t="s">
        <v>209</v>
      </c>
      <c r="G461" t="s">
        <v>209</v>
      </c>
      <c r="J461" t="s">
        <v>143</v>
      </c>
      <c r="K461" s="23">
        <v>-100</v>
      </c>
      <c r="L461" t="s">
        <v>24</v>
      </c>
      <c r="M461" t="s">
        <v>25</v>
      </c>
    </row>
    <row r="462" spans="1:13" hidden="1" x14ac:dyDescent="0.25">
      <c r="A462" s="5">
        <v>45751</v>
      </c>
      <c r="B462" t="s">
        <v>54</v>
      </c>
      <c r="C462" t="s">
        <v>512</v>
      </c>
      <c r="D462" t="s">
        <v>99</v>
      </c>
      <c r="E462" t="str">
        <f t="shared" si="7"/>
        <v>ADM</v>
      </c>
      <c r="F462" t="s">
        <v>100</v>
      </c>
      <c r="G462" t="s">
        <v>100</v>
      </c>
      <c r="J462" t="s">
        <v>143</v>
      </c>
      <c r="K462" s="23">
        <v>-340</v>
      </c>
      <c r="L462" t="s">
        <v>24</v>
      </c>
      <c r="M462" t="s">
        <v>25</v>
      </c>
    </row>
    <row r="463" spans="1:13" hidden="1" x14ac:dyDescent="0.25">
      <c r="A463" s="5">
        <v>45751</v>
      </c>
      <c r="B463" t="s">
        <v>54</v>
      </c>
      <c r="C463" t="s">
        <v>298</v>
      </c>
      <c r="D463" t="s">
        <v>56</v>
      </c>
      <c r="E463" t="str">
        <f t="shared" si="7"/>
        <v>Honorários</v>
      </c>
      <c r="F463" t="s">
        <v>135</v>
      </c>
      <c r="G463" t="s">
        <v>135</v>
      </c>
      <c r="I463" t="s">
        <v>136</v>
      </c>
      <c r="J463" t="s">
        <v>143</v>
      </c>
      <c r="K463" s="23">
        <v>303.60000000000002</v>
      </c>
      <c r="L463" t="s">
        <v>18</v>
      </c>
      <c r="M463" t="s">
        <v>19</v>
      </c>
    </row>
    <row r="464" spans="1:13" hidden="1" x14ac:dyDescent="0.25">
      <c r="A464" s="5">
        <v>45751</v>
      </c>
      <c r="B464" t="s">
        <v>54</v>
      </c>
      <c r="C464" t="s">
        <v>134</v>
      </c>
      <c r="D464" t="s">
        <v>56</v>
      </c>
      <c r="E464" t="str">
        <f t="shared" si="7"/>
        <v>Honorários</v>
      </c>
      <c r="F464" t="s">
        <v>513</v>
      </c>
      <c r="G464" t="s">
        <v>513</v>
      </c>
      <c r="I464" t="s">
        <v>75</v>
      </c>
      <c r="J464" t="s">
        <v>17</v>
      </c>
      <c r="K464" s="23">
        <v>1367.7</v>
      </c>
      <c r="L464" t="s">
        <v>18</v>
      </c>
      <c r="M464" t="s">
        <v>19</v>
      </c>
    </row>
    <row r="465" spans="1:13" hidden="1" x14ac:dyDescent="0.25">
      <c r="A465" s="5">
        <v>45751</v>
      </c>
      <c r="B465" t="s">
        <v>54</v>
      </c>
      <c r="C465" t="s">
        <v>514</v>
      </c>
      <c r="D465" t="s">
        <v>611</v>
      </c>
      <c r="E465" t="str">
        <f t="shared" ref="E465:E528" si="8">IF(OR(D465="Honorários",D465="Despesa do cliente"),D465,LEFT(D465,3))</f>
        <v>COM</v>
      </c>
      <c r="F465" t="s">
        <v>515</v>
      </c>
      <c r="G465" t="s">
        <v>515</v>
      </c>
      <c r="J465" t="s">
        <v>143</v>
      </c>
      <c r="K465" s="23">
        <v>-110</v>
      </c>
      <c r="L465" t="s">
        <v>24</v>
      </c>
      <c r="M465" t="s">
        <v>25</v>
      </c>
    </row>
    <row r="466" spans="1:13" hidden="1" x14ac:dyDescent="0.25">
      <c r="A466" s="5">
        <v>45752</v>
      </c>
      <c r="B466" t="s">
        <v>54</v>
      </c>
      <c r="C466" t="s">
        <v>395</v>
      </c>
      <c r="D466" t="s">
        <v>56</v>
      </c>
      <c r="E466" t="str">
        <f t="shared" si="8"/>
        <v>Honorários</v>
      </c>
      <c r="F466" t="s">
        <v>396</v>
      </c>
      <c r="G466" t="s">
        <v>396</v>
      </c>
      <c r="J466" t="s">
        <v>143</v>
      </c>
      <c r="K466" s="23">
        <v>300</v>
      </c>
      <c r="L466" t="s">
        <v>18</v>
      </c>
      <c r="M466" t="s">
        <v>83</v>
      </c>
    </row>
    <row r="467" spans="1:13" hidden="1" x14ac:dyDescent="0.25">
      <c r="A467" s="5">
        <v>45754</v>
      </c>
      <c r="B467" t="s">
        <v>50</v>
      </c>
      <c r="C467" t="s">
        <v>389</v>
      </c>
      <c r="D467" t="s">
        <v>96</v>
      </c>
      <c r="E467" t="str">
        <f t="shared" si="8"/>
        <v>ADM</v>
      </c>
      <c r="F467" t="s">
        <v>97</v>
      </c>
      <c r="G467" t="s">
        <v>97</v>
      </c>
      <c r="J467" t="s">
        <v>17</v>
      </c>
      <c r="K467" s="23">
        <v>-1271.82</v>
      </c>
      <c r="L467" t="s">
        <v>24</v>
      </c>
      <c r="M467" t="s">
        <v>25</v>
      </c>
    </row>
    <row r="468" spans="1:13" hidden="1" x14ac:dyDescent="0.25">
      <c r="A468" s="5">
        <v>45754</v>
      </c>
      <c r="B468" t="s">
        <v>50</v>
      </c>
      <c r="C468" t="s">
        <v>388</v>
      </c>
      <c r="D468" t="s">
        <v>96</v>
      </c>
      <c r="E468" t="str">
        <f t="shared" si="8"/>
        <v>ADM</v>
      </c>
      <c r="F468" t="s">
        <v>97</v>
      </c>
      <c r="G468" t="s">
        <v>97</v>
      </c>
      <c r="J468" t="s">
        <v>17</v>
      </c>
      <c r="K468" s="23">
        <v>-1271.26</v>
      </c>
      <c r="L468" t="s">
        <v>24</v>
      </c>
      <c r="M468" t="s">
        <v>25</v>
      </c>
    </row>
    <row r="469" spans="1:13" hidden="1" x14ac:dyDescent="0.25">
      <c r="A469" s="5">
        <v>45754</v>
      </c>
      <c r="B469" t="s">
        <v>50</v>
      </c>
      <c r="C469" t="s">
        <v>393</v>
      </c>
      <c r="D469" t="s">
        <v>96</v>
      </c>
      <c r="E469" t="str">
        <f t="shared" si="8"/>
        <v>ADM</v>
      </c>
      <c r="F469" t="s">
        <v>97</v>
      </c>
      <c r="G469" t="s">
        <v>97</v>
      </c>
      <c r="J469" t="s">
        <v>17</v>
      </c>
      <c r="K469" s="23">
        <v>-52.41</v>
      </c>
      <c r="L469" t="s">
        <v>24</v>
      </c>
      <c r="M469" t="s">
        <v>25</v>
      </c>
    </row>
    <row r="470" spans="1:13" hidden="1" x14ac:dyDescent="0.25">
      <c r="A470" s="5">
        <v>45754</v>
      </c>
      <c r="B470" t="s">
        <v>50</v>
      </c>
      <c r="C470" t="s">
        <v>516</v>
      </c>
      <c r="D470" t="s">
        <v>198</v>
      </c>
      <c r="E470" t="str">
        <f t="shared" si="8"/>
        <v>PES</v>
      </c>
      <c r="F470" t="s">
        <v>205</v>
      </c>
      <c r="G470" t="s">
        <v>205</v>
      </c>
      <c r="J470" t="s">
        <v>17</v>
      </c>
      <c r="K470" s="23">
        <v>-519.96</v>
      </c>
      <c r="L470" t="s">
        <v>24</v>
      </c>
      <c r="M470" t="s">
        <v>25</v>
      </c>
    </row>
    <row r="471" spans="1:13" hidden="1" x14ac:dyDescent="0.25">
      <c r="A471" s="5">
        <v>45754</v>
      </c>
      <c r="B471" t="s">
        <v>50</v>
      </c>
      <c r="C471" t="s">
        <v>101</v>
      </c>
      <c r="D471" t="s">
        <v>15</v>
      </c>
      <c r="E471" t="str">
        <f t="shared" si="8"/>
        <v>ADM</v>
      </c>
      <c r="F471" t="s">
        <v>23</v>
      </c>
      <c r="G471" t="s">
        <v>23</v>
      </c>
      <c r="J471" t="s">
        <v>17</v>
      </c>
      <c r="K471" s="23">
        <v>-3059.88</v>
      </c>
      <c r="L471" t="s">
        <v>24</v>
      </c>
      <c r="M471" t="s">
        <v>25</v>
      </c>
    </row>
    <row r="472" spans="1:13" hidden="1" x14ac:dyDescent="0.25">
      <c r="A472" s="5">
        <v>45754</v>
      </c>
      <c r="B472" t="s">
        <v>50</v>
      </c>
      <c r="C472" t="s">
        <v>391</v>
      </c>
      <c r="D472" t="s">
        <v>96</v>
      </c>
      <c r="E472" t="str">
        <f t="shared" si="8"/>
        <v>ADM</v>
      </c>
      <c r="F472" t="s">
        <v>97</v>
      </c>
      <c r="G472" t="s">
        <v>97</v>
      </c>
      <c r="J472" t="s">
        <v>17</v>
      </c>
      <c r="K472" s="23">
        <v>-52.41</v>
      </c>
      <c r="L472" t="s">
        <v>24</v>
      </c>
      <c r="M472" t="s">
        <v>25</v>
      </c>
    </row>
    <row r="473" spans="1:13" hidden="1" x14ac:dyDescent="0.25">
      <c r="A473" s="5">
        <v>45754</v>
      </c>
      <c r="B473" t="s">
        <v>54</v>
      </c>
      <c r="C473" t="s">
        <v>517</v>
      </c>
      <c r="D473" t="s">
        <v>300</v>
      </c>
      <c r="E473" t="str">
        <f t="shared" si="8"/>
        <v>VAR</v>
      </c>
      <c r="F473" t="s">
        <v>513</v>
      </c>
      <c r="G473" t="s">
        <v>513</v>
      </c>
      <c r="I473" t="s">
        <v>75</v>
      </c>
      <c r="J473" t="s">
        <v>17</v>
      </c>
      <c r="K473" s="23">
        <v>-410.31</v>
      </c>
      <c r="L473" t="s">
        <v>24</v>
      </c>
      <c r="M473" t="s">
        <v>25</v>
      </c>
    </row>
    <row r="474" spans="1:13" hidden="1" x14ac:dyDescent="0.25">
      <c r="A474" s="5">
        <v>45754</v>
      </c>
      <c r="B474" t="s">
        <v>50</v>
      </c>
      <c r="C474" t="s">
        <v>118</v>
      </c>
      <c r="D474" t="s">
        <v>113</v>
      </c>
      <c r="E474" t="str">
        <f t="shared" si="8"/>
        <v>ADM</v>
      </c>
      <c r="F474" t="s">
        <v>114</v>
      </c>
      <c r="G474" t="s">
        <v>114</v>
      </c>
      <c r="J474" t="s">
        <v>17</v>
      </c>
      <c r="K474" s="23">
        <v>-137.37</v>
      </c>
      <c r="L474" t="s">
        <v>24</v>
      </c>
      <c r="M474" t="s">
        <v>25</v>
      </c>
    </row>
    <row r="475" spans="1:13" hidden="1" x14ac:dyDescent="0.25">
      <c r="A475" s="5">
        <v>45754</v>
      </c>
      <c r="B475" t="s">
        <v>50</v>
      </c>
      <c r="C475" t="s">
        <v>390</v>
      </c>
      <c r="D475" t="s">
        <v>96</v>
      </c>
      <c r="E475" t="str">
        <f t="shared" si="8"/>
        <v>ADM</v>
      </c>
      <c r="F475" t="s">
        <v>97</v>
      </c>
      <c r="G475" t="s">
        <v>97</v>
      </c>
      <c r="J475" t="s">
        <v>17</v>
      </c>
      <c r="K475" s="23">
        <v>-52.41</v>
      </c>
      <c r="L475" t="s">
        <v>24</v>
      </c>
      <c r="M475" t="s">
        <v>25</v>
      </c>
    </row>
    <row r="476" spans="1:13" hidden="1" x14ac:dyDescent="0.25">
      <c r="A476" s="5">
        <v>45754</v>
      </c>
      <c r="B476" t="s">
        <v>50</v>
      </c>
      <c r="C476" t="s">
        <v>392</v>
      </c>
      <c r="D476" t="s">
        <v>96</v>
      </c>
      <c r="E476" t="str">
        <f t="shared" si="8"/>
        <v>ADM</v>
      </c>
      <c r="F476" t="s">
        <v>97</v>
      </c>
      <c r="G476" t="s">
        <v>97</v>
      </c>
      <c r="J476" t="s">
        <v>17</v>
      </c>
      <c r="K476" s="23">
        <v>-52.41</v>
      </c>
      <c r="L476" t="s">
        <v>24</v>
      </c>
      <c r="M476" t="s">
        <v>25</v>
      </c>
    </row>
    <row r="477" spans="1:13" hidden="1" x14ac:dyDescent="0.25">
      <c r="A477" s="5">
        <v>45754</v>
      </c>
      <c r="B477" t="s">
        <v>50</v>
      </c>
      <c r="C477" t="s">
        <v>394</v>
      </c>
      <c r="D477" t="s">
        <v>96</v>
      </c>
      <c r="E477" t="str">
        <f t="shared" si="8"/>
        <v>ADM</v>
      </c>
      <c r="F477" t="s">
        <v>97</v>
      </c>
      <c r="G477" t="s">
        <v>97</v>
      </c>
      <c r="J477" t="s">
        <v>17</v>
      </c>
      <c r="K477" s="23">
        <v>-52.41</v>
      </c>
      <c r="L477" t="s">
        <v>24</v>
      </c>
      <c r="M477" t="s">
        <v>25</v>
      </c>
    </row>
    <row r="478" spans="1:13" hidden="1" x14ac:dyDescent="0.25">
      <c r="A478" s="5">
        <v>45755</v>
      </c>
      <c r="B478" t="s">
        <v>54</v>
      </c>
      <c r="C478" t="s">
        <v>518</v>
      </c>
      <c r="D478" t="s">
        <v>56</v>
      </c>
      <c r="E478" t="str">
        <f t="shared" si="8"/>
        <v>Honorários</v>
      </c>
      <c r="F478" t="s">
        <v>85</v>
      </c>
      <c r="G478" t="s">
        <v>85</v>
      </c>
      <c r="I478" t="s">
        <v>86</v>
      </c>
      <c r="J478" t="s">
        <v>17</v>
      </c>
      <c r="K478" s="23">
        <v>1286.8699999999999</v>
      </c>
      <c r="L478" t="s">
        <v>18</v>
      </c>
      <c r="M478" t="s">
        <v>19</v>
      </c>
    </row>
    <row r="479" spans="1:13" hidden="1" x14ac:dyDescent="0.25">
      <c r="A479" s="5">
        <v>45755</v>
      </c>
      <c r="B479" t="s">
        <v>50</v>
      </c>
      <c r="C479" t="s">
        <v>437</v>
      </c>
      <c r="D479" t="s">
        <v>113</v>
      </c>
      <c r="E479" t="str">
        <f t="shared" si="8"/>
        <v>ADM</v>
      </c>
      <c r="F479" t="s">
        <v>438</v>
      </c>
      <c r="G479" t="s">
        <v>438</v>
      </c>
      <c r="J479" t="s">
        <v>17</v>
      </c>
      <c r="K479" s="23">
        <v>-251.58</v>
      </c>
      <c r="L479" t="s">
        <v>24</v>
      </c>
      <c r="M479" t="s">
        <v>25</v>
      </c>
    </row>
    <row r="480" spans="1:13" hidden="1" x14ac:dyDescent="0.25">
      <c r="A480" s="5">
        <v>45755</v>
      </c>
      <c r="B480" t="s">
        <v>13</v>
      </c>
      <c r="C480" t="s">
        <v>47</v>
      </c>
      <c r="D480" t="s">
        <v>30</v>
      </c>
      <c r="E480" t="str">
        <f t="shared" si="8"/>
        <v>ADM</v>
      </c>
      <c r="F480" t="s">
        <v>16</v>
      </c>
      <c r="G480" t="s">
        <v>16</v>
      </c>
      <c r="J480" t="s">
        <v>17</v>
      </c>
      <c r="K480" s="23">
        <v>-249.21</v>
      </c>
      <c r="L480" t="s">
        <v>24</v>
      </c>
      <c r="M480" t="s">
        <v>25</v>
      </c>
    </row>
    <row r="481" spans="1:13" hidden="1" x14ac:dyDescent="0.25">
      <c r="A481" s="5">
        <v>45755</v>
      </c>
      <c r="B481" t="s">
        <v>13</v>
      </c>
      <c r="C481" t="s">
        <v>48</v>
      </c>
      <c r="D481" t="s">
        <v>30</v>
      </c>
      <c r="E481" t="str">
        <f t="shared" si="8"/>
        <v>ADM</v>
      </c>
      <c r="F481" t="s">
        <v>16</v>
      </c>
      <c r="G481" t="s">
        <v>16</v>
      </c>
      <c r="J481" t="s">
        <v>17</v>
      </c>
      <c r="K481" s="23">
        <v>-126</v>
      </c>
      <c r="L481" t="s">
        <v>24</v>
      </c>
      <c r="M481" t="s">
        <v>25</v>
      </c>
    </row>
    <row r="482" spans="1:13" hidden="1" x14ac:dyDescent="0.25">
      <c r="A482" s="5">
        <v>45755</v>
      </c>
      <c r="B482" t="s">
        <v>13</v>
      </c>
      <c r="C482" t="s">
        <v>35</v>
      </c>
      <c r="D482" t="s">
        <v>30</v>
      </c>
      <c r="E482" t="str">
        <f t="shared" si="8"/>
        <v>ADM</v>
      </c>
      <c r="F482" t="s">
        <v>16</v>
      </c>
      <c r="G482" t="s">
        <v>16</v>
      </c>
      <c r="J482" t="s">
        <v>17</v>
      </c>
      <c r="K482" s="23">
        <v>-120.29</v>
      </c>
      <c r="L482" t="s">
        <v>24</v>
      </c>
      <c r="M482" t="s">
        <v>25</v>
      </c>
    </row>
    <row r="483" spans="1:13" hidden="1" x14ac:dyDescent="0.25">
      <c r="A483" s="5">
        <v>45755</v>
      </c>
      <c r="B483" t="s">
        <v>50</v>
      </c>
      <c r="C483" t="s">
        <v>91</v>
      </c>
      <c r="D483" t="s">
        <v>56</v>
      </c>
      <c r="E483" t="str">
        <f t="shared" si="8"/>
        <v>Honorários</v>
      </c>
      <c r="F483" t="s">
        <v>92</v>
      </c>
      <c r="G483" t="s">
        <v>92</v>
      </c>
      <c r="I483" t="s">
        <v>93</v>
      </c>
      <c r="J483" t="s">
        <v>17</v>
      </c>
      <c r="K483" s="23">
        <v>500</v>
      </c>
      <c r="L483" t="s">
        <v>18</v>
      </c>
      <c r="M483" t="s">
        <v>19</v>
      </c>
    </row>
    <row r="484" spans="1:13" hidden="1" x14ac:dyDescent="0.25">
      <c r="A484" s="5">
        <v>45755</v>
      </c>
      <c r="B484" t="s">
        <v>13</v>
      </c>
      <c r="C484" t="s">
        <v>29</v>
      </c>
      <c r="D484" t="s">
        <v>30</v>
      </c>
      <c r="E484" t="str">
        <f t="shared" si="8"/>
        <v>ADM</v>
      </c>
      <c r="F484" t="s">
        <v>16</v>
      </c>
      <c r="G484" t="s">
        <v>16</v>
      </c>
      <c r="J484" t="s">
        <v>17</v>
      </c>
      <c r="K484" s="23">
        <v>-456.75</v>
      </c>
      <c r="L484" t="s">
        <v>24</v>
      </c>
      <c r="M484" t="s">
        <v>25</v>
      </c>
    </row>
    <row r="485" spans="1:13" hidden="1" x14ac:dyDescent="0.25">
      <c r="A485" s="5">
        <v>45755</v>
      </c>
      <c r="B485" t="s">
        <v>13</v>
      </c>
      <c r="C485" t="s">
        <v>519</v>
      </c>
      <c r="D485" t="s">
        <v>15</v>
      </c>
      <c r="E485" t="str">
        <f t="shared" si="8"/>
        <v>ADM</v>
      </c>
      <c r="F485" t="s">
        <v>16</v>
      </c>
      <c r="G485" t="s">
        <v>16</v>
      </c>
      <c r="J485" t="s">
        <v>17</v>
      </c>
      <c r="K485" s="23">
        <v>952.25</v>
      </c>
      <c r="L485" t="s">
        <v>18</v>
      </c>
      <c r="M485" t="s">
        <v>19</v>
      </c>
    </row>
    <row r="486" spans="1:13" hidden="1" x14ac:dyDescent="0.25">
      <c r="A486" s="5">
        <v>45755</v>
      </c>
      <c r="B486" t="s">
        <v>50</v>
      </c>
      <c r="C486" t="s">
        <v>439</v>
      </c>
      <c r="D486" t="s">
        <v>113</v>
      </c>
      <c r="E486" t="str">
        <f t="shared" si="8"/>
        <v>ADM</v>
      </c>
      <c r="F486" t="s">
        <v>438</v>
      </c>
      <c r="G486" t="s">
        <v>438</v>
      </c>
      <c r="J486" t="s">
        <v>17</v>
      </c>
      <c r="K486" s="23">
        <v>-119.99</v>
      </c>
      <c r="L486" t="s">
        <v>24</v>
      </c>
      <c r="M486" t="s">
        <v>25</v>
      </c>
    </row>
    <row r="487" spans="1:13" hidden="1" x14ac:dyDescent="0.25">
      <c r="A487" s="5">
        <v>45756</v>
      </c>
      <c r="B487" t="s">
        <v>54</v>
      </c>
      <c r="C487" t="s">
        <v>520</v>
      </c>
      <c r="D487" t="s">
        <v>56</v>
      </c>
      <c r="E487" t="str">
        <f t="shared" si="8"/>
        <v>Honorários</v>
      </c>
      <c r="F487" t="s">
        <v>521</v>
      </c>
      <c r="G487" t="s">
        <v>521</v>
      </c>
      <c r="I487" t="s">
        <v>75</v>
      </c>
      <c r="J487" t="s">
        <v>143</v>
      </c>
      <c r="K487" s="23">
        <v>1868</v>
      </c>
      <c r="L487" t="s">
        <v>18</v>
      </c>
      <c r="M487" t="s">
        <v>19</v>
      </c>
    </row>
    <row r="488" spans="1:13" hidden="1" x14ac:dyDescent="0.25">
      <c r="A488" s="5">
        <v>45756</v>
      </c>
      <c r="B488" t="s">
        <v>50</v>
      </c>
      <c r="C488" t="s">
        <v>121</v>
      </c>
      <c r="D488" t="s">
        <v>56</v>
      </c>
      <c r="E488" t="str">
        <f t="shared" si="8"/>
        <v>Honorários</v>
      </c>
      <c r="F488" t="s">
        <v>85</v>
      </c>
      <c r="G488" t="s">
        <v>85</v>
      </c>
      <c r="I488" t="s">
        <v>86</v>
      </c>
      <c r="J488" t="s">
        <v>17</v>
      </c>
      <c r="K488" s="23">
        <v>3980.07</v>
      </c>
      <c r="L488" t="s">
        <v>18</v>
      </c>
      <c r="M488" t="s">
        <v>19</v>
      </c>
    </row>
    <row r="489" spans="1:13" hidden="1" x14ac:dyDescent="0.25">
      <c r="A489" s="5">
        <v>45757</v>
      </c>
      <c r="B489" t="s">
        <v>50</v>
      </c>
      <c r="C489" t="s">
        <v>127</v>
      </c>
      <c r="D489" t="s">
        <v>128</v>
      </c>
      <c r="E489" t="str">
        <f t="shared" si="8"/>
        <v>PES</v>
      </c>
      <c r="F489" t="s">
        <v>129</v>
      </c>
      <c r="G489" t="s">
        <v>129</v>
      </c>
      <c r="J489" t="s">
        <v>17</v>
      </c>
      <c r="K489" s="23">
        <v>-106.73</v>
      </c>
      <c r="L489" t="s">
        <v>24</v>
      </c>
      <c r="M489" t="s">
        <v>25</v>
      </c>
    </row>
    <row r="490" spans="1:13" hidden="1" x14ac:dyDescent="0.25">
      <c r="A490" s="5">
        <v>45757</v>
      </c>
      <c r="B490" t="s">
        <v>54</v>
      </c>
      <c r="C490" t="s">
        <v>411</v>
      </c>
      <c r="D490" t="s">
        <v>56</v>
      </c>
      <c r="E490" t="str">
        <f t="shared" si="8"/>
        <v>Honorários</v>
      </c>
      <c r="F490" t="s">
        <v>412</v>
      </c>
      <c r="G490" t="s">
        <v>412</v>
      </c>
      <c r="I490" t="s">
        <v>196</v>
      </c>
      <c r="J490" t="s">
        <v>143</v>
      </c>
      <c r="K490" s="23">
        <v>300</v>
      </c>
      <c r="L490" t="s">
        <v>18</v>
      </c>
      <c r="M490" t="s">
        <v>19</v>
      </c>
    </row>
    <row r="491" spans="1:13" hidden="1" x14ac:dyDescent="0.25">
      <c r="A491" s="5">
        <v>45757</v>
      </c>
      <c r="B491" t="s">
        <v>54</v>
      </c>
      <c r="C491" t="s">
        <v>119</v>
      </c>
      <c r="D491" t="s">
        <v>72</v>
      </c>
      <c r="E491" t="str">
        <f t="shared" si="8"/>
        <v>FIN</v>
      </c>
      <c r="F491" t="s">
        <v>120</v>
      </c>
      <c r="G491" t="s">
        <v>120</v>
      </c>
      <c r="J491" t="s">
        <v>17</v>
      </c>
      <c r="K491" s="23">
        <v>-15</v>
      </c>
      <c r="L491" t="s">
        <v>24</v>
      </c>
      <c r="M491" t="s">
        <v>25</v>
      </c>
    </row>
    <row r="492" spans="1:13" hidden="1" x14ac:dyDescent="0.25">
      <c r="A492" s="5">
        <v>45757</v>
      </c>
      <c r="B492" t="s">
        <v>54</v>
      </c>
      <c r="C492" t="s">
        <v>200</v>
      </c>
      <c r="D492" t="s">
        <v>201</v>
      </c>
      <c r="E492" t="str">
        <f t="shared" si="8"/>
        <v>DIR</v>
      </c>
      <c r="F492" t="s">
        <v>67</v>
      </c>
      <c r="G492" t="s">
        <v>67</v>
      </c>
      <c r="J492" t="s">
        <v>17</v>
      </c>
      <c r="K492" s="23">
        <v>-8000</v>
      </c>
      <c r="L492" t="s">
        <v>24</v>
      </c>
      <c r="M492" t="s">
        <v>25</v>
      </c>
    </row>
    <row r="493" spans="1:13" hidden="1" x14ac:dyDescent="0.25">
      <c r="A493" s="5">
        <v>45758</v>
      </c>
      <c r="B493" t="s">
        <v>54</v>
      </c>
      <c r="C493" t="s">
        <v>512</v>
      </c>
      <c r="D493" t="s">
        <v>99</v>
      </c>
      <c r="E493" t="str">
        <f t="shared" si="8"/>
        <v>ADM</v>
      </c>
      <c r="F493" t="s">
        <v>100</v>
      </c>
      <c r="G493" t="s">
        <v>100</v>
      </c>
      <c r="J493" t="s">
        <v>143</v>
      </c>
      <c r="K493" s="23">
        <v>-340</v>
      </c>
      <c r="L493" t="s">
        <v>24</v>
      </c>
      <c r="M493" t="s">
        <v>25</v>
      </c>
    </row>
    <row r="494" spans="1:13" hidden="1" x14ac:dyDescent="0.25">
      <c r="A494" s="5">
        <v>45761</v>
      </c>
      <c r="B494" t="s">
        <v>54</v>
      </c>
      <c r="C494" t="s">
        <v>522</v>
      </c>
      <c r="D494" t="s">
        <v>300</v>
      </c>
      <c r="E494" t="str">
        <f t="shared" si="8"/>
        <v>VAR</v>
      </c>
      <c r="F494" t="s">
        <v>85</v>
      </c>
      <c r="G494" t="s">
        <v>85</v>
      </c>
      <c r="I494" t="s">
        <v>86</v>
      </c>
      <c r="J494" t="s">
        <v>17</v>
      </c>
      <c r="K494" s="23">
        <v>-3328.56</v>
      </c>
      <c r="L494" t="s">
        <v>24</v>
      </c>
      <c r="M494" t="s">
        <v>25</v>
      </c>
    </row>
    <row r="495" spans="1:13" hidden="1" x14ac:dyDescent="0.25">
      <c r="A495" s="5">
        <v>45761</v>
      </c>
      <c r="B495" t="s">
        <v>54</v>
      </c>
      <c r="C495" t="s">
        <v>372</v>
      </c>
      <c r="D495" t="s">
        <v>56</v>
      </c>
      <c r="E495" t="str">
        <f t="shared" si="8"/>
        <v>Honorários</v>
      </c>
      <c r="F495" t="s">
        <v>523</v>
      </c>
      <c r="G495" t="s">
        <v>523</v>
      </c>
      <c r="I495" t="s">
        <v>82</v>
      </c>
      <c r="J495" t="s">
        <v>143</v>
      </c>
      <c r="K495" s="23">
        <v>24950.35</v>
      </c>
      <c r="L495" t="s">
        <v>18</v>
      </c>
      <c r="M495" t="s">
        <v>19</v>
      </c>
    </row>
    <row r="496" spans="1:13" hidden="1" x14ac:dyDescent="0.25">
      <c r="A496" s="5">
        <v>45761</v>
      </c>
      <c r="B496" t="s">
        <v>54</v>
      </c>
      <c r="C496" t="s">
        <v>524</v>
      </c>
      <c r="D496" t="s">
        <v>56</v>
      </c>
      <c r="E496" t="str">
        <f t="shared" si="8"/>
        <v>Honorários</v>
      </c>
      <c r="F496" t="s">
        <v>500</v>
      </c>
      <c r="G496" t="s">
        <v>500</v>
      </c>
      <c r="I496" t="s">
        <v>501</v>
      </c>
      <c r="J496" t="s">
        <v>17</v>
      </c>
      <c r="K496" s="23">
        <v>5306.09</v>
      </c>
      <c r="L496" t="s">
        <v>18</v>
      </c>
      <c r="M496" t="s">
        <v>19</v>
      </c>
    </row>
    <row r="497" spans="1:13" hidden="1" x14ac:dyDescent="0.25">
      <c r="A497" s="5">
        <v>45761</v>
      </c>
      <c r="B497" t="s">
        <v>54</v>
      </c>
      <c r="C497" t="s">
        <v>525</v>
      </c>
      <c r="D497" t="s">
        <v>300</v>
      </c>
      <c r="E497" t="str">
        <f t="shared" si="8"/>
        <v>VAR</v>
      </c>
      <c r="F497" t="s">
        <v>526</v>
      </c>
      <c r="G497" t="s">
        <v>526</v>
      </c>
      <c r="I497" t="s">
        <v>527</v>
      </c>
      <c r="J497" t="s">
        <v>17</v>
      </c>
      <c r="K497" s="23">
        <v>-7084.58</v>
      </c>
      <c r="L497" t="s">
        <v>24</v>
      </c>
      <c r="M497" t="s">
        <v>25</v>
      </c>
    </row>
    <row r="498" spans="1:13" hidden="1" x14ac:dyDescent="0.25">
      <c r="A498" s="5">
        <v>45762</v>
      </c>
      <c r="B498" t="s">
        <v>54</v>
      </c>
      <c r="C498" t="s">
        <v>528</v>
      </c>
      <c r="D498" t="s">
        <v>300</v>
      </c>
      <c r="E498" t="str">
        <f t="shared" si="8"/>
        <v>VAR</v>
      </c>
      <c r="F498" t="s">
        <v>529</v>
      </c>
      <c r="G498" t="s">
        <v>529</v>
      </c>
      <c r="J498" t="s">
        <v>17</v>
      </c>
      <c r="K498" s="23">
        <v>-280</v>
      </c>
      <c r="L498" t="s">
        <v>24</v>
      </c>
      <c r="M498" t="s">
        <v>25</v>
      </c>
    </row>
    <row r="499" spans="1:13" hidden="1" x14ac:dyDescent="0.25">
      <c r="A499" s="5">
        <v>45762</v>
      </c>
      <c r="B499" t="s">
        <v>54</v>
      </c>
      <c r="C499" t="s">
        <v>13</v>
      </c>
      <c r="D499" t="s">
        <v>15</v>
      </c>
      <c r="E499" t="str">
        <f t="shared" si="8"/>
        <v>ADM</v>
      </c>
      <c r="F499" t="s">
        <v>16</v>
      </c>
      <c r="G499" t="s">
        <v>16</v>
      </c>
      <c r="J499" t="s">
        <v>17</v>
      </c>
      <c r="K499" s="23">
        <v>-952.25</v>
      </c>
      <c r="L499" t="s">
        <v>24</v>
      </c>
      <c r="M499" t="s">
        <v>25</v>
      </c>
    </row>
    <row r="500" spans="1:13" hidden="1" x14ac:dyDescent="0.25">
      <c r="A500" s="5">
        <v>45762</v>
      </c>
      <c r="B500" t="s">
        <v>54</v>
      </c>
      <c r="C500" t="s">
        <v>530</v>
      </c>
      <c r="D500" t="s">
        <v>300</v>
      </c>
      <c r="E500" t="str">
        <f t="shared" si="8"/>
        <v>VAR</v>
      </c>
      <c r="F500" t="s">
        <v>531</v>
      </c>
      <c r="G500" t="s">
        <v>531</v>
      </c>
      <c r="I500" t="s">
        <v>196</v>
      </c>
      <c r="J500" t="s">
        <v>17</v>
      </c>
      <c r="K500" s="23">
        <v>-2520.44</v>
      </c>
      <c r="L500" t="s">
        <v>24</v>
      </c>
      <c r="M500" t="s">
        <v>25</v>
      </c>
    </row>
    <row r="501" spans="1:13" hidden="1" x14ac:dyDescent="0.25">
      <c r="A501" s="5">
        <v>45762</v>
      </c>
      <c r="B501" t="s">
        <v>50</v>
      </c>
      <c r="C501" t="s">
        <v>532</v>
      </c>
      <c r="D501" t="s">
        <v>56</v>
      </c>
      <c r="E501" t="str">
        <f t="shared" si="8"/>
        <v>Honorários</v>
      </c>
      <c r="F501" t="s">
        <v>531</v>
      </c>
      <c r="G501" t="s">
        <v>531</v>
      </c>
      <c r="I501" t="s">
        <v>196</v>
      </c>
      <c r="J501" t="s">
        <v>17</v>
      </c>
      <c r="K501" s="23">
        <v>14462.05</v>
      </c>
      <c r="L501" t="s">
        <v>18</v>
      </c>
      <c r="M501" t="s">
        <v>19</v>
      </c>
    </row>
    <row r="502" spans="1:13" hidden="1" x14ac:dyDescent="0.25">
      <c r="A502" s="5">
        <v>45762</v>
      </c>
      <c r="B502" t="s">
        <v>54</v>
      </c>
      <c r="C502" t="s">
        <v>533</v>
      </c>
      <c r="D502" t="s">
        <v>56</v>
      </c>
      <c r="E502" t="str">
        <f t="shared" si="8"/>
        <v>Honorários</v>
      </c>
      <c r="F502" t="s">
        <v>529</v>
      </c>
      <c r="G502" t="s">
        <v>529</v>
      </c>
      <c r="J502" t="s">
        <v>17</v>
      </c>
      <c r="K502" s="23">
        <v>400</v>
      </c>
      <c r="L502" t="s">
        <v>18</v>
      </c>
      <c r="M502" t="s">
        <v>19</v>
      </c>
    </row>
    <row r="503" spans="1:13" hidden="1" x14ac:dyDescent="0.25">
      <c r="A503" s="5">
        <v>45762</v>
      </c>
      <c r="B503" t="s">
        <v>50</v>
      </c>
      <c r="C503" t="s">
        <v>534</v>
      </c>
      <c r="D503" t="s">
        <v>56</v>
      </c>
      <c r="E503" t="str">
        <f t="shared" si="8"/>
        <v>Honorários</v>
      </c>
      <c r="F503" t="s">
        <v>495</v>
      </c>
      <c r="G503" t="s">
        <v>495</v>
      </c>
      <c r="I503" t="s">
        <v>58</v>
      </c>
      <c r="J503" t="s">
        <v>143</v>
      </c>
      <c r="K503" s="23">
        <v>6886.99</v>
      </c>
      <c r="L503" t="s">
        <v>18</v>
      </c>
      <c r="M503" t="s">
        <v>19</v>
      </c>
    </row>
    <row r="504" spans="1:13" hidden="1" x14ac:dyDescent="0.25">
      <c r="A504" s="5">
        <v>45762</v>
      </c>
      <c r="B504" t="s">
        <v>50</v>
      </c>
      <c r="C504" t="s">
        <v>535</v>
      </c>
      <c r="D504" t="s">
        <v>56</v>
      </c>
      <c r="E504" t="str">
        <f t="shared" si="8"/>
        <v>Honorários</v>
      </c>
      <c r="F504" t="s">
        <v>526</v>
      </c>
      <c r="G504" t="s">
        <v>526</v>
      </c>
      <c r="I504" t="s">
        <v>527</v>
      </c>
      <c r="J504" t="s">
        <v>143</v>
      </c>
      <c r="K504" s="23">
        <v>11614.45</v>
      </c>
      <c r="L504" t="s">
        <v>18</v>
      </c>
      <c r="M504" t="s">
        <v>19</v>
      </c>
    </row>
    <row r="505" spans="1:13" hidden="1" x14ac:dyDescent="0.25">
      <c r="A505" s="5">
        <v>45763</v>
      </c>
      <c r="B505" t="s">
        <v>54</v>
      </c>
      <c r="C505" t="s">
        <v>536</v>
      </c>
      <c r="D505" t="s">
        <v>99</v>
      </c>
      <c r="E505" t="str">
        <f t="shared" si="8"/>
        <v>ADM</v>
      </c>
      <c r="F505" t="s">
        <v>100</v>
      </c>
      <c r="G505" t="s">
        <v>100</v>
      </c>
      <c r="J505" t="s">
        <v>143</v>
      </c>
      <c r="K505" s="23">
        <v>-170</v>
      </c>
      <c r="L505" t="s">
        <v>24</v>
      </c>
      <c r="M505" t="s">
        <v>25</v>
      </c>
    </row>
    <row r="506" spans="1:13" hidden="1" x14ac:dyDescent="0.25">
      <c r="A506" s="5">
        <v>45767</v>
      </c>
      <c r="B506" t="s">
        <v>67</v>
      </c>
      <c r="C506" t="s">
        <v>110</v>
      </c>
      <c r="D506" t="s">
        <v>56</v>
      </c>
      <c r="E506" t="str">
        <f t="shared" si="8"/>
        <v>Honorários</v>
      </c>
      <c r="F506" t="s">
        <v>111</v>
      </c>
      <c r="G506" t="s">
        <v>111</v>
      </c>
      <c r="J506" t="s">
        <v>17</v>
      </c>
      <c r="K506" s="23">
        <v>354</v>
      </c>
      <c r="L506" t="s">
        <v>18</v>
      </c>
      <c r="M506" t="s">
        <v>83</v>
      </c>
    </row>
    <row r="507" spans="1:13" hidden="1" x14ac:dyDescent="0.25">
      <c r="A507" s="5">
        <v>45768</v>
      </c>
      <c r="B507" t="s">
        <v>50</v>
      </c>
      <c r="C507" t="s">
        <v>170</v>
      </c>
      <c r="D507" t="s">
        <v>56</v>
      </c>
      <c r="E507" t="str">
        <f t="shared" si="8"/>
        <v>Honorários</v>
      </c>
      <c r="F507" t="s">
        <v>171</v>
      </c>
      <c r="G507" t="s">
        <v>171</v>
      </c>
      <c r="I507" t="s">
        <v>172</v>
      </c>
      <c r="J507" t="s">
        <v>17</v>
      </c>
      <c r="K507" s="23">
        <v>119.35</v>
      </c>
      <c r="L507" t="s">
        <v>18</v>
      </c>
      <c r="M507" t="s">
        <v>83</v>
      </c>
    </row>
    <row r="508" spans="1:13" hidden="1" x14ac:dyDescent="0.25">
      <c r="A508" s="5">
        <v>45769</v>
      </c>
      <c r="B508" t="s">
        <v>50</v>
      </c>
      <c r="C508" t="s">
        <v>355</v>
      </c>
      <c r="D508" t="s">
        <v>302</v>
      </c>
      <c r="E508" t="str">
        <f t="shared" si="8"/>
        <v>ADM</v>
      </c>
      <c r="F508" t="s">
        <v>303</v>
      </c>
      <c r="G508" t="s">
        <v>303</v>
      </c>
      <c r="J508" t="s">
        <v>143</v>
      </c>
      <c r="K508" s="23">
        <v>-42.74</v>
      </c>
      <c r="L508" t="s">
        <v>24</v>
      </c>
      <c r="M508" t="s">
        <v>25</v>
      </c>
    </row>
    <row r="509" spans="1:13" hidden="1" x14ac:dyDescent="0.25">
      <c r="A509" s="5">
        <v>45769</v>
      </c>
      <c r="B509" t="s">
        <v>50</v>
      </c>
      <c r="C509" t="s">
        <v>165</v>
      </c>
      <c r="D509" t="s">
        <v>166</v>
      </c>
      <c r="E509" t="str">
        <f t="shared" si="8"/>
        <v>PES</v>
      </c>
      <c r="F509" t="s">
        <v>537</v>
      </c>
      <c r="G509" t="s">
        <v>537</v>
      </c>
      <c r="J509" t="s">
        <v>17</v>
      </c>
      <c r="K509" s="23">
        <v>-2479.9499999999998</v>
      </c>
      <c r="L509" t="s">
        <v>24</v>
      </c>
      <c r="M509" t="s">
        <v>25</v>
      </c>
    </row>
    <row r="510" spans="1:13" hidden="1" x14ac:dyDescent="0.25">
      <c r="A510" s="5">
        <v>45769</v>
      </c>
      <c r="B510" t="s">
        <v>50</v>
      </c>
      <c r="C510" t="s">
        <v>296</v>
      </c>
      <c r="D510" t="s">
        <v>56</v>
      </c>
      <c r="E510" t="str">
        <f t="shared" si="8"/>
        <v>Honorários</v>
      </c>
      <c r="F510" t="s">
        <v>538</v>
      </c>
      <c r="G510" t="s">
        <v>538</v>
      </c>
      <c r="I510" t="s">
        <v>58</v>
      </c>
      <c r="J510" t="s">
        <v>143</v>
      </c>
      <c r="K510" s="23">
        <v>6879</v>
      </c>
      <c r="L510" t="s">
        <v>18</v>
      </c>
      <c r="M510" t="s">
        <v>19</v>
      </c>
    </row>
    <row r="511" spans="1:13" hidden="1" x14ac:dyDescent="0.25">
      <c r="A511" s="5">
        <v>45769</v>
      </c>
      <c r="B511" t="s">
        <v>50</v>
      </c>
      <c r="C511" t="s">
        <v>351</v>
      </c>
      <c r="D511" t="s">
        <v>302</v>
      </c>
      <c r="E511" t="str">
        <f t="shared" si="8"/>
        <v>ADM</v>
      </c>
      <c r="F511" t="s">
        <v>303</v>
      </c>
      <c r="G511" t="s">
        <v>303</v>
      </c>
      <c r="J511" t="s">
        <v>143</v>
      </c>
      <c r="K511" s="23">
        <v>-125.52</v>
      </c>
      <c r="L511" t="s">
        <v>24</v>
      </c>
      <c r="M511" t="s">
        <v>25</v>
      </c>
    </row>
    <row r="512" spans="1:13" hidden="1" x14ac:dyDescent="0.25">
      <c r="A512" s="5">
        <v>45769</v>
      </c>
      <c r="B512" t="s">
        <v>50</v>
      </c>
      <c r="C512" t="s">
        <v>350</v>
      </c>
      <c r="D512" t="s">
        <v>302</v>
      </c>
      <c r="E512" t="str">
        <f t="shared" si="8"/>
        <v>ADM</v>
      </c>
      <c r="F512" t="s">
        <v>303</v>
      </c>
      <c r="G512" t="s">
        <v>303</v>
      </c>
      <c r="H512" t="s">
        <v>285</v>
      </c>
      <c r="J512" t="s">
        <v>143</v>
      </c>
      <c r="K512" s="23">
        <v>-42.74</v>
      </c>
      <c r="L512" t="s">
        <v>24</v>
      </c>
      <c r="M512" t="s">
        <v>25</v>
      </c>
    </row>
    <row r="513" spans="1:13" hidden="1" x14ac:dyDescent="0.25">
      <c r="A513" s="5">
        <v>45769</v>
      </c>
      <c r="B513" t="s">
        <v>50</v>
      </c>
      <c r="C513" t="s">
        <v>153</v>
      </c>
      <c r="D513" t="s">
        <v>154</v>
      </c>
      <c r="E513" t="str">
        <f t="shared" si="8"/>
        <v>ADM</v>
      </c>
      <c r="F513" t="s">
        <v>155</v>
      </c>
      <c r="G513" t="s">
        <v>155</v>
      </c>
      <c r="J513" t="s">
        <v>17</v>
      </c>
      <c r="K513" s="23">
        <v>-134.25</v>
      </c>
      <c r="L513" t="s">
        <v>24</v>
      </c>
      <c r="M513" t="s">
        <v>25</v>
      </c>
    </row>
    <row r="514" spans="1:13" hidden="1" x14ac:dyDescent="0.25">
      <c r="A514" s="5">
        <v>45769</v>
      </c>
      <c r="B514" t="s">
        <v>50</v>
      </c>
      <c r="C514" t="s">
        <v>354</v>
      </c>
      <c r="D514" t="s">
        <v>302</v>
      </c>
      <c r="E514" t="str">
        <f t="shared" si="8"/>
        <v>ADM</v>
      </c>
      <c r="F514" t="s">
        <v>303</v>
      </c>
      <c r="G514" t="s">
        <v>303</v>
      </c>
      <c r="J514" t="s">
        <v>143</v>
      </c>
      <c r="K514" s="23">
        <v>-42.74</v>
      </c>
      <c r="L514" t="s">
        <v>24</v>
      </c>
      <c r="M514" t="s">
        <v>25</v>
      </c>
    </row>
    <row r="515" spans="1:13" hidden="1" x14ac:dyDescent="0.25">
      <c r="A515" s="5">
        <v>45769</v>
      </c>
      <c r="B515" t="s">
        <v>50</v>
      </c>
      <c r="C515" t="s">
        <v>158</v>
      </c>
      <c r="D515" t="s">
        <v>159</v>
      </c>
      <c r="E515" t="str">
        <f t="shared" si="8"/>
        <v>PES</v>
      </c>
      <c r="F515" t="s">
        <v>158</v>
      </c>
      <c r="G515" t="s">
        <v>158</v>
      </c>
      <c r="J515" t="s">
        <v>17</v>
      </c>
      <c r="K515" s="23">
        <v>-430.52</v>
      </c>
      <c r="L515" t="s">
        <v>24</v>
      </c>
      <c r="M515" t="s">
        <v>25</v>
      </c>
    </row>
    <row r="516" spans="1:13" hidden="1" x14ac:dyDescent="0.25">
      <c r="A516" s="5">
        <v>45769</v>
      </c>
      <c r="B516" t="s">
        <v>50</v>
      </c>
      <c r="C516" t="s">
        <v>353</v>
      </c>
      <c r="D516" t="s">
        <v>302</v>
      </c>
      <c r="E516" t="str">
        <f t="shared" si="8"/>
        <v>ADM</v>
      </c>
      <c r="F516" t="s">
        <v>303</v>
      </c>
      <c r="G516" t="s">
        <v>303</v>
      </c>
      <c r="J516" t="s">
        <v>143</v>
      </c>
      <c r="K516" s="23">
        <v>-42.74</v>
      </c>
      <c r="L516" t="s">
        <v>24</v>
      </c>
      <c r="M516" t="s">
        <v>25</v>
      </c>
    </row>
    <row r="517" spans="1:13" hidden="1" x14ac:dyDescent="0.25">
      <c r="A517" s="5">
        <v>45769</v>
      </c>
      <c r="B517" t="s">
        <v>50</v>
      </c>
      <c r="C517" t="s">
        <v>352</v>
      </c>
      <c r="D517" t="s">
        <v>302</v>
      </c>
      <c r="E517" t="str">
        <f t="shared" si="8"/>
        <v>ADM</v>
      </c>
      <c r="F517" t="s">
        <v>303</v>
      </c>
      <c r="G517" t="s">
        <v>303</v>
      </c>
      <c r="J517" t="s">
        <v>143</v>
      </c>
      <c r="K517" s="23">
        <v>-42.74</v>
      </c>
      <c r="L517" t="s">
        <v>24</v>
      </c>
      <c r="M517" t="s">
        <v>25</v>
      </c>
    </row>
    <row r="518" spans="1:13" hidden="1" x14ac:dyDescent="0.25">
      <c r="A518" s="5">
        <v>45769</v>
      </c>
      <c r="B518" t="s">
        <v>50</v>
      </c>
      <c r="C518" t="s">
        <v>151</v>
      </c>
      <c r="D518" t="s">
        <v>152</v>
      </c>
      <c r="E518" t="str">
        <f t="shared" si="8"/>
        <v>VAR</v>
      </c>
      <c r="F518" t="s">
        <v>151</v>
      </c>
      <c r="G518" t="s">
        <v>151</v>
      </c>
      <c r="J518" t="s">
        <v>17</v>
      </c>
      <c r="K518" s="23">
        <v>-4804.53</v>
      </c>
      <c r="L518" t="s">
        <v>24</v>
      </c>
      <c r="M518" t="s">
        <v>25</v>
      </c>
    </row>
    <row r="519" spans="1:13" hidden="1" x14ac:dyDescent="0.25">
      <c r="A519" s="5">
        <v>45771</v>
      </c>
      <c r="B519" t="s">
        <v>54</v>
      </c>
      <c r="C519" t="s">
        <v>539</v>
      </c>
      <c r="D519" t="s">
        <v>28</v>
      </c>
      <c r="E519" t="str">
        <f t="shared" si="8"/>
        <v>ADM</v>
      </c>
      <c r="F519" t="s">
        <v>540</v>
      </c>
      <c r="G519" t="s">
        <v>540</v>
      </c>
      <c r="J519" t="s">
        <v>143</v>
      </c>
      <c r="K519" s="23">
        <v>-49.85</v>
      </c>
      <c r="L519" t="s">
        <v>24</v>
      </c>
      <c r="M519" t="s">
        <v>25</v>
      </c>
    </row>
    <row r="520" spans="1:13" hidden="1" x14ac:dyDescent="0.25">
      <c r="A520" s="5">
        <v>45771</v>
      </c>
      <c r="B520" t="s">
        <v>54</v>
      </c>
      <c r="C520" t="s">
        <v>541</v>
      </c>
      <c r="D520" t="s">
        <v>224</v>
      </c>
      <c r="E520" t="str">
        <f t="shared" si="8"/>
        <v>COM</v>
      </c>
      <c r="F520" t="s">
        <v>542</v>
      </c>
      <c r="G520" t="s">
        <v>542</v>
      </c>
      <c r="J520" t="s">
        <v>143</v>
      </c>
      <c r="K520" s="23">
        <v>-664.35</v>
      </c>
      <c r="L520" t="s">
        <v>24</v>
      </c>
      <c r="M520" t="s">
        <v>25</v>
      </c>
    </row>
    <row r="521" spans="1:13" hidden="1" x14ac:dyDescent="0.25">
      <c r="A521" s="5">
        <v>45772</v>
      </c>
      <c r="B521" t="s">
        <v>50</v>
      </c>
      <c r="C521" t="s">
        <v>543</v>
      </c>
      <c r="D521" t="s">
        <v>162</v>
      </c>
      <c r="E521" t="str">
        <f t="shared" si="8"/>
        <v>COM</v>
      </c>
      <c r="F521" t="s">
        <v>544</v>
      </c>
      <c r="G521" t="s">
        <v>544</v>
      </c>
      <c r="J521" t="s">
        <v>143</v>
      </c>
      <c r="K521" s="23">
        <v>-4371.84</v>
      </c>
      <c r="L521" t="s">
        <v>24</v>
      </c>
      <c r="M521" t="s">
        <v>25</v>
      </c>
    </row>
    <row r="522" spans="1:13" hidden="1" x14ac:dyDescent="0.25">
      <c r="A522" s="5">
        <v>45772</v>
      </c>
      <c r="B522" t="s">
        <v>67</v>
      </c>
      <c r="C522" t="s">
        <v>512</v>
      </c>
      <c r="D522" t="s">
        <v>99</v>
      </c>
      <c r="E522" t="str">
        <f t="shared" si="8"/>
        <v>ADM</v>
      </c>
      <c r="F522" t="s">
        <v>100</v>
      </c>
      <c r="G522" t="s">
        <v>100</v>
      </c>
      <c r="J522" t="s">
        <v>143</v>
      </c>
      <c r="K522" s="23">
        <v>-340</v>
      </c>
      <c r="L522" t="s">
        <v>24</v>
      </c>
      <c r="M522" t="s">
        <v>25</v>
      </c>
    </row>
    <row r="523" spans="1:13" hidden="1" x14ac:dyDescent="0.25">
      <c r="A523" s="5">
        <v>45775</v>
      </c>
      <c r="B523" t="s">
        <v>54</v>
      </c>
      <c r="C523" t="s">
        <v>545</v>
      </c>
      <c r="D523" t="s">
        <v>77</v>
      </c>
      <c r="E523" t="str">
        <f t="shared" si="8"/>
        <v>Despesa do cliente</v>
      </c>
      <c r="F523" t="s">
        <v>290</v>
      </c>
      <c r="G523" t="s">
        <v>290</v>
      </c>
      <c r="I523" t="s">
        <v>291</v>
      </c>
      <c r="J523" t="s">
        <v>143</v>
      </c>
      <c r="K523" s="23">
        <v>-21.73</v>
      </c>
      <c r="L523" t="s">
        <v>24</v>
      </c>
      <c r="M523" t="s">
        <v>25</v>
      </c>
    </row>
    <row r="524" spans="1:13" hidden="1" x14ac:dyDescent="0.25">
      <c r="A524" s="5">
        <v>45775</v>
      </c>
      <c r="B524" t="s">
        <v>54</v>
      </c>
      <c r="C524" t="s">
        <v>545</v>
      </c>
      <c r="D524" t="s">
        <v>77</v>
      </c>
      <c r="E524" t="str">
        <f t="shared" si="8"/>
        <v>Despesa do cliente</v>
      </c>
      <c r="F524" t="s">
        <v>145</v>
      </c>
      <c r="G524" t="s">
        <v>145</v>
      </c>
      <c r="I524" t="s">
        <v>117</v>
      </c>
      <c r="J524" t="s">
        <v>143</v>
      </c>
      <c r="K524" s="23">
        <v>-21.73</v>
      </c>
      <c r="L524" t="s">
        <v>24</v>
      </c>
      <c r="M524" t="s">
        <v>25</v>
      </c>
    </row>
    <row r="525" spans="1:13" hidden="1" x14ac:dyDescent="0.25">
      <c r="A525" s="5">
        <v>45775</v>
      </c>
      <c r="B525" t="s">
        <v>50</v>
      </c>
      <c r="C525" t="s">
        <v>539</v>
      </c>
      <c r="D525" t="s">
        <v>89</v>
      </c>
      <c r="E525" t="str">
        <f t="shared" si="8"/>
        <v>ADM</v>
      </c>
      <c r="F525" t="s">
        <v>546</v>
      </c>
      <c r="G525" t="s">
        <v>546</v>
      </c>
      <c r="J525" t="s">
        <v>143</v>
      </c>
      <c r="K525" s="23">
        <v>-501.99</v>
      </c>
      <c r="L525" t="s">
        <v>24</v>
      </c>
      <c r="M525" t="s">
        <v>25</v>
      </c>
    </row>
    <row r="526" spans="1:13" hidden="1" x14ac:dyDescent="0.25">
      <c r="A526" s="5">
        <v>45775</v>
      </c>
      <c r="B526" t="s">
        <v>54</v>
      </c>
      <c r="C526" t="s">
        <v>545</v>
      </c>
      <c r="D526" t="s">
        <v>77</v>
      </c>
      <c r="E526" t="str">
        <f t="shared" si="8"/>
        <v>Despesa do cliente</v>
      </c>
      <c r="F526" t="s">
        <v>69</v>
      </c>
      <c r="G526" t="s">
        <v>69</v>
      </c>
      <c r="I526" t="s">
        <v>547</v>
      </c>
      <c r="J526" t="s">
        <v>143</v>
      </c>
      <c r="K526" s="23">
        <v>-21.73</v>
      </c>
      <c r="L526" t="s">
        <v>24</v>
      </c>
      <c r="M526" t="s">
        <v>25</v>
      </c>
    </row>
    <row r="527" spans="1:13" hidden="1" x14ac:dyDescent="0.25">
      <c r="A527" s="5">
        <v>45775</v>
      </c>
      <c r="B527" t="s">
        <v>54</v>
      </c>
      <c r="C527" t="s">
        <v>548</v>
      </c>
      <c r="D527" t="s">
        <v>28</v>
      </c>
      <c r="E527" t="str">
        <f t="shared" si="8"/>
        <v>ADM</v>
      </c>
      <c r="F527" t="s">
        <v>549</v>
      </c>
      <c r="G527" t="s">
        <v>549</v>
      </c>
      <c r="J527" t="s">
        <v>143</v>
      </c>
      <c r="K527" s="23">
        <v>-39.6</v>
      </c>
      <c r="L527" t="s">
        <v>24</v>
      </c>
      <c r="M527" t="s">
        <v>25</v>
      </c>
    </row>
    <row r="528" spans="1:13" hidden="1" x14ac:dyDescent="0.25">
      <c r="A528" s="5">
        <v>45775</v>
      </c>
      <c r="B528" t="s">
        <v>54</v>
      </c>
      <c r="C528" t="s">
        <v>550</v>
      </c>
      <c r="D528" t="s">
        <v>611</v>
      </c>
      <c r="E528" t="str">
        <f t="shared" si="8"/>
        <v>COM</v>
      </c>
      <c r="F528" t="s">
        <v>551</v>
      </c>
      <c r="G528" t="s">
        <v>551</v>
      </c>
      <c r="J528" t="s">
        <v>143</v>
      </c>
      <c r="K528" s="23">
        <v>-143.57</v>
      </c>
      <c r="L528" t="s">
        <v>24</v>
      </c>
      <c r="M528" t="s">
        <v>25</v>
      </c>
    </row>
    <row r="529" spans="1:13" hidden="1" x14ac:dyDescent="0.25">
      <c r="A529" s="5">
        <v>45775</v>
      </c>
      <c r="B529" t="s">
        <v>54</v>
      </c>
      <c r="C529" t="s">
        <v>552</v>
      </c>
      <c r="D529" t="s">
        <v>28</v>
      </c>
      <c r="E529" t="str">
        <f t="shared" ref="E529:E589" si="9">IF(OR(D529="Honorários",D529="Despesa do cliente"),D529,LEFT(D529,3))</f>
        <v>ADM</v>
      </c>
      <c r="F529" t="s">
        <v>540</v>
      </c>
      <c r="G529" t="s">
        <v>540</v>
      </c>
      <c r="J529" t="s">
        <v>143</v>
      </c>
      <c r="K529" s="23">
        <v>-12.96</v>
      </c>
      <c r="L529" t="s">
        <v>24</v>
      </c>
      <c r="M529" t="s">
        <v>25</v>
      </c>
    </row>
    <row r="530" spans="1:13" hidden="1" x14ac:dyDescent="0.25">
      <c r="A530" s="5">
        <v>45776</v>
      </c>
      <c r="B530" t="s">
        <v>54</v>
      </c>
      <c r="C530" t="s">
        <v>550</v>
      </c>
      <c r="D530" t="s">
        <v>611</v>
      </c>
      <c r="E530" t="str">
        <f t="shared" si="9"/>
        <v>COM</v>
      </c>
      <c r="F530" t="s">
        <v>553</v>
      </c>
      <c r="G530" t="s">
        <v>553</v>
      </c>
      <c r="J530" t="s">
        <v>143</v>
      </c>
      <c r="K530" s="23">
        <v>-122.3</v>
      </c>
      <c r="L530" t="s">
        <v>24</v>
      </c>
      <c r="M530" t="s">
        <v>25</v>
      </c>
    </row>
    <row r="531" spans="1:13" hidden="1" x14ac:dyDescent="0.25">
      <c r="A531" s="5">
        <v>45776</v>
      </c>
      <c r="B531" t="s">
        <v>54</v>
      </c>
      <c r="C531" t="s">
        <v>554</v>
      </c>
      <c r="D531" t="s">
        <v>56</v>
      </c>
      <c r="E531" t="str">
        <f t="shared" si="9"/>
        <v>Honorários</v>
      </c>
      <c r="F531" t="s">
        <v>555</v>
      </c>
      <c r="G531" t="s">
        <v>555</v>
      </c>
      <c r="I531" t="s">
        <v>82</v>
      </c>
      <c r="J531" t="s">
        <v>17</v>
      </c>
      <c r="K531" s="23">
        <v>435.79</v>
      </c>
      <c r="L531" t="s">
        <v>18</v>
      </c>
      <c r="M531" t="s">
        <v>19</v>
      </c>
    </row>
    <row r="532" spans="1:13" hidden="1" x14ac:dyDescent="0.25">
      <c r="A532" s="5">
        <v>45776</v>
      </c>
      <c r="B532" t="s">
        <v>50</v>
      </c>
      <c r="C532" t="s">
        <v>478</v>
      </c>
      <c r="D532" t="s">
        <v>191</v>
      </c>
      <c r="E532" t="str">
        <f t="shared" si="9"/>
        <v>ADM</v>
      </c>
      <c r="F532" t="s">
        <v>380</v>
      </c>
      <c r="G532" t="s">
        <v>380</v>
      </c>
      <c r="J532" t="s">
        <v>17</v>
      </c>
      <c r="K532" s="23">
        <v>-643.27</v>
      </c>
      <c r="L532" t="s">
        <v>24</v>
      </c>
      <c r="M532" t="s">
        <v>25</v>
      </c>
    </row>
    <row r="533" spans="1:13" hidden="1" x14ac:dyDescent="0.25">
      <c r="A533" s="5">
        <v>45776</v>
      </c>
      <c r="B533" t="s">
        <v>54</v>
      </c>
      <c r="C533" t="s">
        <v>550</v>
      </c>
      <c r="D533" t="s">
        <v>611</v>
      </c>
      <c r="E533" t="str">
        <f t="shared" si="9"/>
        <v>COM</v>
      </c>
      <c r="F533" t="s">
        <v>553</v>
      </c>
      <c r="G533" t="s">
        <v>553</v>
      </c>
      <c r="J533" t="s">
        <v>143</v>
      </c>
      <c r="K533" s="23">
        <v>-6</v>
      </c>
      <c r="L533" t="s">
        <v>24</v>
      </c>
      <c r="M533" t="s">
        <v>25</v>
      </c>
    </row>
    <row r="534" spans="1:13" hidden="1" x14ac:dyDescent="0.25">
      <c r="A534" s="5">
        <v>45776</v>
      </c>
      <c r="B534" t="s">
        <v>50</v>
      </c>
      <c r="C534" t="s">
        <v>481</v>
      </c>
      <c r="D534" t="s">
        <v>191</v>
      </c>
      <c r="E534" t="str">
        <f t="shared" si="9"/>
        <v>ADM</v>
      </c>
      <c r="F534" t="s">
        <v>371</v>
      </c>
      <c r="G534" t="s">
        <v>371</v>
      </c>
      <c r="J534" t="s">
        <v>17</v>
      </c>
      <c r="K534" s="23">
        <v>-538.15</v>
      </c>
      <c r="L534" t="s">
        <v>24</v>
      </c>
      <c r="M534" t="s">
        <v>25</v>
      </c>
    </row>
    <row r="535" spans="1:13" hidden="1" x14ac:dyDescent="0.25">
      <c r="A535" s="5">
        <v>45776</v>
      </c>
      <c r="B535" t="s">
        <v>54</v>
      </c>
      <c r="C535" t="s">
        <v>556</v>
      </c>
      <c r="D535" t="s">
        <v>56</v>
      </c>
      <c r="E535" t="str">
        <f t="shared" si="9"/>
        <v>Honorários</v>
      </c>
      <c r="F535" t="s">
        <v>557</v>
      </c>
      <c r="G535" t="s">
        <v>557</v>
      </c>
      <c r="I535" t="s">
        <v>236</v>
      </c>
      <c r="J535" t="s">
        <v>143</v>
      </c>
      <c r="K535" s="23">
        <v>1396.65</v>
      </c>
      <c r="L535" t="s">
        <v>18</v>
      </c>
      <c r="M535" t="s">
        <v>19</v>
      </c>
    </row>
    <row r="536" spans="1:13" hidden="1" x14ac:dyDescent="0.25">
      <c r="A536" s="5">
        <v>45777</v>
      </c>
      <c r="B536" t="s">
        <v>54</v>
      </c>
      <c r="C536" t="s">
        <v>272</v>
      </c>
      <c r="D536" t="s">
        <v>198</v>
      </c>
      <c r="E536" t="str">
        <f t="shared" si="9"/>
        <v>PES</v>
      </c>
      <c r="F536" t="s">
        <v>203</v>
      </c>
      <c r="G536" t="s">
        <v>203</v>
      </c>
      <c r="J536" t="s">
        <v>143</v>
      </c>
      <c r="K536" s="23">
        <v>-1518</v>
      </c>
      <c r="L536" t="s">
        <v>24</v>
      </c>
      <c r="M536" t="s">
        <v>25</v>
      </c>
    </row>
    <row r="537" spans="1:13" hidden="1" x14ac:dyDescent="0.25">
      <c r="A537" s="5">
        <v>45777</v>
      </c>
      <c r="B537" t="s">
        <v>50</v>
      </c>
      <c r="C537" t="s">
        <v>558</v>
      </c>
      <c r="D537" t="s">
        <v>198</v>
      </c>
      <c r="E537" t="str">
        <f t="shared" si="9"/>
        <v>PES</v>
      </c>
      <c r="F537" t="s">
        <v>559</v>
      </c>
      <c r="G537" t="s">
        <v>559</v>
      </c>
      <c r="J537" t="s">
        <v>17</v>
      </c>
      <c r="K537" s="23">
        <v>-3748.74</v>
      </c>
      <c r="L537" t="s">
        <v>24</v>
      </c>
      <c r="M537" t="s">
        <v>25</v>
      </c>
    </row>
    <row r="538" spans="1:13" hidden="1" x14ac:dyDescent="0.25">
      <c r="A538" s="5">
        <v>45777</v>
      </c>
      <c r="B538" t="s">
        <v>67</v>
      </c>
      <c r="C538" t="s">
        <v>560</v>
      </c>
      <c r="D538" t="s">
        <v>300</v>
      </c>
      <c r="E538" t="str">
        <f t="shared" si="9"/>
        <v>VAR</v>
      </c>
      <c r="F538" t="s">
        <v>557</v>
      </c>
      <c r="G538" t="s">
        <v>557</v>
      </c>
      <c r="I538" t="s">
        <v>236</v>
      </c>
      <c r="J538" t="s">
        <v>143</v>
      </c>
      <c r="K538" s="23">
        <v>-418.99</v>
      </c>
      <c r="L538" t="s">
        <v>24</v>
      </c>
      <c r="M538" t="s">
        <v>25</v>
      </c>
    </row>
    <row r="539" spans="1:13" hidden="1" x14ac:dyDescent="0.25">
      <c r="A539" s="5">
        <v>45777</v>
      </c>
      <c r="B539" t="s">
        <v>50</v>
      </c>
      <c r="C539" t="s">
        <v>561</v>
      </c>
      <c r="D539" t="s">
        <v>159</v>
      </c>
      <c r="E539" t="str">
        <f t="shared" si="9"/>
        <v>PES</v>
      </c>
      <c r="F539" t="s">
        <v>562</v>
      </c>
      <c r="G539" t="s">
        <v>562</v>
      </c>
      <c r="J539" t="s">
        <v>143</v>
      </c>
      <c r="K539" s="23">
        <v>-303.33</v>
      </c>
      <c r="L539" t="s">
        <v>24</v>
      </c>
      <c r="M539" t="s">
        <v>25</v>
      </c>
    </row>
    <row r="540" spans="1:13" hidden="1" x14ac:dyDescent="0.25">
      <c r="A540" s="5">
        <v>45777</v>
      </c>
      <c r="B540" t="s">
        <v>54</v>
      </c>
      <c r="C540" t="s">
        <v>200</v>
      </c>
      <c r="D540" t="s">
        <v>201</v>
      </c>
      <c r="E540" t="str">
        <f t="shared" si="9"/>
        <v>DIR</v>
      </c>
      <c r="F540" t="s">
        <v>67</v>
      </c>
      <c r="G540" t="s">
        <v>67</v>
      </c>
      <c r="J540" t="s">
        <v>17</v>
      </c>
      <c r="K540" s="23">
        <v>-3648.98</v>
      </c>
      <c r="L540" t="s">
        <v>24</v>
      </c>
      <c r="M540" t="s">
        <v>25</v>
      </c>
    </row>
    <row r="541" spans="1:13" hidden="1" x14ac:dyDescent="0.25">
      <c r="A541" s="5">
        <v>45777</v>
      </c>
      <c r="B541" t="s">
        <v>50</v>
      </c>
      <c r="C541" t="s">
        <v>204</v>
      </c>
      <c r="D541" t="s">
        <v>128</v>
      </c>
      <c r="E541" t="str">
        <f t="shared" si="9"/>
        <v>PES</v>
      </c>
      <c r="F541" t="s">
        <v>208</v>
      </c>
      <c r="G541" t="s">
        <v>208</v>
      </c>
      <c r="J541" t="s">
        <v>17</v>
      </c>
      <c r="K541" s="23">
        <v>-1300</v>
      </c>
      <c r="L541" t="s">
        <v>24</v>
      </c>
      <c r="M541" t="s">
        <v>25</v>
      </c>
    </row>
    <row r="542" spans="1:13" hidden="1" x14ac:dyDescent="0.25">
      <c r="A542" s="5">
        <v>45777</v>
      </c>
      <c r="B542" t="s">
        <v>67</v>
      </c>
      <c r="C542" t="s">
        <v>178</v>
      </c>
      <c r="D542" t="s">
        <v>56</v>
      </c>
      <c r="E542" t="str">
        <f t="shared" si="9"/>
        <v>Honorários</v>
      </c>
      <c r="F542" t="s">
        <v>179</v>
      </c>
      <c r="G542" t="s">
        <v>179</v>
      </c>
      <c r="I542" t="s">
        <v>180</v>
      </c>
      <c r="J542" t="s">
        <v>17</v>
      </c>
      <c r="K542" s="23">
        <v>150</v>
      </c>
      <c r="L542" t="s">
        <v>18</v>
      </c>
      <c r="M542" t="s">
        <v>19</v>
      </c>
    </row>
    <row r="543" spans="1:13" hidden="1" x14ac:dyDescent="0.25">
      <c r="A543" s="5">
        <v>45777</v>
      </c>
      <c r="B543" t="s">
        <v>50</v>
      </c>
      <c r="C543" t="s">
        <v>563</v>
      </c>
      <c r="D543" t="s">
        <v>152</v>
      </c>
      <c r="E543" t="str">
        <f t="shared" si="9"/>
        <v>VAR</v>
      </c>
      <c r="F543" t="s">
        <v>151</v>
      </c>
      <c r="G543" t="s">
        <v>151</v>
      </c>
      <c r="J543" t="s">
        <v>143</v>
      </c>
      <c r="K543" s="23">
        <v>-3074.22</v>
      </c>
      <c r="L543" t="s">
        <v>24</v>
      </c>
      <c r="M543" t="s">
        <v>25</v>
      </c>
    </row>
    <row r="544" spans="1:13" hidden="1" x14ac:dyDescent="0.25">
      <c r="A544" s="5">
        <v>45777</v>
      </c>
      <c r="B544" t="s">
        <v>50</v>
      </c>
      <c r="C544" t="s">
        <v>272</v>
      </c>
      <c r="D544" t="s">
        <v>198</v>
      </c>
      <c r="E544" t="str">
        <f t="shared" si="9"/>
        <v>PES</v>
      </c>
      <c r="F544" t="s">
        <v>199</v>
      </c>
      <c r="G544" t="s">
        <v>199</v>
      </c>
      <c r="J544" t="s">
        <v>17</v>
      </c>
      <c r="K544" s="23">
        <v>-3195.89</v>
      </c>
      <c r="L544" t="s">
        <v>24</v>
      </c>
      <c r="M544" t="s">
        <v>25</v>
      </c>
    </row>
    <row r="545" spans="1:14" hidden="1" x14ac:dyDescent="0.25">
      <c r="A545" s="5">
        <v>45777</v>
      </c>
      <c r="B545" t="s">
        <v>54</v>
      </c>
      <c r="C545" t="s">
        <v>564</v>
      </c>
      <c r="D545" t="s">
        <v>300</v>
      </c>
      <c r="E545" t="str">
        <f t="shared" si="9"/>
        <v>VAR</v>
      </c>
      <c r="F545" t="s">
        <v>208</v>
      </c>
      <c r="G545" t="s">
        <v>208</v>
      </c>
      <c r="J545" t="s">
        <v>17</v>
      </c>
      <c r="K545" s="23">
        <v>-200</v>
      </c>
      <c r="L545" t="s">
        <v>24</v>
      </c>
      <c r="M545" t="s">
        <v>25</v>
      </c>
    </row>
    <row r="546" spans="1:14" hidden="1" x14ac:dyDescent="0.25">
      <c r="A546" s="5">
        <v>45777</v>
      </c>
      <c r="B546" t="s">
        <v>54</v>
      </c>
      <c r="C546" t="s">
        <v>565</v>
      </c>
      <c r="D546" t="s">
        <v>308</v>
      </c>
      <c r="E546" t="str">
        <f t="shared" si="9"/>
        <v>T&amp;O</v>
      </c>
      <c r="F546" t="s">
        <v>23</v>
      </c>
      <c r="G546" t="s">
        <v>23</v>
      </c>
      <c r="J546" t="s">
        <v>143</v>
      </c>
      <c r="K546" s="23">
        <v>-50.8</v>
      </c>
      <c r="L546" t="s">
        <v>24</v>
      </c>
      <c r="M546" t="s">
        <v>25</v>
      </c>
    </row>
    <row r="547" spans="1:14" hidden="1" x14ac:dyDescent="0.25">
      <c r="A547" s="5">
        <v>45777</v>
      </c>
      <c r="B547" t="s">
        <v>50</v>
      </c>
      <c r="C547" t="s">
        <v>272</v>
      </c>
      <c r="D547" t="s">
        <v>198</v>
      </c>
      <c r="E547" t="str">
        <f t="shared" si="9"/>
        <v>PES</v>
      </c>
      <c r="F547" t="s">
        <v>209</v>
      </c>
      <c r="G547" t="s">
        <v>209</v>
      </c>
      <c r="J547" t="s">
        <v>17</v>
      </c>
      <c r="K547" s="23">
        <v>-2570.6</v>
      </c>
      <c r="L547" t="s">
        <v>24</v>
      </c>
      <c r="M547" t="s">
        <v>25</v>
      </c>
    </row>
    <row r="548" spans="1:14" hidden="1" x14ac:dyDescent="0.25">
      <c r="A548" s="5">
        <v>45777</v>
      </c>
      <c r="B548" t="s">
        <v>54</v>
      </c>
      <c r="C548" t="s">
        <v>200</v>
      </c>
      <c r="D548" t="s">
        <v>201</v>
      </c>
      <c r="E548" t="str">
        <f t="shared" si="9"/>
        <v>DIR</v>
      </c>
      <c r="F548" t="s">
        <v>54</v>
      </c>
      <c r="G548" t="s">
        <v>54</v>
      </c>
      <c r="J548" t="s">
        <v>17</v>
      </c>
      <c r="K548" s="23">
        <v>-6148.98</v>
      </c>
      <c r="L548" t="s">
        <v>24</v>
      </c>
      <c r="M548" t="s">
        <v>25</v>
      </c>
    </row>
    <row r="549" spans="1:14" hidden="1" x14ac:dyDescent="0.25">
      <c r="A549" s="5">
        <v>45777</v>
      </c>
      <c r="B549" t="s">
        <v>50</v>
      </c>
      <c r="C549" t="s">
        <v>484</v>
      </c>
      <c r="D549" t="s">
        <v>207</v>
      </c>
      <c r="E549" t="str">
        <f t="shared" si="9"/>
        <v>DIR</v>
      </c>
      <c r="F549" t="s">
        <v>54</v>
      </c>
      <c r="G549" t="s">
        <v>54</v>
      </c>
      <c r="J549" t="s">
        <v>17</v>
      </c>
      <c r="K549" s="23">
        <v>-1351.02</v>
      </c>
      <c r="L549" t="s">
        <v>24</v>
      </c>
      <c r="M549" t="s">
        <v>25</v>
      </c>
    </row>
    <row r="550" spans="1:14" hidden="1" x14ac:dyDescent="0.25">
      <c r="A550" s="5">
        <v>45777</v>
      </c>
      <c r="B550" t="s">
        <v>50</v>
      </c>
      <c r="C550" t="s">
        <v>484</v>
      </c>
      <c r="D550" t="s">
        <v>207</v>
      </c>
      <c r="E550" t="str">
        <f t="shared" si="9"/>
        <v>DIR</v>
      </c>
      <c r="F550" t="s">
        <v>67</v>
      </c>
      <c r="G550" t="s">
        <v>67</v>
      </c>
      <c r="J550" t="s">
        <v>17</v>
      </c>
      <c r="K550" s="23">
        <v>-1351.02</v>
      </c>
      <c r="L550" t="s">
        <v>24</v>
      </c>
      <c r="M550" t="s">
        <v>25</v>
      </c>
      <c r="N550">
        <v>1</v>
      </c>
    </row>
    <row r="551" spans="1:14" hidden="1" x14ac:dyDescent="0.25">
      <c r="A551" s="5">
        <v>45779</v>
      </c>
      <c r="B551" t="s">
        <v>20</v>
      </c>
      <c r="C551" t="s">
        <v>387</v>
      </c>
      <c r="D551" t="s">
        <v>28</v>
      </c>
      <c r="E551" t="str">
        <f t="shared" si="9"/>
        <v>ADM</v>
      </c>
      <c r="F551" t="s">
        <v>23</v>
      </c>
      <c r="G551" t="s">
        <v>23</v>
      </c>
      <c r="J551" t="s">
        <v>143</v>
      </c>
      <c r="K551" s="23">
        <v>-56.54</v>
      </c>
      <c r="L551" t="s">
        <v>24</v>
      </c>
      <c r="M551" t="s">
        <v>25</v>
      </c>
    </row>
    <row r="552" spans="1:14" hidden="1" x14ac:dyDescent="0.25">
      <c r="A552" s="5">
        <v>45779</v>
      </c>
      <c r="B552" t="s">
        <v>20</v>
      </c>
      <c r="C552" t="s">
        <v>45</v>
      </c>
      <c r="D552" t="s">
        <v>15</v>
      </c>
      <c r="E552" t="str">
        <f t="shared" si="9"/>
        <v>ADM</v>
      </c>
      <c r="F552" t="s">
        <v>23</v>
      </c>
      <c r="G552" t="s">
        <v>23</v>
      </c>
      <c r="J552" t="s">
        <v>17</v>
      </c>
      <c r="K552" s="23">
        <v>1859.47</v>
      </c>
      <c r="L552" t="s">
        <v>18</v>
      </c>
      <c r="M552" t="s">
        <v>19</v>
      </c>
    </row>
    <row r="553" spans="1:14" hidden="1" x14ac:dyDescent="0.25">
      <c r="A553" s="5">
        <v>45779</v>
      </c>
      <c r="B553" t="s">
        <v>568</v>
      </c>
      <c r="C553" t="s">
        <v>51</v>
      </c>
      <c r="D553" t="s">
        <v>52</v>
      </c>
      <c r="E553" t="str">
        <f t="shared" si="9"/>
        <v>ADM</v>
      </c>
      <c r="F553" t="s">
        <v>53</v>
      </c>
      <c r="G553" t="s">
        <v>53</v>
      </c>
      <c r="J553" t="s">
        <v>17</v>
      </c>
      <c r="K553" s="23">
        <v>-1518</v>
      </c>
      <c r="L553" t="s">
        <v>24</v>
      </c>
      <c r="M553" t="s">
        <v>25</v>
      </c>
    </row>
    <row r="554" spans="1:14" hidden="1" x14ac:dyDescent="0.25">
      <c r="A554" s="5">
        <v>45779</v>
      </c>
      <c r="B554" t="s">
        <v>568</v>
      </c>
      <c r="C554" t="s">
        <v>61</v>
      </c>
      <c r="D554" t="s">
        <v>62</v>
      </c>
      <c r="E554" t="str">
        <f t="shared" si="9"/>
        <v>INV</v>
      </c>
      <c r="F554" t="s">
        <v>63</v>
      </c>
      <c r="G554" t="s">
        <v>63</v>
      </c>
      <c r="J554" t="s">
        <v>17</v>
      </c>
      <c r="K554" s="23">
        <v>-1750</v>
      </c>
      <c r="L554" t="s">
        <v>24</v>
      </c>
      <c r="M554" t="s">
        <v>25</v>
      </c>
    </row>
    <row r="555" spans="1:14" hidden="1" x14ac:dyDescent="0.25">
      <c r="A555" s="5">
        <v>45779</v>
      </c>
      <c r="B555" t="s">
        <v>20</v>
      </c>
      <c r="C555" t="s">
        <v>284</v>
      </c>
      <c r="D555" t="s">
        <v>39</v>
      </c>
      <c r="E555" t="str">
        <f t="shared" si="9"/>
        <v>INV</v>
      </c>
      <c r="F555" t="s">
        <v>23</v>
      </c>
      <c r="G555" t="s">
        <v>23</v>
      </c>
      <c r="H555" t="s">
        <v>285</v>
      </c>
      <c r="J555" t="s">
        <v>143</v>
      </c>
      <c r="K555" s="23">
        <v>-333.24</v>
      </c>
      <c r="L555" t="s">
        <v>24</v>
      </c>
      <c r="M555" t="s">
        <v>25</v>
      </c>
    </row>
    <row r="556" spans="1:14" hidden="1" x14ac:dyDescent="0.25">
      <c r="A556" s="5">
        <v>45779</v>
      </c>
      <c r="B556" t="s">
        <v>569</v>
      </c>
      <c r="C556" t="s">
        <v>98</v>
      </c>
      <c r="D556" t="s">
        <v>99</v>
      </c>
      <c r="E556" t="str">
        <f t="shared" si="9"/>
        <v>ADM</v>
      </c>
      <c r="F556" t="s">
        <v>100</v>
      </c>
      <c r="G556" t="s">
        <v>100</v>
      </c>
      <c r="J556" t="s">
        <v>143</v>
      </c>
      <c r="K556" s="23">
        <v>-340</v>
      </c>
      <c r="L556" t="s">
        <v>24</v>
      </c>
      <c r="M556" t="s">
        <v>25</v>
      </c>
    </row>
    <row r="557" spans="1:14" hidden="1" x14ac:dyDescent="0.25">
      <c r="A557" s="5">
        <v>45779</v>
      </c>
      <c r="B557" t="s">
        <v>20</v>
      </c>
      <c r="C557" t="s">
        <v>41</v>
      </c>
      <c r="D557" t="s">
        <v>30</v>
      </c>
      <c r="E557" t="str">
        <f t="shared" si="9"/>
        <v>ADM</v>
      </c>
      <c r="F557" t="s">
        <v>23</v>
      </c>
      <c r="G557" t="s">
        <v>23</v>
      </c>
      <c r="J557" t="s">
        <v>17</v>
      </c>
      <c r="K557" s="23">
        <v>-49.99</v>
      </c>
      <c r="L557" t="s">
        <v>24</v>
      </c>
      <c r="M557" t="s">
        <v>25</v>
      </c>
    </row>
    <row r="558" spans="1:14" hidden="1" x14ac:dyDescent="0.25">
      <c r="A558" s="5">
        <v>45779</v>
      </c>
      <c r="B558" t="s">
        <v>568</v>
      </c>
      <c r="C558" t="s">
        <v>570</v>
      </c>
      <c r="D558" t="s">
        <v>103</v>
      </c>
      <c r="E558" t="str">
        <f t="shared" si="9"/>
        <v>ADM</v>
      </c>
      <c r="F558" t="s">
        <v>104</v>
      </c>
      <c r="G558" t="s">
        <v>104</v>
      </c>
      <c r="J558" t="s">
        <v>143</v>
      </c>
      <c r="K558" s="23">
        <v>-200</v>
      </c>
      <c r="L558" t="s">
        <v>24</v>
      </c>
      <c r="M558" t="s">
        <v>25</v>
      </c>
    </row>
    <row r="559" spans="1:14" hidden="1" x14ac:dyDescent="0.25">
      <c r="A559" s="5">
        <v>45779</v>
      </c>
      <c r="B559" t="s">
        <v>20</v>
      </c>
      <c r="C559" t="s">
        <v>32</v>
      </c>
      <c r="D559" t="s">
        <v>30</v>
      </c>
      <c r="E559" t="str">
        <f t="shared" si="9"/>
        <v>ADM</v>
      </c>
      <c r="F559" t="s">
        <v>23</v>
      </c>
      <c r="G559" t="s">
        <v>23</v>
      </c>
      <c r="J559" t="s">
        <v>17</v>
      </c>
      <c r="K559" s="23">
        <v>-58.9</v>
      </c>
      <c r="L559" t="s">
        <v>24</v>
      </c>
      <c r="M559" t="s">
        <v>25</v>
      </c>
    </row>
    <row r="560" spans="1:14" hidden="1" x14ac:dyDescent="0.25">
      <c r="A560" s="5">
        <v>45779</v>
      </c>
      <c r="B560" t="s">
        <v>20</v>
      </c>
      <c r="C560" t="s">
        <v>387</v>
      </c>
      <c r="D560" t="s">
        <v>28</v>
      </c>
      <c r="E560" t="str">
        <f t="shared" si="9"/>
        <v>ADM</v>
      </c>
      <c r="F560" t="s">
        <v>23</v>
      </c>
      <c r="G560" t="s">
        <v>23</v>
      </c>
      <c r="J560" t="s">
        <v>143</v>
      </c>
      <c r="K560" s="23">
        <v>-44.76</v>
      </c>
      <c r="L560" t="s">
        <v>24</v>
      </c>
      <c r="M560" t="s">
        <v>25</v>
      </c>
    </row>
    <row r="561" spans="1:13" hidden="1" x14ac:dyDescent="0.25">
      <c r="A561" s="5">
        <v>45779</v>
      </c>
      <c r="B561" t="s">
        <v>20</v>
      </c>
      <c r="C561" t="s">
        <v>37</v>
      </c>
      <c r="D561" t="s">
        <v>30</v>
      </c>
      <c r="E561" t="str">
        <f t="shared" si="9"/>
        <v>ADM</v>
      </c>
      <c r="F561" t="s">
        <v>23</v>
      </c>
      <c r="G561" t="s">
        <v>23</v>
      </c>
      <c r="J561" t="s">
        <v>17</v>
      </c>
      <c r="K561" s="23">
        <v>-80.91</v>
      </c>
      <c r="L561" t="s">
        <v>24</v>
      </c>
      <c r="M561" t="s">
        <v>25</v>
      </c>
    </row>
    <row r="562" spans="1:13" hidden="1" x14ac:dyDescent="0.25">
      <c r="A562" s="5">
        <v>45779</v>
      </c>
      <c r="B562" t="s">
        <v>20</v>
      </c>
      <c r="C562" t="s">
        <v>32</v>
      </c>
      <c r="D562" t="s">
        <v>30</v>
      </c>
      <c r="E562" t="str">
        <f t="shared" si="9"/>
        <v>ADM</v>
      </c>
      <c r="F562" t="s">
        <v>23</v>
      </c>
      <c r="G562" t="s">
        <v>23</v>
      </c>
      <c r="J562" t="s">
        <v>17</v>
      </c>
      <c r="K562" s="23">
        <v>-58.9</v>
      </c>
      <c r="L562" t="s">
        <v>24</v>
      </c>
      <c r="M562" t="s">
        <v>25</v>
      </c>
    </row>
    <row r="563" spans="1:13" hidden="1" x14ac:dyDescent="0.25">
      <c r="A563" s="5">
        <v>45779</v>
      </c>
      <c r="B563" t="s">
        <v>20</v>
      </c>
      <c r="C563" t="s">
        <v>571</v>
      </c>
      <c r="D563" t="s">
        <v>1070</v>
      </c>
      <c r="E563" t="str">
        <f t="shared" si="9"/>
        <v>PES</v>
      </c>
      <c r="F563" t="s">
        <v>23</v>
      </c>
      <c r="G563" t="s">
        <v>23</v>
      </c>
      <c r="J563" t="s">
        <v>143</v>
      </c>
      <c r="K563" s="23">
        <v>-120.87</v>
      </c>
      <c r="L563" t="s">
        <v>24</v>
      </c>
      <c r="M563" t="s">
        <v>25</v>
      </c>
    </row>
    <row r="564" spans="1:13" hidden="1" x14ac:dyDescent="0.25">
      <c r="A564" s="5">
        <v>45779</v>
      </c>
      <c r="B564" t="s">
        <v>20</v>
      </c>
      <c r="C564" t="s">
        <v>572</v>
      </c>
      <c r="D564" t="s">
        <v>28</v>
      </c>
      <c r="E564" t="str">
        <f t="shared" si="9"/>
        <v>ADM</v>
      </c>
      <c r="F564" t="s">
        <v>23</v>
      </c>
      <c r="G564" t="s">
        <v>23</v>
      </c>
      <c r="J564" t="s">
        <v>143</v>
      </c>
      <c r="K564" s="23">
        <v>-577.54</v>
      </c>
      <c r="L564" t="s">
        <v>24</v>
      </c>
      <c r="M564" t="s">
        <v>25</v>
      </c>
    </row>
    <row r="565" spans="1:13" hidden="1" x14ac:dyDescent="0.25">
      <c r="A565" s="5">
        <v>45779</v>
      </c>
      <c r="B565" t="s">
        <v>20</v>
      </c>
      <c r="C565" t="s">
        <v>41</v>
      </c>
      <c r="D565" t="s">
        <v>30</v>
      </c>
      <c r="E565" t="str">
        <f t="shared" si="9"/>
        <v>ADM</v>
      </c>
      <c r="F565" t="s">
        <v>23</v>
      </c>
      <c r="G565" t="s">
        <v>23</v>
      </c>
      <c r="J565" t="s">
        <v>17</v>
      </c>
      <c r="K565" s="23">
        <v>-14.99</v>
      </c>
      <c r="L565" t="s">
        <v>24</v>
      </c>
      <c r="M565" t="s">
        <v>25</v>
      </c>
    </row>
    <row r="566" spans="1:13" hidden="1" x14ac:dyDescent="0.25">
      <c r="A566" s="5">
        <v>45779</v>
      </c>
      <c r="B566" t="s">
        <v>20</v>
      </c>
      <c r="C566" t="s">
        <v>387</v>
      </c>
      <c r="D566" t="s">
        <v>28</v>
      </c>
      <c r="E566" t="str">
        <f t="shared" si="9"/>
        <v>ADM</v>
      </c>
      <c r="F566" t="s">
        <v>23</v>
      </c>
      <c r="G566" t="s">
        <v>23</v>
      </c>
      <c r="J566" t="s">
        <v>143</v>
      </c>
      <c r="K566" s="23">
        <v>-56.63</v>
      </c>
      <c r="L566" t="s">
        <v>24</v>
      </c>
      <c r="M566" t="s">
        <v>25</v>
      </c>
    </row>
    <row r="567" spans="1:13" hidden="1" x14ac:dyDescent="0.25">
      <c r="A567" s="5">
        <v>45779</v>
      </c>
      <c r="B567" t="s">
        <v>20</v>
      </c>
      <c r="C567" t="s">
        <v>46</v>
      </c>
      <c r="D567" t="s">
        <v>30</v>
      </c>
      <c r="E567" t="str">
        <f t="shared" si="9"/>
        <v>ADM</v>
      </c>
      <c r="F567" t="s">
        <v>23</v>
      </c>
      <c r="G567" t="s">
        <v>23</v>
      </c>
      <c r="J567" t="s">
        <v>17</v>
      </c>
      <c r="K567" s="23">
        <v>-119.9</v>
      </c>
      <c r="L567" t="s">
        <v>24</v>
      </c>
      <c r="M567" t="s">
        <v>25</v>
      </c>
    </row>
    <row r="568" spans="1:13" hidden="1" x14ac:dyDescent="0.25">
      <c r="A568" s="5">
        <v>45779</v>
      </c>
      <c r="B568" t="s">
        <v>20</v>
      </c>
      <c r="C568" t="s">
        <v>573</v>
      </c>
      <c r="D568" t="s">
        <v>382</v>
      </c>
      <c r="E568" t="str">
        <f t="shared" si="9"/>
        <v>PES</v>
      </c>
      <c r="F568" t="s">
        <v>23</v>
      </c>
      <c r="G568" t="s">
        <v>23</v>
      </c>
      <c r="J568" t="s">
        <v>143</v>
      </c>
      <c r="K568" s="23">
        <v>-59.9</v>
      </c>
      <c r="L568" t="s">
        <v>24</v>
      </c>
      <c r="M568" t="s">
        <v>25</v>
      </c>
    </row>
    <row r="569" spans="1:13" hidden="1" x14ac:dyDescent="0.25">
      <c r="A569" s="5">
        <v>45779</v>
      </c>
      <c r="B569" t="s">
        <v>569</v>
      </c>
      <c r="C569" t="s">
        <v>574</v>
      </c>
      <c r="D569" t="s">
        <v>28</v>
      </c>
      <c r="E569" t="str">
        <f t="shared" si="9"/>
        <v>ADM</v>
      </c>
      <c r="F569" t="s">
        <v>199</v>
      </c>
      <c r="G569" t="s">
        <v>199</v>
      </c>
      <c r="J569" t="s">
        <v>17</v>
      </c>
      <c r="K569" s="23">
        <v>-164.6</v>
      </c>
      <c r="L569" t="s">
        <v>24</v>
      </c>
      <c r="M569" t="s">
        <v>25</v>
      </c>
    </row>
    <row r="570" spans="1:13" hidden="1" x14ac:dyDescent="0.25">
      <c r="A570" s="5">
        <v>45779</v>
      </c>
      <c r="B570" t="s">
        <v>20</v>
      </c>
      <c r="C570" t="s">
        <v>40</v>
      </c>
      <c r="D570" t="s">
        <v>30</v>
      </c>
      <c r="E570" t="str">
        <f t="shared" si="9"/>
        <v>ADM</v>
      </c>
      <c r="F570" t="s">
        <v>23</v>
      </c>
      <c r="G570" t="s">
        <v>23</v>
      </c>
      <c r="J570" t="s">
        <v>17</v>
      </c>
      <c r="K570" s="23">
        <v>-19.899999999999999</v>
      </c>
      <c r="L570" t="s">
        <v>24</v>
      </c>
      <c r="M570" t="s">
        <v>25</v>
      </c>
    </row>
    <row r="571" spans="1:13" hidden="1" x14ac:dyDescent="0.25">
      <c r="A571" s="5">
        <v>45779</v>
      </c>
      <c r="B571" t="s">
        <v>20</v>
      </c>
      <c r="C571" t="s">
        <v>491</v>
      </c>
      <c r="D571" t="s">
        <v>89</v>
      </c>
      <c r="E571" t="str">
        <f t="shared" si="9"/>
        <v>ADM</v>
      </c>
      <c r="F571" t="s">
        <v>23</v>
      </c>
      <c r="G571" t="s">
        <v>23</v>
      </c>
      <c r="J571" t="s">
        <v>143</v>
      </c>
      <c r="K571" s="23">
        <v>-206.5</v>
      </c>
      <c r="L571" t="s">
        <v>24</v>
      </c>
      <c r="M571" t="s">
        <v>25</v>
      </c>
    </row>
    <row r="572" spans="1:13" hidden="1" x14ac:dyDescent="0.25">
      <c r="A572" s="5">
        <v>45782</v>
      </c>
      <c r="B572" t="s">
        <v>568</v>
      </c>
      <c r="C572" t="s">
        <v>392</v>
      </c>
      <c r="D572" t="s">
        <v>96</v>
      </c>
      <c r="E572" t="str">
        <f t="shared" si="9"/>
        <v>ADM</v>
      </c>
      <c r="F572" t="s">
        <v>97</v>
      </c>
      <c r="G572" t="s">
        <v>97</v>
      </c>
      <c r="J572" t="s">
        <v>17</v>
      </c>
      <c r="K572" s="23">
        <v>-67.58</v>
      </c>
      <c r="L572" t="s">
        <v>24</v>
      </c>
      <c r="M572" t="s">
        <v>25</v>
      </c>
    </row>
    <row r="573" spans="1:13" hidden="1" x14ac:dyDescent="0.25">
      <c r="A573" s="5">
        <v>45782</v>
      </c>
      <c r="B573" t="s">
        <v>13</v>
      </c>
      <c r="C573" t="s">
        <v>35</v>
      </c>
      <c r="D573" t="s">
        <v>30</v>
      </c>
      <c r="E573" t="str">
        <f t="shared" si="9"/>
        <v>ADM</v>
      </c>
      <c r="F573" t="s">
        <v>16</v>
      </c>
      <c r="G573" t="s">
        <v>16</v>
      </c>
      <c r="J573" t="s">
        <v>17</v>
      </c>
      <c r="K573" s="23">
        <v>-120.29</v>
      </c>
      <c r="L573" t="s">
        <v>24</v>
      </c>
      <c r="M573" t="s">
        <v>25</v>
      </c>
    </row>
    <row r="574" spans="1:13" hidden="1" x14ac:dyDescent="0.25">
      <c r="A574" s="5">
        <v>45782</v>
      </c>
      <c r="B574" t="s">
        <v>568</v>
      </c>
      <c r="C574" t="s">
        <v>101</v>
      </c>
      <c r="D574" t="s">
        <v>15</v>
      </c>
      <c r="E574" t="str">
        <f t="shared" si="9"/>
        <v>ADM</v>
      </c>
      <c r="F574" t="s">
        <v>23</v>
      </c>
      <c r="G574" t="s">
        <v>23</v>
      </c>
      <c r="J574" t="s">
        <v>17</v>
      </c>
      <c r="K574" s="23">
        <v>-1859.47</v>
      </c>
      <c r="L574" t="s">
        <v>24</v>
      </c>
      <c r="M574" t="s">
        <v>25</v>
      </c>
    </row>
    <row r="575" spans="1:13" hidden="1" x14ac:dyDescent="0.25">
      <c r="A575" s="5">
        <v>45782</v>
      </c>
      <c r="B575" t="s">
        <v>13</v>
      </c>
      <c r="C575" t="s">
        <v>47</v>
      </c>
      <c r="D575" t="s">
        <v>30</v>
      </c>
      <c r="E575" t="str">
        <f t="shared" si="9"/>
        <v>ADM</v>
      </c>
      <c r="F575" t="s">
        <v>16</v>
      </c>
      <c r="G575" t="s">
        <v>16</v>
      </c>
      <c r="J575" t="s">
        <v>17</v>
      </c>
      <c r="K575" s="23">
        <v>-249.21</v>
      </c>
      <c r="L575" t="s">
        <v>24</v>
      </c>
      <c r="M575" t="s">
        <v>25</v>
      </c>
    </row>
    <row r="576" spans="1:13" hidden="1" x14ac:dyDescent="0.25">
      <c r="A576" s="5">
        <v>45782</v>
      </c>
      <c r="B576" t="s">
        <v>13</v>
      </c>
      <c r="C576" t="s">
        <v>14</v>
      </c>
      <c r="D576" t="s">
        <v>15</v>
      </c>
      <c r="E576" t="str">
        <f t="shared" si="9"/>
        <v>ADM</v>
      </c>
      <c r="F576" t="s">
        <v>16</v>
      </c>
      <c r="G576" t="s">
        <v>16</v>
      </c>
      <c r="J576" t="s">
        <v>143</v>
      </c>
      <c r="K576" s="23">
        <v>952.25</v>
      </c>
      <c r="L576" t="s">
        <v>18</v>
      </c>
      <c r="M576" t="s">
        <v>19</v>
      </c>
    </row>
    <row r="577" spans="1:13" hidden="1" x14ac:dyDescent="0.25">
      <c r="A577" s="5">
        <v>45782</v>
      </c>
      <c r="B577" t="s">
        <v>569</v>
      </c>
      <c r="C577" t="s">
        <v>298</v>
      </c>
      <c r="D577" t="s">
        <v>56</v>
      </c>
      <c r="E577" t="str">
        <f t="shared" si="9"/>
        <v>Honorários</v>
      </c>
      <c r="F577" t="s">
        <v>135</v>
      </c>
      <c r="G577" t="s">
        <v>135</v>
      </c>
      <c r="I577" t="s">
        <v>136</v>
      </c>
      <c r="J577" t="s">
        <v>143</v>
      </c>
      <c r="K577" s="23">
        <v>303.60000000000002</v>
      </c>
      <c r="L577" t="s">
        <v>18</v>
      </c>
      <c r="M577" t="s">
        <v>19</v>
      </c>
    </row>
    <row r="578" spans="1:13" hidden="1" x14ac:dyDescent="0.25">
      <c r="A578" s="5">
        <v>45782</v>
      </c>
      <c r="B578" t="s">
        <v>13</v>
      </c>
      <c r="C578" t="s">
        <v>29</v>
      </c>
      <c r="D578" t="s">
        <v>30</v>
      </c>
      <c r="E578" t="str">
        <f t="shared" si="9"/>
        <v>ADM</v>
      </c>
      <c r="F578" t="s">
        <v>16</v>
      </c>
      <c r="G578" t="s">
        <v>16</v>
      </c>
      <c r="J578" t="s">
        <v>17</v>
      </c>
      <c r="K578" s="23">
        <v>-456.75</v>
      </c>
      <c r="L578" t="s">
        <v>24</v>
      </c>
      <c r="M578" t="s">
        <v>25</v>
      </c>
    </row>
    <row r="579" spans="1:13" hidden="1" x14ac:dyDescent="0.25">
      <c r="A579" s="5">
        <v>45782</v>
      </c>
      <c r="B579" t="s">
        <v>568</v>
      </c>
      <c r="C579" t="s">
        <v>393</v>
      </c>
      <c r="D579" t="s">
        <v>96</v>
      </c>
      <c r="E579" t="str">
        <f t="shared" si="9"/>
        <v>ADM</v>
      </c>
      <c r="F579" t="s">
        <v>97</v>
      </c>
      <c r="G579" t="s">
        <v>97</v>
      </c>
      <c r="J579" t="s">
        <v>17</v>
      </c>
      <c r="K579" s="23">
        <v>-67.58</v>
      </c>
      <c r="L579" t="s">
        <v>24</v>
      </c>
      <c r="M579" t="s">
        <v>25</v>
      </c>
    </row>
    <row r="580" spans="1:13" hidden="1" x14ac:dyDescent="0.25">
      <c r="A580" s="5">
        <v>45782</v>
      </c>
      <c r="B580" t="s">
        <v>568</v>
      </c>
      <c r="C580" t="s">
        <v>391</v>
      </c>
      <c r="D580" t="s">
        <v>96</v>
      </c>
      <c r="E580" t="str">
        <f t="shared" si="9"/>
        <v>ADM</v>
      </c>
      <c r="F580" t="s">
        <v>97</v>
      </c>
      <c r="G580" t="s">
        <v>97</v>
      </c>
      <c r="J580" t="s">
        <v>17</v>
      </c>
      <c r="K580" s="23">
        <v>-67.58</v>
      </c>
      <c r="L580" t="s">
        <v>24</v>
      </c>
      <c r="M580" t="s">
        <v>25</v>
      </c>
    </row>
    <row r="581" spans="1:13" hidden="1" x14ac:dyDescent="0.25">
      <c r="A581" s="5">
        <v>45782</v>
      </c>
      <c r="B581" t="s">
        <v>568</v>
      </c>
      <c r="C581" t="s">
        <v>388</v>
      </c>
      <c r="D581" t="s">
        <v>96</v>
      </c>
      <c r="E581" t="str">
        <f t="shared" si="9"/>
        <v>ADM</v>
      </c>
      <c r="F581" t="s">
        <v>97</v>
      </c>
      <c r="G581" t="s">
        <v>97</v>
      </c>
      <c r="J581" t="s">
        <v>17</v>
      </c>
      <c r="K581" s="23">
        <v>-1378.53</v>
      </c>
      <c r="L581" t="s">
        <v>24</v>
      </c>
      <c r="M581" t="s">
        <v>25</v>
      </c>
    </row>
    <row r="582" spans="1:13" hidden="1" x14ac:dyDescent="0.25">
      <c r="A582" s="5">
        <v>45782</v>
      </c>
      <c r="B582" t="s">
        <v>568</v>
      </c>
      <c r="C582" t="s">
        <v>390</v>
      </c>
      <c r="D582" t="s">
        <v>96</v>
      </c>
      <c r="E582" t="str">
        <f t="shared" si="9"/>
        <v>ADM</v>
      </c>
      <c r="F582" t="s">
        <v>97</v>
      </c>
      <c r="G582" t="s">
        <v>97</v>
      </c>
      <c r="J582" t="s">
        <v>17</v>
      </c>
      <c r="K582" s="23">
        <v>-67.58</v>
      </c>
      <c r="L582" t="s">
        <v>24</v>
      </c>
      <c r="M582" t="s">
        <v>25</v>
      </c>
    </row>
    <row r="583" spans="1:13" hidden="1" x14ac:dyDescent="0.25">
      <c r="A583" s="5">
        <v>45782</v>
      </c>
      <c r="B583" t="s">
        <v>13</v>
      </c>
      <c r="C583" t="s">
        <v>48</v>
      </c>
      <c r="D583" t="s">
        <v>30</v>
      </c>
      <c r="E583" t="str">
        <f t="shared" si="9"/>
        <v>ADM</v>
      </c>
      <c r="F583" t="s">
        <v>16</v>
      </c>
      <c r="G583" t="s">
        <v>16</v>
      </c>
      <c r="J583" t="s">
        <v>17</v>
      </c>
      <c r="K583" s="23">
        <v>-126</v>
      </c>
      <c r="L583" t="s">
        <v>24</v>
      </c>
      <c r="M583" t="s">
        <v>25</v>
      </c>
    </row>
    <row r="584" spans="1:13" hidden="1" x14ac:dyDescent="0.25">
      <c r="A584" s="5">
        <v>45782</v>
      </c>
      <c r="B584" t="s">
        <v>568</v>
      </c>
      <c r="C584" t="s">
        <v>71</v>
      </c>
      <c r="D584" t="s">
        <v>72</v>
      </c>
      <c r="E584" t="str">
        <f t="shared" si="9"/>
        <v>FIN</v>
      </c>
      <c r="F584" t="s">
        <v>23</v>
      </c>
      <c r="G584" t="s">
        <v>23</v>
      </c>
      <c r="J584" t="s">
        <v>17</v>
      </c>
      <c r="K584" s="23">
        <v>-79.5</v>
      </c>
      <c r="L584" t="s">
        <v>24</v>
      </c>
      <c r="M584" t="s">
        <v>25</v>
      </c>
    </row>
    <row r="585" spans="1:13" hidden="1" x14ac:dyDescent="0.25">
      <c r="A585" s="5">
        <v>45782</v>
      </c>
      <c r="B585" t="s">
        <v>568</v>
      </c>
      <c r="C585" t="s">
        <v>394</v>
      </c>
      <c r="D585" t="s">
        <v>96</v>
      </c>
      <c r="E585" t="str">
        <f t="shared" si="9"/>
        <v>ADM</v>
      </c>
      <c r="F585" t="s">
        <v>97</v>
      </c>
      <c r="G585" t="s">
        <v>97</v>
      </c>
      <c r="J585" t="s">
        <v>17</v>
      </c>
      <c r="K585" s="23">
        <v>-67.58</v>
      </c>
      <c r="L585" t="s">
        <v>24</v>
      </c>
      <c r="M585" t="s">
        <v>25</v>
      </c>
    </row>
    <row r="586" spans="1:13" hidden="1" x14ac:dyDescent="0.25">
      <c r="A586" s="5">
        <v>45782</v>
      </c>
      <c r="B586" t="s">
        <v>568</v>
      </c>
      <c r="C586" t="s">
        <v>389</v>
      </c>
      <c r="D586" t="s">
        <v>96</v>
      </c>
      <c r="E586" t="str">
        <f t="shared" si="9"/>
        <v>ADM</v>
      </c>
      <c r="F586" t="s">
        <v>97</v>
      </c>
      <c r="G586" t="s">
        <v>97</v>
      </c>
      <c r="J586" t="s">
        <v>17</v>
      </c>
      <c r="K586" s="23">
        <v>-1379.08</v>
      </c>
      <c r="L586" t="s">
        <v>24</v>
      </c>
      <c r="M586" t="s">
        <v>25</v>
      </c>
    </row>
    <row r="587" spans="1:13" hidden="1" x14ac:dyDescent="0.25">
      <c r="A587" s="5">
        <v>45783</v>
      </c>
      <c r="B587" t="s">
        <v>569</v>
      </c>
      <c r="C587" t="s">
        <v>395</v>
      </c>
      <c r="D587" t="s">
        <v>56</v>
      </c>
      <c r="E587" t="str">
        <f t="shared" si="9"/>
        <v>Honorários</v>
      </c>
      <c r="F587" t="s">
        <v>396</v>
      </c>
      <c r="G587" t="s">
        <v>396</v>
      </c>
      <c r="J587" t="s">
        <v>143</v>
      </c>
      <c r="K587" s="23">
        <v>300</v>
      </c>
      <c r="L587" t="s">
        <v>18</v>
      </c>
      <c r="M587" t="s">
        <v>19</v>
      </c>
    </row>
    <row r="588" spans="1:13" hidden="1" x14ac:dyDescent="0.25">
      <c r="A588" s="5">
        <v>45783</v>
      </c>
      <c r="B588" t="s">
        <v>569</v>
      </c>
      <c r="C588" t="s">
        <v>576</v>
      </c>
      <c r="D588" t="s">
        <v>56</v>
      </c>
      <c r="E588" t="str">
        <f t="shared" si="9"/>
        <v>Honorários</v>
      </c>
      <c r="F588" t="s">
        <v>577</v>
      </c>
      <c r="G588" t="s">
        <v>577</v>
      </c>
      <c r="I588" t="s">
        <v>82</v>
      </c>
      <c r="J588" t="s">
        <v>17</v>
      </c>
      <c r="K588" s="23">
        <v>1961.23</v>
      </c>
      <c r="L588" t="s">
        <v>18</v>
      </c>
      <c r="M588" t="s">
        <v>19</v>
      </c>
    </row>
    <row r="589" spans="1:13" hidden="1" x14ac:dyDescent="0.25">
      <c r="A589" s="5">
        <v>45783</v>
      </c>
      <c r="B589" t="s">
        <v>568</v>
      </c>
      <c r="C589" t="s">
        <v>118</v>
      </c>
      <c r="D589" t="s">
        <v>113</v>
      </c>
      <c r="E589" t="str">
        <f t="shared" si="9"/>
        <v>ADM</v>
      </c>
      <c r="F589" t="s">
        <v>114</v>
      </c>
      <c r="G589" t="s">
        <v>114</v>
      </c>
      <c r="J589" t="s">
        <v>17</v>
      </c>
      <c r="K589" s="23">
        <v>-137.37</v>
      </c>
      <c r="L589" t="s">
        <v>24</v>
      </c>
      <c r="M589" t="s">
        <v>25</v>
      </c>
    </row>
    <row r="590" spans="1:13" hidden="1" x14ac:dyDescent="0.25">
      <c r="A590" s="5">
        <v>45783</v>
      </c>
      <c r="B590" t="s">
        <v>569</v>
      </c>
      <c r="C590" t="s">
        <v>578</v>
      </c>
      <c r="D590" t="s">
        <v>56</v>
      </c>
      <c r="E590" t="str">
        <f t="shared" ref="E590:E648" si="10">IF(OR(D590="Honorários",D590="Despesa do cliente"),D590,LEFT(D590,3))</f>
        <v>Honorários</v>
      </c>
      <c r="F590" t="s">
        <v>579</v>
      </c>
      <c r="G590" t="s">
        <v>579</v>
      </c>
      <c r="I590" t="s">
        <v>75</v>
      </c>
      <c r="J590" t="s">
        <v>143</v>
      </c>
      <c r="K590" s="23">
        <v>1005.55</v>
      </c>
      <c r="L590" t="s">
        <v>18</v>
      </c>
      <c r="M590" t="s">
        <v>19</v>
      </c>
    </row>
    <row r="591" spans="1:13" hidden="1" x14ac:dyDescent="0.25">
      <c r="A591" s="5">
        <v>45784</v>
      </c>
      <c r="B591" t="s">
        <v>569</v>
      </c>
      <c r="C591" t="s">
        <v>576</v>
      </c>
      <c r="D591" t="s">
        <v>56</v>
      </c>
      <c r="E591" t="str">
        <f t="shared" si="10"/>
        <v>Honorários</v>
      </c>
      <c r="F591" t="s">
        <v>580</v>
      </c>
      <c r="G591" t="s">
        <v>580</v>
      </c>
      <c r="I591" t="s">
        <v>75</v>
      </c>
      <c r="J591" t="s">
        <v>17</v>
      </c>
      <c r="K591" s="23">
        <v>910.8</v>
      </c>
      <c r="L591" t="s">
        <v>18</v>
      </c>
      <c r="M591" t="s">
        <v>19</v>
      </c>
    </row>
    <row r="592" spans="1:13" hidden="1" x14ac:dyDescent="0.25">
      <c r="A592" s="5">
        <v>45785</v>
      </c>
      <c r="B592" t="s">
        <v>569</v>
      </c>
      <c r="C592" t="s">
        <v>581</v>
      </c>
      <c r="D592" t="s">
        <v>28</v>
      </c>
      <c r="E592" t="str">
        <f t="shared" si="10"/>
        <v>ADM</v>
      </c>
      <c r="F592" t="s">
        <v>54</v>
      </c>
      <c r="G592" t="s">
        <v>54</v>
      </c>
      <c r="J592" t="s">
        <v>17</v>
      </c>
      <c r="K592" s="23">
        <v>-189.68</v>
      </c>
      <c r="L592" t="s">
        <v>24</v>
      </c>
      <c r="M592" t="s">
        <v>25</v>
      </c>
    </row>
    <row r="593" spans="1:13" hidden="1" x14ac:dyDescent="0.25">
      <c r="A593" s="5">
        <v>45785</v>
      </c>
      <c r="B593" t="s">
        <v>568</v>
      </c>
      <c r="C593" t="s">
        <v>582</v>
      </c>
      <c r="D593" t="s">
        <v>30</v>
      </c>
      <c r="E593" t="str">
        <f t="shared" si="10"/>
        <v>ADM</v>
      </c>
      <c r="F593" t="s">
        <v>583</v>
      </c>
      <c r="G593" t="s">
        <v>583</v>
      </c>
      <c r="J593" t="s">
        <v>143</v>
      </c>
      <c r="K593" s="23">
        <v>-250</v>
      </c>
      <c r="L593" t="s">
        <v>24</v>
      </c>
      <c r="M593" t="s">
        <v>25</v>
      </c>
    </row>
    <row r="594" spans="1:13" hidden="1" x14ac:dyDescent="0.25">
      <c r="A594" s="5">
        <v>45785</v>
      </c>
      <c r="B594" t="s">
        <v>568</v>
      </c>
      <c r="C594" t="s">
        <v>437</v>
      </c>
      <c r="D594" t="s">
        <v>113</v>
      </c>
      <c r="E594" t="str">
        <f t="shared" si="10"/>
        <v>ADM</v>
      </c>
      <c r="F594" t="s">
        <v>438</v>
      </c>
      <c r="G594" t="s">
        <v>438</v>
      </c>
      <c r="J594" t="s">
        <v>17</v>
      </c>
      <c r="K594" s="23">
        <v>-259.27</v>
      </c>
      <c r="L594" t="s">
        <v>24</v>
      </c>
      <c r="M594" t="s">
        <v>25</v>
      </c>
    </row>
    <row r="595" spans="1:13" hidden="1" x14ac:dyDescent="0.25">
      <c r="A595" s="5">
        <v>45785</v>
      </c>
      <c r="B595" t="s">
        <v>568</v>
      </c>
      <c r="C595" t="s">
        <v>439</v>
      </c>
      <c r="D595" t="s">
        <v>113</v>
      </c>
      <c r="E595" t="str">
        <f t="shared" si="10"/>
        <v>ADM</v>
      </c>
      <c r="F595" t="s">
        <v>438</v>
      </c>
      <c r="G595" t="s">
        <v>438</v>
      </c>
      <c r="J595" t="s">
        <v>17</v>
      </c>
      <c r="K595" s="23">
        <v>-127.08</v>
      </c>
      <c r="L595" t="s">
        <v>24</v>
      </c>
      <c r="M595" t="s">
        <v>25</v>
      </c>
    </row>
    <row r="596" spans="1:13" hidden="1" x14ac:dyDescent="0.25">
      <c r="A596" s="5">
        <v>45786</v>
      </c>
      <c r="B596" t="s">
        <v>569</v>
      </c>
      <c r="C596" t="s">
        <v>411</v>
      </c>
      <c r="D596" t="s">
        <v>56</v>
      </c>
      <c r="E596" t="str">
        <f t="shared" si="10"/>
        <v>Honorários</v>
      </c>
      <c r="F596" t="s">
        <v>412</v>
      </c>
      <c r="G596" t="s">
        <v>412</v>
      </c>
      <c r="I596" t="s">
        <v>196</v>
      </c>
      <c r="J596" t="s">
        <v>143</v>
      </c>
      <c r="K596" s="23">
        <v>300</v>
      </c>
      <c r="L596" t="s">
        <v>18</v>
      </c>
      <c r="M596" t="s">
        <v>19</v>
      </c>
    </row>
    <row r="597" spans="1:13" hidden="1" x14ac:dyDescent="0.25">
      <c r="A597" s="5">
        <v>45786</v>
      </c>
      <c r="B597" t="s">
        <v>568</v>
      </c>
      <c r="C597" t="s">
        <v>91</v>
      </c>
      <c r="D597" t="s">
        <v>56</v>
      </c>
      <c r="E597" t="str">
        <f t="shared" si="10"/>
        <v>Honorários</v>
      </c>
      <c r="F597" t="s">
        <v>92</v>
      </c>
      <c r="G597" t="s">
        <v>92</v>
      </c>
      <c r="I597" t="s">
        <v>93</v>
      </c>
      <c r="J597" t="s">
        <v>17</v>
      </c>
      <c r="K597" s="23">
        <v>370</v>
      </c>
      <c r="L597" t="s">
        <v>18</v>
      </c>
      <c r="M597" t="s">
        <v>19</v>
      </c>
    </row>
    <row r="598" spans="1:13" hidden="1" x14ac:dyDescent="0.25">
      <c r="A598" s="5">
        <v>45786</v>
      </c>
      <c r="B598" t="s">
        <v>569</v>
      </c>
      <c r="C598" t="s">
        <v>584</v>
      </c>
      <c r="D598" t="s">
        <v>99</v>
      </c>
      <c r="E598" t="str">
        <f t="shared" si="10"/>
        <v>ADM</v>
      </c>
      <c r="F598" t="s">
        <v>100</v>
      </c>
      <c r="G598" t="s">
        <v>100</v>
      </c>
      <c r="J598" t="s">
        <v>143</v>
      </c>
      <c r="K598" s="23">
        <v>-340</v>
      </c>
      <c r="L598" t="s">
        <v>24</v>
      </c>
      <c r="M598" t="s">
        <v>25</v>
      </c>
    </row>
    <row r="599" spans="1:13" hidden="1" x14ac:dyDescent="0.25">
      <c r="A599" s="5">
        <v>45786</v>
      </c>
      <c r="B599" t="s">
        <v>568</v>
      </c>
      <c r="C599" t="s">
        <v>585</v>
      </c>
      <c r="D599" t="s">
        <v>56</v>
      </c>
      <c r="E599" t="str">
        <f t="shared" si="10"/>
        <v>Honorários</v>
      </c>
      <c r="F599" t="s">
        <v>586</v>
      </c>
      <c r="G599" t="s">
        <v>586</v>
      </c>
      <c r="I599" t="s">
        <v>587</v>
      </c>
      <c r="J599" t="s">
        <v>17</v>
      </c>
      <c r="K599" s="23">
        <v>8343.1</v>
      </c>
      <c r="L599" t="s">
        <v>18</v>
      </c>
      <c r="M599" t="s">
        <v>83</v>
      </c>
    </row>
    <row r="600" spans="1:13" hidden="1" x14ac:dyDescent="0.25">
      <c r="A600" s="5">
        <v>45789</v>
      </c>
      <c r="B600" t="s">
        <v>568</v>
      </c>
      <c r="C600" t="s">
        <v>588</v>
      </c>
      <c r="D600" t="s">
        <v>56</v>
      </c>
      <c r="E600" t="str">
        <f t="shared" si="10"/>
        <v>Honorários</v>
      </c>
      <c r="F600" t="s">
        <v>268</v>
      </c>
      <c r="G600" t="s">
        <v>268</v>
      </c>
      <c r="I600" t="s">
        <v>82</v>
      </c>
      <c r="J600" t="s">
        <v>143</v>
      </c>
      <c r="K600" s="23">
        <v>8250.41</v>
      </c>
      <c r="L600" t="s">
        <v>18</v>
      </c>
      <c r="M600" t="s">
        <v>19</v>
      </c>
    </row>
    <row r="601" spans="1:13" hidden="1" x14ac:dyDescent="0.25">
      <c r="A601" s="5">
        <v>45789</v>
      </c>
      <c r="B601" t="s">
        <v>568</v>
      </c>
      <c r="C601" t="s">
        <v>588</v>
      </c>
      <c r="D601" t="s">
        <v>56</v>
      </c>
      <c r="E601" t="str">
        <f t="shared" si="10"/>
        <v>Honorários</v>
      </c>
      <c r="F601" t="s">
        <v>135</v>
      </c>
      <c r="G601" t="s">
        <v>135</v>
      </c>
      <c r="I601" t="s">
        <v>136</v>
      </c>
      <c r="J601" t="s">
        <v>143</v>
      </c>
      <c r="K601" s="23">
        <v>8133.11</v>
      </c>
      <c r="L601" t="s">
        <v>18</v>
      </c>
      <c r="M601" t="s">
        <v>19</v>
      </c>
    </row>
    <row r="602" spans="1:13" hidden="1" x14ac:dyDescent="0.25">
      <c r="A602" s="5">
        <v>45789</v>
      </c>
      <c r="B602" t="s">
        <v>569</v>
      </c>
      <c r="C602" t="s">
        <v>119</v>
      </c>
      <c r="D602" t="s">
        <v>72</v>
      </c>
      <c r="E602" t="str">
        <f t="shared" si="10"/>
        <v>FIN</v>
      </c>
      <c r="F602" t="s">
        <v>120</v>
      </c>
      <c r="G602" t="s">
        <v>120</v>
      </c>
      <c r="J602" t="s">
        <v>17</v>
      </c>
      <c r="K602" s="23">
        <v>-15</v>
      </c>
      <c r="L602" t="s">
        <v>24</v>
      </c>
      <c r="M602" t="s">
        <v>25</v>
      </c>
    </row>
    <row r="603" spans="1:13" hidden="1" x14ac:dyDescent="0.25">
      <c r="A603" s="5">
        <v>45789</v>
      </c>
      <c r="B603" t="s">
        <v>569</v>
      </c>
      <c r="C603" t="s">
        <v>589</v>
      </c>
      <c r="D603" t="s">
        <v>56</v>
      </c>
      <c r="E603" t="str">
        <f t="shared" si="10"/>
        <v>Honorários</v>
      </c>
      <c r="F603" t="s">
        <v>590</v>
      </c>
      <c r="G603" t="s">
        <v>590</v>
      </c>
      <c r="I603" t="s">
        <v>591</v>
      </c>
      <c r="J603" t="s">
        <v>17</v>
      </c>
      <c r="K603" s="23">
        <v>28467.7</v>
      </c>
      <c r="L603" t="s">
        <v>18</v>
      </c>
      <c r="M603" t="s">
        <v>19</v>
      </c>
    </row>
    <row r="604" spans="1:13" hidden="1" x14ac:dyDescent="0.25">
      <c r="A604" s="5">
        <v>45789</v>
      </c>
      <c r="B604" t="s">
        <v>569</v>
      </c>
      <c r="C604" t="s">
        <v>592</v>
      </c>
      <c r="D604" t="s">
        <v>300</v>
      </c>
      <c r="E604" t="str">
        <f t="shared" si="10"/>
        <v>VAR</v>
      </c>
      <c r="F604" t="s">
        <v>513</v>
      </c>
      <c r="G604" t="s">
        <v>513</v>
      </c>
      <c r="I604" t="s">
        <v>75</v>
      </c>
      <c r="J604" t="s">
        <v>143</v>
      </c>
      <c r="K604" s="23">
        <v>-136.62</v>
      </c>
      <c r="L604" t="s">
        <v>24</v>
      </c>
      <c r="M604" t="s">
        <v>25</v>
      </c>
    </row>
    <row r="605" spans="1:13" hidden="1" x14ac:dyDescent="0.25">
      <c r="A605" s="5">
        <v>45789</v>
      </c>
      <c r="B605" t="s">
        <v>568</v>
      </c>
      <c r="C605" t="s">
        <v>593</v>
      </c>
      <c r="D605" t="s">
        <v>56</v>
      </c>
      <c r="E605" t="str">
        <f t="shared" si="10"/>
        <v>Honorários</v>
      </c>
      <c r="F605" t="s">
        <v>594</v>
      </c>
      <c r="G605" t="s">
        <v>594</v>
      </c>
      <c r="I605" t="s">
        <v>75</v>
      </c>
      <c r="J605" t="s">
        <v>143</v>
      </c>
      <c r="K605" s="23">
        <v>4210.33</v>
      </c>
      <c r="L605" t="s">
        <v>18</v>
      </c>
      <c r="M605" t="s">
        <v>19</v>
      </c>
    </row>
    <row r="606" spans="1:13" hidden="1" x14ac:dyDescent="0.25">
      <c r="A606" s="5">
        <v>45789</v>
      </c>
      <c r="B606" t="s">
        <v>568</v>
      </c>
      <c r="C606" t="s">
        <v>127</v>
      </c>
      <c r="D606" t="s">
        <v>128</v>
      </c>
      <c r="E606" t="str">
        <f t="shared" si="10"/>
        <v>PES</v>
      </c>
      <c r="F606" t="s">
        <v>129</v>
      </c>
      <c r="G606" t="s">
        <v>129</v>
      </c>
      <c r="J606" t="s">
        <v>17</v>
      </c>
      <c r="K606" s="23">
        <v>-106.73</v>
      </c>
      <c r="L606" t="s">
        <v>24</v>
      </c>
      <c r="M606" t="s">
        <v>25</v>
      </c>
    </row>
    <row r="607" spans="1:13" hidden="1" x14ac:dyDescent="0.25">
      <c r="A607" s="5">
        <v>45789</v>
      </c>
      <c r="B607" t="s">
        <v>568</v>
      </c>
      <c r="C607" t="s">
        <v>595</v>
      </c>
      <c r="D607" t="s">
        <v>56</v>
      </c>
      <c r="E607" t="str">
        <f t="shared" si="10"/>
        <v>Honorários</v>
      </c>
      <c r="F607" t="s">
        <v>596</v>
      </c>
      <c r="G607" t="s">
        <v>596</v>
      </c>
      <c r="I607" t="s">
        <v>597</v>
      </c>
      <c r="J607" t="s">
        <v>143</v>
      </c>
      <c r="K607" s="23">
        <v>429.92</v>
      </c>
      <c r="L607" t="s">
        <v>18</v>
      </c>
      <c r="M607" t="s">
        <v>19</v>
      </c>
    </row>
    <row r="608" spans="1:13" hidden="1" x14ac:dyDescent="0.25">
      <c r="A608" s="5">
        <v>45789</v>
      </c>
      <c r="B608" t="s">
        <v>569</v>
      </c>
      <c r="C608" t="s">
        <v>598</v>
      </c>
      <c r="D608" t="s">
        <v>56</v>
      </c>
      <c r="E608" t="str">
        <f t="shared" si="10"/>
        <v>Honorários</v>
      </c>
      <c r="F608" t="s">
        <v>513</v>
      </c>
      <c r="G608" t="s">
        <v>513</v>
      </c>
      <c r="I608" t="s">
        <v>75</v>
      </c>
      <c r="J608" t="s">
        <v>143</v>
      </c>
      <c r="K608" s="23">
        <v>455.4</v>
      </c>
      <c r="L608" t="s">
        <v>18</v>
      </c>
      <c r="M608" t="s">
        <v>19</v>
      </c>
    </row>
    <row r="609" spans="1:13" hidden="1" x14ac:dyDescent="0.25">
      <c r="A609" s="5">
        <v>45789</v>
      </c>
      <c r="B609" t="s">
        <v>568</v>
      </c>
      <c r="C609" t="s">
        <v>588</v>
      </c>
      <c r="D609" t="s">
        <v>56</v>
      </c>
      <c r="E609" t="str">
        <f t="shared" si="10"/>
        <v>Honorários</v>
      </c>
      <c r="F609" t="s">
        <v>599</v>
      </c>
      <c r="G609" t="s">
        <v>599</v>
      </c>
      <c r="I609" t="s">
        <v>323</v>
      </c>
      <c r="J609" t="s">
        <v>143</v>
      </c>
      <c r="K609" s="23">
        <v>16159.9</v>
      </c>
      <c r="L609" t="s">
        <v>18</v>
      </c>
      <c r="M609" t="s">
        <v>19</v>
      </c>
    </row>
    <row r="610" spans="1:13" hidden="1" x14ac:dyDescent="0.25">
      <c r="A610" s="5">
        <v>45789</v>
      </c>
      <c r="B610" t="s">
        <v>568</v>
      </c>
      <c r="C610" t="s">
        <v>600</v>
      </c>
      <c r="D610" t="s">
        <v>56</v>
      </c>
      <c r="E610" t="str">
        <f t="shared" si="10"/>
        <v>Honorários</v>
      </c>
      <c r="F610" t="s">
        <v>135</v>
      </c>
      <c r="G610" t="s">
        <v>135</v>
      </c>
      <c r="I610" t="s">
        <v>136</v>
      </c>
      <c r="J610" t="s">
        <v>143</v>
      </c>
      <c r="K610" s="23">
        <v>2428.8000000000002</v>
      </c>
      <c r="L610" t="s">
        <v>18</v>
      </c>
      <c r="M610" t="s">
        <v>19</v>
      </c>
    </row>
    <row r="611" spans="1:13" hidden="1" x14ac:dyDescent="0.25">
      <c r="A611" s="5">
        <v>45789</v>
      </c>
      <c r="B611" t="s">
        <v>575</v>
      </c>
      <c r="C611" t="s">
        <v>601</v>
      </c>
      <c r="D611" t="s">
        <v>56</v>
      </c>
      <c r="E611" t="str">
        <f t="shared" si="10"/>
        <v>Honorários</v>
      </c>
      <c r="F611" t="s">
        <v>92</v>
      </c>
      <c r="G611" t="s">
        <v>92</v>
      </c>
      <c r="I611" t="s">
        <v>93</v>
      </c>
      <c r="J611" t="s">
        <v>143</v>
      </c>
      <c r="K611" s="23">
        <v>12</v>
      </c>
      <c r="L611" t="s">
        <v>18</v>
      </c>
      <c r="M611" t="s">
        <v>19</v>
      </c>
    </row>
    <row r="612" spans="1:13" hidden="1" x14ac:dyDescent="0.25">
      <c r="A612" s="5">
        <v>45790</v>
      </c>
      <c r="B612" t="s">
        <v>569</v>
      </c>
      <c r="C612" t="s">
        <v>576</v>
      </c>
      <c r="D612" t="s">
        <v>56</v>
      </c>
      <c r="E612" t="str">
        <f t="shared" si="10"/>
        <v>Honorários</v>
      </c>
      <c r="F612" t="s">
        <v>602</v>
      </c>
      <c r="G612" t="s">
        <v>602</v>
      </c>
      <c r="I612" t="s">
        <v>79</v>
      </c>
      <c r="J612" t="s">
        <v>17</v>
      </c>
      <c r="K612" s="23">
        <v>684.3</v>
      </c>
      <c r="L612" t="s">
        <v>18</v>
      </c>
      <c r="M612" t="s">
        <v>19</v>
      </c>
    </row>
    <row r="613" spans="1:13" hidden="1" x14ac:dyDescent="0.25">
      <c r="A613" s="5">
        <v>45790</v>
      </c>
      <c r="B613" t="s">
        <v>568</v>
      </c>
      <c r="C613" t="s">
        <v>603</v>
      </c>
      <c r="D613" t="s">
        <v>56</v>
      </c>
      <c r="E613" t="str">
        <f t="shared" si="10"/>
        <v>Honorários</v>
      </c>
      <c r="F613" t="s">
        <v>604</v>
      </c>
      <c r="G613" t="s">
        <v>604</v>
      </c>
      <c r="I613" t="s">
        <v>605</v>
      </c>
      <c r="J613" t="s">
        <v>143</v>
      </c>
      <c r="K613" s="23">
        <v>6518</v>
      </c>
      <c r="L613" t="s">
        <v>18</v>
      </c>
      <c r="M613" t="s">
        <v>83</v>
      </c>
    </row>
    <row r="614" spans="1:13" hidden="1" x14ac:dyDescent="0.25">
      <c r="A614" s="5">
        <v>45791</v>
      </c>
      <c r="B614" t="s">
        <v>569</v>
      </c>
      <c r="C614" t="s">
        <v>576</v>
      </c>
      <c r="D614" t="s">
        <v>56</v>
      </c>
      <c r="E614" t="str">
        <f t="shared" si="10"/>
        <v>Honorários</v>
      </c>
      <c r="F614" t="s">
        <v>606</v>
      </c>
      <c r="G614" t="s">
        <v>606</v>
      </c>
      <c r="I614" t="s">
        <v>607</v>
      </c>
      <c r="J614" t="s">
        <v>17</v>
      </c>
      <c r="K614" s="23">
        <v>1125</v>
      </c>
      <c r="L614" t="s">
        <v>18</v>
      </c>
      <c r="M614" t="s">
        <v>19</v>
      </c>
    </row>
    <row r="615" spans="1:13" hidden="1" x14ac:dyDescent="0.25">
      <c r="A615" s="5">
        <v>45791</v>
      </c>
      <c r="B615" t="s">
        <v>569</v>
      </c>
      <c r="C615" t="s">
        <v>608</v>
      </c>
      <c r="D615" t="s">
        <v>56</v>
      </c>
      <c r="E615" t="str">
        <f t="shared" si="10"/>
        <v>Honorários</v>
      </c>
      <c r="F615" t="s">
        <v>609</v>
      </c>
      <c r="G615" t="s">
        <v>609</v>
      </c>
      <c r="I615" t="s">
        <v>75</v>
      </c>
      <c r="J615" t="s">
        <v>143</v>
      </c>
      <c r="K615" s="23">
        <v>1343.46</v>
      </c>
      <c r="L615" t="s">
        <v>18</v>
      </c>
      <c r="M615" t="s">
        <v>19</v>
      </c>
    </row>
    <row r="616" spans="1:13" hidden="1" x14ac:dyDescent="0.25">
      <c r="A616" s="5">
        <v>45791</v>
      </c>
      <c r="B616" t="s">
        <v>569</v>
      </c>
      <c r="C616" t="s">
        <v>578</v>
      </c>
      <c r="D616" t="s">
        <v>56</v>
      </c>
      <c r="E616" t="str">
        <f t="shared" si="10"/>
        <v>Honorários</v>
      </c>
      <c r="F616" t="s">
        <v>218</v>
      </c>
      <c r="G616" t="s">
        <v>218</v>
      </c>
      <c r="I616" t="s">
        <v>75</v>
      </c>
      <c r="J616" t="s">
        <v>143</v>
      </c>
      <c r="K616" s="23">
        <v>683.1</v>
      </c>
      <c r="L616" t="s">
        <v>18</v>
      </c>
      <c r="M616" t="s">
        <v>19</v>
      </c>
    </row>
    <row r="617" spans="1:13" hidden="1" x14ac:dyDescent="0.25">
      <c r="A617" s="5">
        <v>45792</v>
      </c>
      <c r="B617" t="s">
        <v>569</v>
      </c>
      <c r="C617" t="s">
        <v>13</v>
      </c>
      <c r="D617" t="s">
        <v>15</v>
      </c>
      <c r="E617" t="str">
        <f t="shared" si="10"/>
        <v>ADM</v>
      </c>
      <c r="F617" t="s">
        <v>16</v>
      </c>
      <c r="G617" t="s">
        <v>16</v>
      </c>
      <c r="J617" t="s">
        <v>17</v>
      </c>
      <c r="K617" s="23">
        <v>-952.25</v>
      </c>
      <c r="L617" t="s">
        <v>24</v>
      </c>
      <c r="M617" t="s">
        <v>25</v>
      </c>
    </row>
    <row r="618" spans="1:13" hidden="1" x14ac:dyDescent="0.25">
      <c r="A618" s="5">
        <v>45793</v>
      </c>
      <c r="B618" t="s">
        <v>569</v>
      </c>
      <c r="C618" t="s">
        <v>610</v>
      </c>
      <c r="D618" t="s">
        <v>611</v>
      </c>
      <c r="E618" t="str">
        <f t="shared" si="10"/>
        <v>COM</v>
      </c>
      <c r="F618" t="s">
        <v>612</v>
      </c>
      <c r="G618" t="s">
        <v>612</v>
      </c>
      <c r="J618" t="s">
        <v>143</v>
      </c>
      <c r="K618" s="23">
        <v>-147.49</v>
      </c>
      <c r="L618" t="s">
        <v>24</v>
      </c>
      <c r="M618" t="s">
        <v>25</v>
      </c>
    </row>
    <row r="619" spans="1:13" hidden="1" x14ac:dyDescent="0.25">
      <c r="A619" s="5">
        <v>45793</v>
      </c>
      <c r="B619" t="s">
        <v>568</v>
      </c>
      <c r="C619" t="s">
        <v>613</v>
      </c>
      <c r="D619" t="s">
        <v>300</v>
      </c>
      <c r="E619" t="str">
        <f t="shared" si="10"/>
        <v>VAR</v>
      </c>
      <c r="F619" t="s">
        <v>590</v>
      </c>
      <c r="G619" t="s">
        <v>590</v>
      </c>
      <c r="I619" t="s">
        <v>591</v>
      </c>
      <c r="J619" t="s">
        <v>143</v>
      </c>
      <c r="K619" s="23">
        <v>-13370.84</v>
      </c>
      <c r="L619" t="s">
        <v>24</v>
      </c>
      <c r="M619" t="s">
        <v>25</v>
      </c>
    </row>
    <row r="620" spans="1:13" hidden="1" x14ac:dyDescent="0.25">
      <c r="A620" s="5">
        <v>45793</v>
      </c>
      <c r="B620" t="s">
        <v>568</v>
      </c>
      <c r="C620" t="s">
        <v>614</v>
      </c>
      <c r="D620" t="s">
        <v>300</v>
      </c>
      <c r="E620" t="str">
        <f t="shared" si="10"/>
        <v>VAR</v>
      </c>
      <c r="F620" t="s">
        <v>590</v>
      </c>
      <c r="G620" t="s">
        <v>590</v>
      </c>
      <c r="I620" t="s">
        <v>591</v>
      </c>
      <c r="J620" t="s">
        <v>143</v>
      </c>
      <c r="K620" s="23">
        <v>-5705.55</v>
      </c>
      <c r="L620" t="s">
        <v>24</v>
      </c>
      <c r="M620" t="s">
        <v>25</v>
      </c>
    </row>
    <row r="621" spans="1:13" hidden="1" x14ac:dyDescent="0.25">
      <c r="A621" s="5">
        <v>45793</v>
      </c>
      <c r="B621" t="s">
        <v>569</v>
      </c>
      <c r="C621" t="s">
        <v>331</v>
      </c>
      <c r="D621" t="s">
        <v>162</v>
      </c>
      <c r="E621" t="str">
        <f t="shared" si="10"/>
        <v>COM</v>
      </c>
      <c r="F621" t="s">
        <v>208</v>
      </c>
      <c r="G621" t="s">
        <v>208</v>
      </c>
      <c r="J621" t="s">
        <v>143</v>
      </c>
      <c r="K621" s="23">
        <v>-100</v>
      </c>
      <c r="L621" t="s">
        <v>24</v>
      </c>
      <c r="M621" t="s">
        <v>25</v>
      </c>
    </row>
    <row r="622" spans="1:13" hidden="1" x14ac:dyDescent="0.25">
      <c r="A622" s="5">
        <v>45793</v>
      </c>
      <c r="B622" t="s">
        <v>569</v>
      </c>
      <c r="C622" t="s">
        <v>584</v>
      </c>
      <c r="D622" t="s">
        <v>99</v>
      </c>
      <c r="E622" t="str">
        <f t="shared" si="10"/>
        <v>ADM</v>
      </c>
      <c r="F622" t="s">
        <v>100</v>
      </c>
      <c r="G622" t="s">
        <v>100</v>
      </c>
      <c r="J622" t="s">
        <v>143</v>
      </c>
      <c r="K622" s="23">
        <v>-340</v>
      </c>
      <c r="L622" t="s">
        <v>24</v>
      </c>
      <c r="M622" t="s">
        <v>25</v>
      </c>
    </row>
    <row r="623" spans="1:13" hidden="1" x14ac:dyDescent="0.25">
      <c r="A623" s="5">
        <v>45793</v>
      </c>
      <c r="B623" t="s">
        <v>569</v>
      </c>
      <c r="C623" t="s">
        <v>615</v>
      </c>
      <c r="D623" t="s">
        <v>616</v>
      </c>
      <c r="E623" t="str">
        <f t="shared" si="10"/>
        <v>COM</v>
      </c>
      <c r="F623" t="s">
        <v>540</v>
      </c>
      <c r="G623" t="s">
        <v>540</v>
      </c>
      <c r="J623" t="s">
        <v>143</v>
      </c>
      <c r="K623" s="23">
        <v>-97.08</v>
      </c>
      <c r="L623" t="s">
        <v>24</v>
      </c>
      <c r="M623" t="s">
        <v>25</v>
      </c>
    </row>
    <row r="624" spans="1:13" hidden="1" x14ac:dyDescent="0.25">
      <c r="A624" s="5">
        <v>45793</v>
      </c>
      <c r="B624" t="s">
        <v>569</v>
      </c>
      <c r="C624" t="s">
        <v>331</v>
      </c>
      <c r="D624" t="s">
        <v>162</v>
      </c>
      <c r="E624" t="str">
        <f t="shared" si="10"/>
        <v>COM</v>
      </c>
      <c r="F624" t="s">
        <v>617</v>
      </c>
      <c r="G624" t="s">
        <v>617</v>
      </c>
      <c r="J624" t="s">
        <v>143</v>
      </c>
      <c r="K624" s="23">
        <v>-200</v>
      </c>
      <c r="L624" t="s">
        <v>24</v>
      </c>
      <c r="M624" t="s">
        <v>25</v>
      </c>
    </row>
    <row r="625" spans="1:13" hidden="1" x14ac:dyDescent="0.25">
      <c r="A625" s="5">
        <v>45793</v>
      </c>
      <c r="B625" t="s">
        <v>569</v>
      </c>
      <c r="C625" t="s">
        <v>479</v>
      </c>
      <c r="D625" t="s">
        <v>1488</v>
      </c>
      <c r="E625" t="str">
        <f t="shared" si="10"/>
        <v>PES</v>
      </c>
      <c r="F625" t="s">
        <v>618</v>
      </c>
      <c r="G625" t="s">
        <v>618</v>
      </c>
      <c r="J625" t="s">
        <v>143</v>
      </c>
      <c r="K625" s="23">
        <v>-48</v>
      </c>
      <c r="L625" t="s">
        <v>24</v>
      </c>
      <c r="M625" t="s">
        <v>25</v>
      </c>
    </row>
    <row r="626" spans="1:13" hidden="1" x14ac:dyDescent="0.25">
      <c r="A626" s="5">
        <v>45796</v>
      </c>
      <c r="B626" t="s">
        <v>568</v>
      </c>
      <c r="C626" t="s">
        <v>619</v>
      </c>
      <c r="D626" t="s">
        <v>56</v>
      </c>
      <c r="E626" t="str">
        <f t="shared" si="10"/>
        <v>Honorários</v>
      </c>
      <c r="F626" t="s">
        <v>620</v>
      </c>
      <c r="G626" t="s">
        <v>620</v>
      </c>
      <c r="I626" t="s">
        <v>621</v>
      </c>
      <c r="J626" t="s">
        <v>143</v>
      </c>
      <c r="K626" s="23">
        <v>18995.61</v>
      </c>
      <c r="L626" t="s">
        <v>18</v>
      </c>
      <c r="M626" t="s">
        <v>19</v>
      </c>
    </row>
    <row r="627" spans="1:13" hidden="1" x14ac:dyDescent="0.25">
      <c r="A627" s="5">
        <v>45796</v>
      </c>
      <c r="B627" t="s">
        <v>569</v>
      </c>
      <c r="C627" t="s">
        <v>622</v>
      </c>
      <c r="D627" t="s">
        <v>611</v>
      </c>
      <c r="E627" t="str">
        <f t="shared" si="10"/>
        <v>COM</v>
      </c>
      <c r="F627" t="s">
        <v>515</v>
      </c>
      <c r="G627" t="s">
        <v>515</v>
      </c>
      <c r="J627" t="s">
        <v>143</v>
      </c>
      <c r="K627" s="23">
        <v>-77.89</v>
      </c>
      <c r="L627" t="s">
        <v>24</v>
      </c>
      <c r="M627" t="s">
        <v>25</v>
      </c>
    </row>
    <row r="628" spans="1:13" hidden="1" x14ac:dyDescent="0.25">
      <c r="A628" s="5">
        <v>45797</v>
      </c>
      <c r="B628" t="s">
        <v>569</v>
      </c>
      <c r="C628" t="s">
        <v>623</v>
      </c>
      <c r="D628" t="s">
        <v>56</v>
      </c>
      <c r="E628" t="str">
        <f t="shared" si="10"/>
        <v>Honorários</v>
      </c>
      <c r="F628" t="s">
        <v>529</v>
      </c>
      <c r="G628" t="s">
        <v>529</v>
      </c>
      <c r="I628" t="s">
        <v>624</v>
      </c>
      <c r="J628" t="s">
        <v>143</v>
      </c>
      <c r="K628" s="23">
        <v>390</v>
      </c>
      <c r="L628" t="s">
        <v>18</v>
      </c>
      <c r="M628" t="s">
        <v>19</v>
      </c>
    </row>
    <row r="629" spans="1:13" hidden="1" x14ac:dyDescent="0.25">
      <c r="A629" s="5">
        <v>45797</v>
      </c>
      <c r="B629" t="s">
        <v>569</v>
      </c>
      <c r="C629" t="s">
        <v>625</v>
      </c>
      <c r="D629" t="s">
        <v>626</v>
      </c>
      <c r="E629" t="str">
        <f>IF(ISERROR(FIND("-",D629,1)),D629,LEFT(D629,3))</f>
        <v>Reembolso</v>
      </c>
      <c r="F629" t="s">
        <v>145</v>
      </c>
      <c r="G629" t="s">
        <v>145</v>
      </c>
      <c r="J629" t="s">
        <v>17</v>
      </c>
      <c r="K629" s="23">
        <v>21.73</v>
      </c>
      <c r="L629" t="s">
        <v>18</v>
      </c>
      <c r="M629" t="s">
        <v>19</v>
      </c>
    </row>
    <row r="630" spans="1:13" hidden="1" x14ac:dyDescent="0.25">
      <c r="A630" s="5">
        <v>45797</v>
      </c>
      <c r="B630" t="s">
        <v>568</v>
      </c>
      <c r="C630" t="s">
        <v>352</v>
      </c>
      <c r="D630" t="s">
        <v>302</v>
      </c>
      <c r="E630" t="str">
        <f t="shared" si="10"/>
        <v>ADM</v>
      </c>
      <c r="F630" t="s">
        <v>303</v>
      </c>
      <c r="G630" t="s">
        <v>303</v>
      </c>
      <c r="J630" t="s">
        <v>143</v>
      </c>
      <c r="K630" s="23">
        <v>-42.74</v>
      </c>
      <c r="L630" t="s">
        <v>24</v>
      </c>
      <c r="M630" t="s">
        <v>25</v>
      </c>
    </row>
    <row r="631" spans="1:13" hidden="1" x14ac:dyDescent="0.25">
      <c r="A631" s="5">
        <v>45797</v>
      </c>
      <c r="B631" t="s">
        <v>569</v>
      </c>
      <c r="C631" t="s">
        <v>627</v>
      </c>
      <c r="D631" t="s">
        <v>56</v>
      </c>
      <c r="E631" t="str">
        <f t="shared" si="10"/>
        <v>Honorários</v>
      </c>
      <c r="F631" t="s">
        <v>145</v>
      </c>
      <c r="G631" t="s">
        <v>145</v>
      </c>
      <c r="I631" t="s">
        <v>117</v>
      </c>
      <c r="J631" t="s">
        <v>143</v>
      </c>
      <c r="K631" s="23">
        <v>8555.36</v>
      </c>
      <c r="L631" t="s">
        <v>18</v>
      </c>
      <c r="M631" t="s">
        <v>19</v>
      </c>
    </row>
    <row r="632" spans="1:13" hidden="1" x14ac:dyDescent="0.25">
      <c r="A632" s="5">
        <v>45797</v>
      </c>
      <c r="B632" t="s">
        <v>568</v>
      </c>
      <c r="C632" t="s">
        <v>354</v>
      </c>
      <c r="D632" t="s">
        <v>302</v>
      </c>
      <c r="E632" t="str">
        <f t="shared" si="10"/>
        <v>ADM</v>
      </c>
      <c r="F632" t="s">
        <v>303</v>
      </c>
      <c r="G632" t="s">
        <v>303</v>
      </c>
      <c r="J632" t="s">
        <v>143</v>
      </c>
      <c r="K632" s="23">
        <v>-42.74</v>
      </c>
      <c r="L632" t="s">
        <v>24</v>
      </c>
      <c r="M632" t="s">
        <v>25</v>
      </c>
    </row>
    <row r="633" spans="1:13" hidden="1" x14ac:dyDescent="0.25">
      <c r="A633" s="5">
        <v>45797</v>
      </c>
      <c r="B633" t="s">
        <v>569</v>
      </c>
      <c r="C633" t="s">
        <v>628</v>
      </c>
      <c r="D633" t="s">
        <v>56</v>
      </c>
      <c r="E633" t="str">
        <f t="shared" si="10"/>
        <v>Honorários</v>
      </c>
      <c r="F633" t="s">
        <v>69</v>
      </c>
      <c r="G633" t="s">
        <v>69</v>
      </c>
      <c r="I633" t="s">
        <v>547</v>
      </c>
      <c r="J633" t="s">
        <v>17</v>
      </c>
      <c r="K633" s="23">
        <v>19089.810000000001</v>
      </c>
      <c r="L633" t="s">
        <v>18</v>
      </c>
      <c r="M633" t="s">
        <v>19</v>
      </c>
    </row>
    <row r="634" spans="1:13" hidden="1" x14ac:dyDescent="0.25">
      <c r="A634" s="5">
        <v>45797</v>
      </c>
      <c r="B634" t="s">
        <v>568</v>
      </c>
      <c r="C634" t="s">
        <v>350</v>
      </c>
      <c r="D634" t="s">
        <v>302</v>
      </c>
      <c r="E634" t="str">
        <f t="shared" si="10"/>
        <v>ADM</v>
      </c>
      <c r="F634" t="s">
        <v>303</v>
      </c>
      <c r="G634" t="s">
        <v>303</v>
      </c>
      <c r="H634" t="s">
        <v>285</v>
      </c>
      <c r="J634" t="s">
        <v>143</v>
      </c>
      <c r="K634" s="23">
        <v>-42.74</v>
      </c>
      <c r="L634" t="s">
        <v>24</v>
      </c>
      <c r="M634" t="s">
        <v>25</v>
      </c>
    </row>
    <row r="635" spans="1:13" hidden="1" x14ac:dyDescent="0.25">
      <c r="A635" s="5">
        <v>45797</v>
      </c>
      <c r="B635" t="s">
        <v>568</v>
      </c>
      <c r="C635" t="s">
        <v>153</v>
      </c>
      <c r="D635" t="s">
        <v>154</v>
      </c>
      <c r="E635" t="str">
        <f t="shared" si="10"/>
        <v>ADM</v>
      </c>
      <c r="F635" t="s">
        <v>155</v>
      </c>
      <c r="G635" t="s">
        <v>155</v>
      </c>
      <c r="J635" t="s">
        <v>17</v>
      </c>
      <c r="K635" s="23">
        <v>-110.73</v>
      </c>
      <c r="L635" t="s">
        <v>24</v>
      </c>
      <c r="M635" t="s">
        <v>25</v>
      </c>
    </row>
    <row r="636" spans="1:13" hidden="1" x14ac:dyDescent="0.25">
      <c r="A636" s="5">
        <v>45797</v>
      </c>
      <c r="B636" t="s">
        <v>568</v>
      </c>
      <c r="C636" t="s">
        <v>355</v>
      </c>
      <c r="D636" t="s">
        <v>302</v>
      </c>
      <c r="E636" t="str">
        <f t="shared" si="10"/>
        <v>ADM</v>
      </c>
      <c r="F636" t="s">
        <v>303</v>
      </c>
      <c r="G636" t="s">
        <v>303</v>
      </c>
      <c r="J636" t="s">
        <v>143</v>
      </c>
      <c r="K636" s="23">
        <v>-42.74</v>
      </c>
      <c r="L636" t="s">
        <v>24</v>
      </c>
      <c r="M636" t="s">
        <v>25</v>
      </c>
    </row>
    <row r="637" spans="1:13" hidden="1" x14ac:dyDescent="0.25">
      <c r="A637" s="5">
        <v>45797</v>
      </c>
      <c r="B637" t="s">
        <v>568</v>
      </c>
      <c r="C637" t="s">
        <v>158</v>
      </c>
      <c r="D637" t="s">
        <v>159</v>
      </c>
      <c r="E637" t="str">
        <f t="shared" si="10"/>
        <v>PES</v>
      </c>
      <c r="F637" t="s">
        <v>158</v>
      </c>
      <c r="G637" t="s">
        <v>158</v>
      </c>
      <c r="J637" t="s">
        <v>17</v>
      </c>
      <c r="K637" s="23">
        <v>-509.23</v>
      </c>
      <c r="L637" t="s">
        <v>24</v>
      </c>
      <c r="M637" t="s">
        <v>25</v>
      </c>
    </row>
    <row r="638" spans="1:13" hidden="1" x14ac:dyDescent="0.25">
      <c r="A638" s="5">
        <v>45797</v>
      </c>
      <c r="B638" t="s">
        <v>569</v>
      </c>
      <c r="C638" t="s">
        <v>625</v>
      </c>
      <c r="D638" t="s">
        <v>626</v>
      </c>
      <c r="E638" t="str">
        <f>IF(ISERROR(FIND("-",D638,1)),D638,LEFT(D638,3))</f>
        <v>Reembolso</v>
      </c>
      <c r="F638" t="s">
        <v>69</v>
      </c>
      <c r="G638" t="s">
        <v>69</v>
      </c>
      <c r="J638" t="s">
        <v>17</v>
      </c>
      <c r="K638" s="23">
        <v>21.73</v>
      </c>
      <c r="L638" t="s">
        <v>18</v>
      </c>
      <c r="M638" t="s">
        <v>19</v>
      </c>
    </row>
    <row r="639" spans="1:13" hidden="1" x14ac:dyDescent="0.25">
      <c r="A639" s="5">
        <v>45797</v>
      </c>
      <c r="B639" t="s">
        <v>568</v>
      </c>
      <c r="C639" t="s">
        <v>629</v>
      </c>
      <c r="D639" t="s">
        <v>308</v>
      </c>
      <c r="E639" t="str">
        <f t="shared" si="10"/>
        <v>T&amp;O</v>
      </c>
      <c r="F639" t="s">
        <v>309</v>
      </c>
      <c r="G639" t="s">
        <v>309</v>
      </c>
      <c r="J639" t="s">
        <v>143</v>
      </c>
      <c r="K639" s="23">
        <v>-350</v>
      </c>
      <c r="L639" t="s">
        <v>24</v>
      </c>
      <c r="M639" t="s">
        <v>25</v>
      </c>
    </row>
    <row r="640" spans="1:13" hidden="1" x14ac:dyDescent="0.25">
      <c r="A640" s="5">
        <v>45797</v>
      </c>
      <c r="B640" t="s">
        <v>568</v>
      </c>
      <c r="C640" t="s">
        <v>353</v>
      </c>
      <c r="D640" t="s">
        <v>302</v>
      </c>
      <c r="E640" t="str">
        <f t="shared" si="10"/>
        <v>ADM</v>
      </c>
      <c r="F640" t="s">
        <v>303</v>
      </c>
      <c r="G640" t="s">
        <v>303</v>
      </c>
      <c r="J640" t="s">
        <v>143</v>
      </c>
      <c r="K640" s="23">
        <v>-42.74</v>
      </c>
      <c r="L640" t="s">
        <v>24</v>
      </c>
      <c r="M640" t="s">
        <v>25</v>
      </c>
    </row>
    <row r="641" spans="1:13" hidden="1" x14ac:dyDescent="0.25">
      <c r="A641" s="5">
        <v>45797</v>
      </c>
      <c r="B641" t="s">
        <v>568</v>
      </c>
      <c r="C641" t="s">
        <v>351</v>
      </c>
      <c r="D641" t="s">
        <v>302</v>
      </c>
      <c r="E641" t="str">
        <f t="shared" si="10"/>
        <v>ADM</v>
      </c>
      <c r="F641" t="s">
        <v>303</v>
      </c>
      <c r="G641" t="s">
        <v>303</v>
      </c>
      <c r="J641" t="s">
        <v>143</v>
      </c>
      <c r="K641" s="23">
        <v>-125.57</v>
      </c>
      <c r="L641" t="s">
        <v>24</v>
      </c>
      <c r="M641" t="s">
        <v>25</v>
      </c>
    </row>
    <row r="642" spans="1:13" hidden="1" x14ac:dyDescent="0.25">
      <c r="A642" s="5">
        <v>45797</v>
      </c>
      <c r="B642" t="s">
        <v>568</v>
      </c>
      <c r="C642" t="s">
        <v>151</v>
      </c>
      <c r="D642" t="s">
        <v>152</v>
      </c>
      <c r="E642" t="str">
        <f t="shared" si="10"/>
        <v>VAR</v>
      </c>
      <c r="F642" t="s">
        <v>151</v>
      </c>
      <c r="G642" t="s">
        <v>151</v>
      </c>
      <c r="J642" t="s">
        <v>17</v>
      </c>
      <c r="K642" s="23">
        <v>-8811.99</v>
      </c>
      <c r="L642" t="s">
        <v>24</v>
      </c>
      <c r="M642" t="s">
        <v>25</v>
      </c>
    </row>
    <row r="643" spans="1:13" hidden="1" x14ac:dyDescent="0.25">
      <c r="A643" s="5">
        <v>45797</v>
      </c>
      <c r="B643" t="s">
        <v>568</v>
      </c>
      <c r="C643" t="s">
        <v>165</v>
      </c>
      <c r="D643" t="s">
        <v>166</v>
      </c>
      <c r="E643" t="str">
        <f t="shared" si="10"/>
        <v>PES</v>
      </c>
      <c r="F643" t="s">
        <v>537</v>
      </c>
      <c r="G643" t="s">
        <v>537</v>
      </c>
      <c r="J643" t="s">
        <v>17</v>
      </c>
      <c r="K643" s="23">
        <v>-3957.59</v>
      </c>
      <c r="L643" t="s">
        <v>24</v>
      </c>
      <c r="M643" t="s">
        <v>25</v>
      </c>
    </row>
    <row r="644" spans="1:13" hidden="1" x14ac:dyDescent="0.25">
      <c r="A644" s="5">
        <v>45798</v>
      </c>
      <c r="B644" t="s">
        <v>569</v>
      </c>
      <c r="C644" t="s">
        <v>630</v>
      </c>
      <c r="D644" t="s">
        <v>56</v>
      </c>
      <c r="E644" t="str">
        <f t="shared" si="10"/>
        <v>Honorários</v>
      </c>
      <c r="F644" t="s">
        <v>631</v>
      </c>
      <c r="G644" t="s">
        <v>631</v>
      </c>
      <c r="I644" t="s">
        <v>75</v>
      </c>
      <c r="J644" t="s">
        <v>143</v>
      </c>
      <c r="K644" s="23">
        <v>759</v>
      </c>
      <c r="L644" t="s">
        <v>18</v>
      </c>
      <c r="M644" t="s">
        <v>19</v>
      </c>
    </row>
    <row r="645" spans="1:13" hidden="1" x14ac:dyDescent="0.25">
      <c r="A645" s="5">
        <v>45798</v>
      </c>
      <c r="B645" t="s">
        <v>568</v>
      </c>
      <c r="C645" t="s">
        <v>170</v>
      </c>
      <c r="D645" t="s">
        <v>56</v>
      </c>
      <c r="E645" t="str">
        <f t="shared" si="10"/>
        <v>Honorários</v>
      </c>
      <c r="F645" t="s">
        <v>171</v>
      </c>
      <c r="G645" t="s">
        <v>171</v>
      </c>
      <c r="I645" t="s">
        <v>172</v>
      </c>
      <c r="J645" t="s">
        <v>17</v>
      </c>
      <c r="K645" s="23">
        <v>119.35</v>
      </c>
      <c r="L645" t="s">
        <v>18</v>
      </c>
      <c r="M645" t="s">
        <v>83</v>
      </c>
    </row>
    <row r="646" spans="1:13" hidden="1" x14ac:dyDescent="0.25">
      <c r="A646" s="5">
        <v>45798</v>
      </c>
      <c r="B646" t="s">
        <v>569</v>
      </c>
      <c r="C646" t="s">
        <v>632</v>
      </c>
      <c r="D646" t="s">
        <v>56</v>
      </c>
      <c r="E646" t="str">
        <f t="shared" si="10"/>
        <v>Honorários</v>
      </c>
      <c r="F646" t="s">
        <v>290</v>
      </c>
      <c r="G646" t="s">
        <v>290</v>
      </c>
      <c r="I646" t="s">
        <v>291</v>
      </c>
      <c r="J646" t="s">
        <v>143</v>
      </c>
      <c r="K646" s="23">
        <v>13034.11</v>
      </c>
      <c r="L646" t="s">
        <v>18</v>
      </c>
      <c r="M646" t="s">
        <v>19</v>
      </c>
    </row>
    <row r="647" spans="1:13" hidden="1" x14ac:dyDescent="0.25">
      <c r="A647" s="5">
        <v>45798</v>
      </c>
      <c r="B647" t="s">
        <v>569</v>
      </c>
      <c r="C647" t="s">
        <v>625</v>
      </c>
      <c r="D647" t="s">
        <v>626</v>
      </c>
      <c r="E647" t="str">
        <f>IF(ISERROR(FIND("-",D647,1)),D647,LEFT(D647,3))</f>
        <v>Reembolso</v>
      </c>
      <c r="F647" t="s">
        <v>290</v>
      </c>
      <c r="G647" t="s">
        <v>290</v>
      </c>
      <c r="J647" t="s">
        <v>143</v>
      </c>
      <c r="K647" s="23">
        <v>21.73</v>
      </c>
      <c r="L647" t="s">
        <v>18</v>
      </c>
      <c r="M647" t="s">
        <v>19</v>
      </c>
    </row>
    <row r="648" spans="1:13" hidden="1" x14ac:dyDescent="0.25">
      <c r="A648" s="5">
        <v>45799</v>
      </c>
      <c r="B648" t="s">
        <v>569</v>
      </c>
      <c r="C648" t="s">
        <v>633</v>
      </c>
      <c r="D648" t="s">
        <v>300</v>
      </c>
      <c r="E648" t="str">
        <f t="shared" si="10"/>
        <v>VAR</v>
      </c>
      <c r="F648" t="s">
        <v>69</v>
      </c>
      <c r="G648" t="s">
        <v>69</v>
      </c>
      <c r="I648" t="s">
        <v>547</v>
      </c>
      <c r="J648" t="s">
        <v>17</v>
      </c>
      <c r="K648" s="23">
        <v>-1663.48</v>
      </c>
      <c r="L648" t="s">
        <v>24</v>
      </c>
      <c r="M648" t="s">
        <v>25</v>
      </c>
    </row>
    <row r="649" spans="1:13" hidden="1" x14ac:dyDescent="0.25">
      <c r="A649" s="5">
        <v>45800</v>
      </c>
      <c r="B649" t="s">
        <v>569</v>
      </c>
      <c r="C649" t="s">
        <v>634</v>
      </c>
      <c r="D649" t="s">
        <v>72</v>
      </c>
      <c r="E649" t="str">
        <f t="shared" ref="E649:E711" si="11">IF(OR(D649="Honorários",D649="Despesa do cliente"),D649,LEFT(D649,3))</f>
        <v>FIN</v>
      </c>
      <c r="F649" t="s">
        <v>120</v>
      </c>
      <c r="G649" t="s">
        <v>120</v>
      </c>
      <c r="J649" t="s">
        <v>17</v>
      </c>
      <c r="K649" s="23">
        <v>-12.7</v>
      </c>
      <c r="L649" t="s">
        <v>24</v>
      </c>
      <c r="M649" t="s">
        <v>25</v>
      </c>
    </row>
    <row r="650" spans="1:13" hidden="1" x14ac:dyDescent="0.25">
      <c r="A650" s="5">
        <v>45800</v>
      </c>
      <c r="B650" t="s">
        <v>569</v>
      </c>
      <c r="C650" t="s">
        <v>64</v>
      </c>
      <c r="D650" t="s">
        <v>56</v>
      </c>
      <c r="E650" t="str">
        <f t="shared" si="11"/>
        <v>Honorários</v>
      </c>
      <c r="F650" t="s">
        <v>635</v>
      </c>
      <c r="G650" t="s">
        <v>635</v>
      </c>
      <c r="I650" t="s">
        <v>75</v>
      </c>
      <c r="J650" t="s">
        <v>17</v>
      </c>
      <c r="K650" s="23">
        <v>1170.25</v>
      </c>
      <c r="L650" t="s">
        <v>18</v>
      </c>
      <c r="M650" t="s">
        <v>19</v>
      </c>
    </row>
    <row r="651" spans="1:13" hidden="1" x14ac:dyDescent="0.25">
      <c r="A651" s="5">
        <v>45800</v>
      </c>
      <c r="B651" t="s">
        <v>569</v>
      </c>
      <c r="C651" t="s">
        <v>634</v>
      </c>
      <c r="D651" t="s">
        <v>72</v>
      </c>
      <c r="E651" t="str">
        <f t="shared" si="11"/>
        <v>FIN</v>
      </c>
      <c r="F651" t="s">
        <v>120</v>
      </c>
      <c r="G651" t="s">
        <v>120</v>
      </c>
      <c r="J651" t="s">
        <v>17</v>
      </c>
      <c r="K651" s="23">
        <v>-12.7</v>
      </c>
      <c r="L651" t="s">
        <v>24</v>
      </c>
      <c r="M651" t="s">
        <v>25</v>
      </c>
    </row>
    <row r="652" spans="1:13" hidden="1" x14ac:dyDescent="0.25">
      <c r="A652" s="5">
        <v>45800</v>
      </c>
      <c r="B652" t="s">
        <v>569</v>
      </c>
      <c r="C652" t="s">
        <v>584</v>
      </c>
      <c r="D652" t="s">
        <v>99</v>
      </c>
      <c r="E652" t="str">
        <f t="shared" si="11"/>
        <v>ADM</v>
      </c>
      <c r="F652" t="s">
        <v>100</v>
      </c>
      <c r="G652" t="s">
        <v>100</v>
      </c>
      <c r="J652" t="s">
        <v>143</v>
      </c>
      <c r="K652" s="23">
        <v>-340</v>
      </c>
      <c r="L652" t="s">
        <v>24</v>
      </c>
      <c r="M652" t="s">
        <v>25</v>
      </c>
    </row>
    <row r="653" spans="1:13" hidden="1" x14ac:dyDescent="0.25">
      <c r="A653" s="5">
        <v>45800</v>
      </c>
      <c r="B653" t="s">
        <v>569</v>
      </c>
      <c r="C653" t="s">
        <v>634</v>
      </c>
      <c r="D653" t="s">
        <v>72</v>
      </c>
      <c r="E653" t="str">
        <f t="shared" si="11"/>
        <v>FIN</v>
      </c>
      <c r="F653" t="s">
        <v>120</v>
      </c>
      <c r="G653" t="s">
        <v>120</v>
      </c>
      <c r="J653" t="s">
        <v>17</v>
      </c>
      <c r="K653" s="23">
        <v>-12.7</v>
      </c>
      <c r="L653" t="s">
        <v>24</v>
      </c>
      <c r="M653" t="s">
        <v>25</v>
      </c>
    </row>
    <row r="654" spans="1:13" hidden="1" x14ac:dyDescent="0.25">
      <c r="A654" s="5">
        <v>45804</v>
      </c>
      <c r="B654" t="s">
        <v>568</v>
      </c>
      <c r="C654" t="s">
        <v>481</v>
      </c>
      <c r="D654" t="s">
        <v>191</v>
      </c>
      <c r="E654" t="str">
        <f t="shared" si="11"/>
        <v>ADM</v>
      </c>
      <c r="F654" t="s">
        <v>371</v>
      </c>
      <c r="G654" t="s">
        <v>371</v>
      </c>
      <c r="J654" t="s">
        <v>17</v>
      </c>
      <c r="K654" s="23">
        <v>-489.86</v>
      </c>
      <c r="L654" t="s">
        <v>24</v>
      </c>
      <c r="M654" t="s">
        <v>25</v>
      </c>
    </row>
    <row r="655" spans="1:13" hidden="1" x14ac:dyDescent="0.25">
      <c r="A655" s="5">
        <v>45804</v>
      </c>
      <c r="B655" t="s">
        <v>568</v>
      </c>
      <c r="C655" t="s">
        <v>478</v>
      </c>
      <c r="D655" t="s">
        <v>191</v>
      </c>
      <c r="E655" t="str">
        <f t="shared" si="11"/>
        <v>ADM</v>
      </c>
      <c r="F655" t="s">
        <v>380</v>
      </c>
      <c r="G655" t="s">
        <v>380</v>
      </c>
      <c r="J655" t="s">
        <v>17</v>
      </c>
      <c r="K655" s="23">
        <v>-432.99</v>
      </c>
      <c r="L655" t="s">
        <v>24</v>
      </c>
      <c r="M655" t="s">
        <v>25</v>
      </c>
    </row>
    <row r="656" spans="1:13" hidden="1" x14ac:dyDescent="0.25">
      <c r="A656" s="5">
        <v>45805</v>
      </c>
      <c r="B656" t="s">
        <v>569</v>
      </c>
      <c r="C656" t="s">
        <v>636</v>
      </c>
      <c r="D656" t="s">
        <v>56</v>
      </c>
      <c r="E656" t="str">
        <f t="shared" si="11"/>
        <v>Honorários</v>
      </c>
      <c r="F656" t="s">
        <v>637</v>
      </c>
      <c r="G656" t="s">
        <v>637</v>
      </c>
      <c r="I656" t="s">
        <v>638</v>
      </c>
      <c r="J656" t="s">
        <v>17</v>
      </c>
      <c r="K656" s="23">
        <v>18190.25</v>
      </c>
      <c r="L656" t="s">
        <v>18</v>
      </c>
      <c r="M656" t="s">
        <v>19</v>
      </c>
    </row>
    <row r="657" spans="1:13" hidden="1" x14ac:dyDescent="0.25">
      <c r="A657" s="5">
        <v>45805</v>
      </c>
      <c r="B657" s="17" t="s">
        <v>569</v>
      </c>
      <c r="C657" s="17" t="s">
        <v>639</v>
      </c>
      <c r="D657" s="17" t="s">
        <v>52</v>
      </c>
      <c r="E657" s="17" t="str">
        <f t="shared" si="11"/>
        <v>ADM</v>
      </c>
      <c r="F657" s="17" t="s">
        <v>416</v>
      </c>
      <c r="G657" t="s">
        <v>416</v>
      </c>
      <c r="J657" t="s">
        <v>143</v>
      </c>
      <c r="K657" s="25">
        <v>-150</v>
      </c>
      <c r="L657" s="17" t="s">
        <v>24</v>
      </c>
      <c r="M657" s="17" t="s">
        <v>25</v>
      </c>
    </row>
    <row r="658" spans="1:13" hidden="1" x14ac:dyDescent="0.25">
      <c r="A658" s="5">
        <v>45806</v>
      </c>
      <c r="B658" t="s">
        <v>569</v>
      </c>
      <c r="C658" t="s">
        <v>640</v>
      </c>
      <c r="D658" t="s">
        <v>56</v>
      </c>
      <c r="E658" t="str">
        <f t="shared" si="11"/>
        <v>Honorários</v>
      </c>
      <c r="F658" t="s">
        <v>226</v>
      </c>
      <c r="G658" t="s">
        <v>226</v>
      </c>
      <c r="I658" t="s">
        <v>75</v>
      </c>
      <c r="J658" t="s">
        <v>143</v>
      </c>
      <c r="K658" s="23">
        <v>266.5</v>
      </c>
      <c r="L658" t="s">
        <v>18</v>
      </c>
      <c r="M658" t="s">
        <v>19</v>
      </c>
    </row>
    <row r="659" spans="1:13" hidden="1" x14ac:dyDescent="0.25">
      <c r="A659" s="5">
        <v>45806</v>
      </c>
      <c r="B659" t="s">
        <v>569</v>
      </c>
      <c r="C659" t="s">
        <v>634</v>
      </c>
      <c r="D659" t="s">
        <v>72</v>
      </c>
      <c r="E659" t="str">
        <f t="shared" si="11"/>
        <v>FIN</v>
      </c>
      <c r="F659" t="s">
        <v>120</v>
      </c>
      <c r="G659" t="s">
        <v>120</v>
      </c>
      <c r="J659" t="s">
        <v>17</v>
      </c>
      <c r="K659" s="23">
        <v>-12.7</v>
      </c>
      <c r="L659" t="s">
        <v>24</v>
      </c>
      <c r="M659" t="s">
        <v>25</v>
      </c>
    </row>
    <row r="660" spans="1:13" hidden="1" x14ac:dyDescent="0.25">
      <c r="A660" s="5">
        <v>45806</v>
      </c>
      <c r="B660" s="17" t="s">
        <v>569</v>
      </c>
      <c r="C660" s="17" t="s">
        <v>641</v>
      </c>
      <c r="D660" s="17" t="s">
        <v>308</v>
      </c>
      <c r="E660" s="17" t="str">
        <f t="shared" si="11"/>
        <v>T&amp;O</v>
      </c>
      <c r="F660" s="17" t="s">
        <v>327</v>
      </c>
      <c r="G660" t="s">
        <v>327</v>
      </c>
      <c r="J660" t="s">
        <v>143</v>
      </c>
      <c r="K660" s="25">
        <v>-5159.51</v>
      </c>
      <c r="L660" s="17" t="s">
        <v>24</v>
      </c>
      <c r="M660" s="17" t="s">
        <v>25</v>
      </c>
    </row>
    <row r="661" spans="1:13" hidden="1" x14ac:dyDescent="0.25">
      <c r="A661" s="5">
        <v>45807</v>
      </c>
      <c r="B661" t="s">
        <v>569</v>
      </c>
      <c r="C661" t="s">
        <v>178</v>
      </c>
      <c r="D661" t="s">
        <v>56</v>
      </c>
      <c r="E661" t="str">
        <f t="shared" si="11"/>
        <v>Honorários</v>
      </c>
      <c r="F661" t="s">
        <v>179</v>
      </c>
      <c r="G661" t="s">
        <v>179</v>
      </c>
      <c r="I661" t="s">
        <v>180</v>
      </c>
      <c r="J661" t="s">
        <v>17</v>
      </c>
      <c r="K661" s="23">
        <v>150</v>
      </c>
      <c r="L661" t="s">
        <v>18</v>
      </c>
      <c r="M661" t="s">
        <v>19</v>
      </c>
    </row>
    <row r="662" spans="1:13" hidden="1" x14ac:dyDescent="0.25">
      <c r="A662" s="5">
        <v>45807</v>
      </c>
      <c r="B662" t="s">
        <v>568</v>
      </c>
      <c r="C662" t="s">
        <v>484</v>
      </c>
      <c r="D662" t="s">
        <v>207</v>
      </c>
      <c r="E662" t="str">
        <f t="shared" si="11"/>
        <v>DIR</v>
      </c>
      <c r="F662" t="s">
        <v>67</v>
      </c>
      <c r="G662" t="s">
        <v>67</v>
      </c>
      <c r="J662" t="s">
        <v>17</v>
      </c>
      <c r="K662" s="23">
        <v>-1351.02</v>
      </c>
      <c r="L662" t="s">
        <v>24</v>
      </c>
      <c r="M662" t="s">
        <v>25</v>
      </c>
    </row>
    <row r="663" spans="1:13" hidden="1" x14ac:dyDescent="0.25">
      <c r="A663" s="5">
        <v>45807</v>
      </c>
      <c r="B663" t="s">
        <v>568</v>
      </c>
      <c r="C663" t="s">
        <v>204</v>
      </c>
      <c r="D663" t="s">
        <v>128</v>
      </c>
      <c r="E663" t="str">
        <f t="shared" si="11"/>
        <v>PES</v>
      </c>
      <c r="F663" t="s">
        <v>208</v>
      </c>
      <c r="G663" t="s">
        <v>208</v>
      </c>
      <c r="J663" t="s">
        <v>17</v>
      </c>
      <c r="K663" s="23">
        <v>-1300</v>
      </c>
      <c r="L663" t="s">
        <v>24</v>
      </c>
      <c r="M663" t="s">
        <v>25</v>
      </c>
    </row>
    <row r="664" spans="1:13" hidden="1" x14ac:dyDescent="0.25">
      <c r="A664" s="5">
        <v>45807</v>
      </c>
      <c r="B664" t="s">
        <v>568</v>
      </c>
      <c r="C664" t="s">
        <v>272</v>
      </c>
      <c r="D664" t="s">
        <v>198</v>
      </c>
      <c r="E664" t="str">
        <f t="shared" si="11"/>
        <v>PES</v>
      </c>
      <c r="F664" t="s">
        <v>209</v>
      </c>
      <c r="G664" t="s">
        <v>209</v>
      </c>
      <c r="J664" t="s">
        <v>17</v>
      </c>
      <c r="K664" s="23">
        <v>-2559.96</v>
      </c>
      <c r="L664" t="s">
        <v>24</v>
      </c>
      <c r="M664" t="s">
        <v>25</v>
      </c>
    </row>
    <row r="665" spans="1:13" hidden="1" x14ac:dyDescent="0.25">
      <c r="A665" s="5">
        <v>45807</v>
      </c>
      <c r="B665" t="s">
        <v>568</v>
      </c>
      <c r="C665" t="s">
        <v>200</v>
      </c>
      <c r="D665" t="s">
        <v>201</v>
      </c>
      <c r="E665" t="str">
        <f t="shared" si="11"/>
        <v>DIR</v>
      </c>
      <c r="F665" t="s">
        <v>54</v>
      </c>
      <c r="G665" t="s">
        <v>54</v>
      </c>
      <c r="J665" t="s">
        <v>17</v>
      </c>
      <c r="K665" s="23">
        <v>-6148.98</v>
      </c>
      <c r="L665" t="s">
        <v>24</v>
      </c>
      <c r="M665" t="s">
        <v>25</v>
      </c>
    </row>
    <row r="666" spans="1:13" hidden="1" x14ac:dyDescent="0.25">
      <c r="A666" s="5">
        <v>45807</v>
      </c>
      <c r="B666" t="s">
        <v>569</v>
      </c>
      <c r="C666" t="s">
        <v>634</v>
      </c>
      <c r="D666" t="s">
        <v>72</v>
      </c>
      <c r="E666" t="str">
        <f t="shared" si="11"/>
        <v>FIN</v>
      </c>
      <c r="F666" t="s">
        <v>120</v>
      </c>
      <c r="G666" t="s">
        <v>120</v>
      </c>
      <c r="J666" t="s">
        <v>17</v>
      </c>
      <c r="K666" s="23">
        <v>-12.7</v>
      </c>
      <c r="L666" t="s">
        <v>24</v>
      </c>
      <c r="M666" t="s">
        <v>25</v>
      </c>
    </row>
    <row r="667" spans="1:13" hidden="1" x14ac:dyDescent="0.25">
      <c r="A667" s="5">
        <v>45807</v>
      </c>
      <c r="B667" t="s">
        <v>568</v>
      </c>
      <c r="C667" t="s">
        <v>484</v>
      </c>
      <c r="D667" t="s">
        <v>207</v>
      </c>
      <c r="E667" t="str">
        <f t="shared" si="11"/>
        <v>DIR</v>
      </c>
      <c r="F667" t="s">
        <v>54</v>
      </c>
      <c r="G667" t="s">
        <v>54</v>
      </c>
      <c r="J667" t="s">
        <v>17</v>
      </c>
      <c r="K667" s="23">
        <v>-1351.02</v>
      </c>
      <c r="L667" t="s">
        <v>24</v>
      </c>
      <c r="M667" t="s">
        <v>25</v>
      </c>
    </row>
    <row r="668" spans="1:13" hidden="1" x14ac:dyDescent="0.25">
      <c r="A668" s="5">
        <v>45807</v>
      </c>
      <c r="B668" t="s">
        <v>569</v>
      </c>
      <c r="C668" t="s">
        <v>634</v>
      </c>
      <c r="D668" t="s">
        <v>72</v>
      </c>
      <c r="E668" t="str">
        <f t="shared" si="11"/>
        <v>FIN</v>
      </c>
      <c r="F668" t="s">
        <v>120</v>
      </c>
      <c r="G668" t="s">
        <v>120</v>
      </c>
      <c r="J668" t="s">
        <v>17</v>
      </c>
      <c r="K668" s="23">
        <v>-12.7</v>
      </c>
      <c r="L668" t="s">
        <v>24</v>
      </c>
      <c r="M668" t="s">
        <v>25</v>
      </c>
    </row>
    <row r="669" spans="1:13" hidden="1" x14ac:dyDescent="0.25">
      <c r="A669" s="5">
        <v>45807</v>
      </c>
      <c r="B669" t="s">
        <v>568</v>
      </c>
      <c r="C669" t="s">
        <v>272</v>
      </c>
      <c r="D669" t="s">
        <v>198</v>
      </c>
      <c r="E669" t="str">
        <f t="shared" si="11"/>
        <v>PES</v>
      </c>
      <c r="F669" t="s">
        <v>199</v>
      </c>
      <c r="G669" t="s">
        <v>199</v>
      </c>
      <c r="J669" t="s">
        <v>17</v>
      </c>
      <c r="K669" s="23">
        <v>-3208.61</v>
      </c>
      <c r="L669" t="s">
        <v>24</v>
      </c>
      <c r="M669" t="s">
        <v>25</v>
      </c>
    </row>
    <row r="670" spans="1:13" hidden="1" x14ac:dyDescent="0.25">
      <c r="A670" s="5">
        <v>45807</v>
      </c>
      <c r="B670" t="s">
        <v>569</v>
      </c>
      <c r="C670" t="s">
        <v>584</v>
      </c>
      <c r="D670" t="s">
        <v>99</v>
      </c>
      <c r="E670" t="str">
        <f t="shared" si="11"/>
        <v>ADM</v>
      </c>
      <c r="F670" t="s">
        <v>100</v>
      </c>
      <c r="G670" t="s">
        <v>100</v>
      </c>
      <c r="J670" t="s">
        <v>143</v>
      </c>
      <c r="K670" s="23">
        <v>-340</v>
      </c>
      <c r="L670" t="s">
        <v>24</v>
      </c>
      <c r="M670" t="s">
        <v>25</v>
      </c>
    </row>
    <row r="671" spans="1:13" hidden="1" x14ac:dyDescent="0.25">
      <c r="A671" s="5">
        <v>45807</v>
      </c>
      <c r="B671" t="s">
        <v>569</v>
      </c>
      <c r="C671" t="s">
        <v>642</v>
      </c>
      <c r="D671" t="s">
        <v>56</v>
      </c>
      <c r="E671" t="str">
        <f t="shared" si="11"/>
        <v>Honorários</v>
      </c>
      <c r="F671" t="s">
        <v>643</v>
      </c>
      <c r="G671" t="s">
        <v>643</v>
      </c>
      <c r="I671" t="s">
        <v>93</v>
      </c>
      <c r="J671" t="s">
        <v>17</v>
      </c>
      <c r="K671" s="23">
        <v>2900</v>
      </c>
      <c r="L671" t="s">
        <v>18</v>
      </c>
      <c r="M671" t="s">
        <v>19</v>
      </c>
    </row>
    <row r="672" spans="1:13" hidden="1" x14ac:dyDescent="0.25">
      <c r="A672" s="5">
        <v>45807</v>
      </c>
      <c r="B672" t="s">
        <v>568</v>
      </c>
      <c r="C672" t="s">
        <v>200</v>
      </c>
      <c r="D672" t="s">
        <v>201</v>
      </c>
      <c r="E672" t="str">
        <f t="shared" si="11"/>
        <v>DIR</v>
      </c>
      <c r="F672" t="s">
        <v>67</v>
      </c>
      <c r="G672" t="s">
        <v>67</v>
      </c>
      <c r="J672" t="s">
        <v>17</v>
      </c>
      <c r="K672" s="23">
        <v>-3648.98</v>
      </c>
      <c r="L672" t="s">
        <v>24</v>
      </c>
      <c r="M672" t="s">
        <v>25</v>
      </c>
    </row>
    <row r="673" spans="1:13" hidden="1" x14ac:dyDescent="0.25">
      <c r="A673" s="5">
        <v>45807</v>
      </c>
      <c r="B673" s="17" t="s">
        <v>568</v>
      </c>
      <c r="C673" s="17" t="s">
        <v>644</v>
      </c>
      <c r="D673" s="17" t="s">
        <v>308</v>
      </c>
      <c r="E673" s="17" t="str">
        <f t="shared" si="11"/>
        <v>T&amp;O</v>
      </c>
      <c r="F673" s="17" t="s">
        <v>53</v>
      </c>
      <c r="G673" t="s">
        <v>53</v>
      </c>
      <c r="J673" t="s">
        <v>143</v>
      </c>
      <c r="K673" s="25">
        <v>-1246.81</v>
      </c>
      <c r="L673" s="17" t="s">
        <v>24</v>
      </c>
      <c r="M673" s="17" t="s">
        <v>25</v>
      </c>
    </row>
    <row r="674" spans="1:13" hidden="1" x14ac:dyDescent="0.25">
      <c r="A674" s="5">
        <v>45807</v>
      </c>
      <c r="B674" t="s">
        <v>569</v>
      </c>
      <c r="C674" t="s">
        <v>634</v>
      </c>
      <c r="D674" t="s">
        <v>72</v>
      </c>
      <c r="E674" t="str">
        <f t="shared" si="11"/>
        <v>FIN</v>
      </c>
      <c r="F674" t="s">
        <v>120</v>
      </c>
      <c r="G674" t="s">
        <v>120</v>
      </c>
      <c r="J674" t="s">
        <v>17</v>
      </c>
      <c r="K674" s="23">
        <v>-12.7</v>
      </c>
      <c r="L674" t="s">
        <v>24</v>
      </c>
      <c r="M674" t="s">
        <v>25</v>
      </c>
    </row>
    <row r="675" spans="1:13" hidden="1" x14ac:dyDescent="0.25">
      <c r="A675" s="5">
        <v>45807</v>
      </c>
      <c r="B675" t="s">
        <v>568</v>
      </c>
      <c r="C675" t="s">
        <v>272</v>
      </c>
      <c r="D675" t="s">
        <v>198</v>
      </c>
      <c r="E675" t="str">
        <f t="shared" si="11"/>
        <v>PES</v>
      </c>
      <c r="F675" t="s">
        <v>645</v>
      </c>
      <c r="G675" t="s">
        <v>645</v>
      </c>
      <c r="J675" t="s">
        <v>143</v>
      </c>
      <c r="K675" s="23">
        <v>-925</v>
      </c>
      <c r="L675" t="s">
        <v>24</v>
      </c>
      <c r="M675" t="s">
        <v>25</v>
      </c>
    </row>
    <row r="676" spans="1:13" hidden="1" x14ac:dyDescent="0.25">
      <c r="A676" s="5">
        <v>45807</v>
      </c>
      <c r="B676" t="s">
        <v>569</v>
      </c>
      <c r="C676" t="s">
        <v>272</v>
      </c>
      <c r="D676" t="s">
        <v>198</v>
      </c>
      <c r="E676" t="str">
        <f t="shared" si="11"/>
        <v>PES</v>
      </c>
      <c r="F676" t="s">
        <v>203</v>
      </c>
      <c r="G676" t="s">
        <v>203</v>
      </c>
      <c r="J676" t="s">
        <v>143</v>
      </c>
      <c r="K676" s="23">
        <v>-1518</v>
      </c>
      <c r="L676" t="s">
        <v>24</v>
      </c>
      <c r="M676" t="s">
        <v>25</v>
      </c>
    </row>
    <row r="677" spans="1:13" hidden="1" x14ac:dyDescent="0.25">
      <c r="A677" s="5">
        <v>45808</v>
      </c>
      <c r="B677" t="s">
        <v>568</v>
      </c>
      <c r="C677" t="s">
        <v>646</v>
      </c>
      <c r="D677" t="s">
        <v>72</v>
      </c>
      <c r="E677" t="str">
        <f t="shared" si="11"/>
        <v>FIN</v>
      </c>
      <c r="F677" t="s">
        <v>23</v>
      </c>
      <c r="G677" t="s">
        <v>23</v>
      </c>
      <c r="J677" t="s">
        <v>17</v>
      </c>
      <c r="K677" s="23">
        <v>1.31</v>
      </c>
      <c r="L677" t="s">
        <v>18</v>
      </c>
      <c r="M677" t="s">
        <v>19</v>
      </c>
    </row>
    <row r="678" spans="1:13" hidden="1" x14ac:dyDescent="0.25">
      <c r="A678" s="5">
        <v>45810</v>
      </c>
      <c r="B678" t="s">
        <v>20</v>
      </c>
      <c r="C678" t="s">
        <v>284</v>
      </c>
      <c r="D678" t="s">
        <v>39</v>
      </c>
      <c r="E678" t="str">
        <f t="shared" si="11"/>
        <v>INV</v>
      </c>
      <c r="F678" t="s">
        <v>23</v>
      </c>
      <c r="G678" t="s">
        <v>23</v>
      </c>
      <c r="H678" t="s">
        <v>285</v>
      </c>
      <c r="J678" t="s">
        <v>143</v>
      </c>
      <c r="K678" s="23">
        <v>-333.24</v>
      </c>
      <c r="L678" t="s">
        <v>24</v>
      </c>
      <c r="M678" t="s">
        <v>25</v>
      </c>
    </row>
    <row r="679" spans="1:13" hidden="1" x14ac:dyDescent="0.25">
      <c r="A679" s="5">
        <v>45810</v>
      </c>
      <c r="B679" t="s">
        <v>20</v>
      </c>
      <c r="C679" t="s">
        <v>648</v>
      </c>
      <c r="D679" t="s">
        <v>89</v>
      </c>
      <c r="E679" t="str">
        <f t="shared" si="11"/>
        <v>ADM</v>
      </c>
      <c r="F679" t="s">
        <v>23</v>
      </c>
      <c r="G679" t="s">
        <v>23</v>
      </c>
      <c r="J679" t="s">
        <v>143</v>
      </c>
      <c r="K679" s="23">
        <v>-129</v>
      </c>
      <c r="L679" t="s">
        <v>24</v>
      </c>
      <c r="M679" t="s">
        <v>25</v>
      </c>
    </row>
    <row r="680" spans="1:13" hidden="1" x14ac:dyDescent="0.25">
      <c r="A680" s="5">
        <v>45810</v>
      </c>
      <c r="B680" t="s">
        <v>20</v>
      </c>
      <c r="C680" t="s">
        <v>649</v>
      </c>
      <c r="D680" t="s">
        <v>28</v>
      </c>
      <c r="E680" t="str">
        <f t="shared" si="11"/>
        <v>ADM</v>
      </c>
      <c r="F680" t="s">
        <v>23</v>
      </c>
      <c r="G680" t="s">
        <v>23</v>
      </c>
      <c r="J680" t="s">
        <v>143</v>
      </c>
      <c r="K680" s="23">
        <v>-38.9</v>
      </c>
      <c r="L680" t="s">
        <v>24</v>
      </c>
      <c r="M680" t="s">
        <v>25</v>
      </c>
    </row>
    <row r="681" spans="1:13" hidden="1" x14ac:dyDescent="0.25">
      <c r="A681" s="5">
        <v>45810</v>
      </c>
      <c r="B681" t="s">
        <v>20</v>
      </c>
      <c r="C681" t="s">
        <v>387</v>
      </c>
      <c r="D681" t="s">
        <v>28</v>
      </c>
      <c r="E681" t="str">
        <f t="shared" si="11"/>
        <v>ADM</v>
      </c>
      <c r="F681" t="s">
        <v>23</v>
      </c>
      <c r="G681" t="s">
        <v>23</v>
      </c>
      <c r="J681" t="s">
        <v>143</v>
      </c>
      <c r="K681" s="23">
        <v>-48.94</v>
      </c>
      <c r="L681" t="s">
        <v>24</v>
      </c>
      <c r="M681" t="s">
        <v>25</v>
      </c>
    </row>
    <row r="682" spans="1:13" hidden="1" x14ac:dyDescent="0.25">
      <c r="A682" s="5">
        <v>45810</v>
      </c>
      <c r="B682" t="s">
        <v>20</v>
      </c>
      <c r="C682" t="s">
        <v>650</v>
      </c>
      <c r="D682" t="s">
        <v>28</v>
      </c>
      <c r="E682" t="str">
        <f t="shared" si="11"/>
        <v>ADM</v>
      </c>
      <c r="F682" t="s">
        <v>23</v>
      </c>
      <c r="G682" t="s">
        <v>23</v>
      </c>
      <c r="J682" t="s">
        <v>143</v>
      </c>
      <c r="K682" s="23">
        <v>-391.09</v>
      </c>
      <c r="L682" t="s">
        <v>24</v>
      </c>
      <c r="M682" t="s">
        <v>25</v>
      </c>
    </row>
    <row r="683" spans="1:13" hidden="1" x14ac:dyDescent="0.25">
      <c r="A683" s="5">
        <v>45810</v>
      </c>
      <c r="B683" t="s">
        <v>568</v>
      </c>
      <c r="C683" t="s">
        <v>61</v>
      </c>
      <c r="D683" t="s">
        <v>62</v>
      </c>
      <c r="E683" t="str">
        <f t="shared" si="11"/>
        <v>INV</v>
      </c>
      <c r="F683" t="s">
        <v>63</v>
      </c>
      <c r="G683" t="s">
        <v>63</v>
      </c>
      <c r="J683" t="s">
        <v>17</v>
      </c>
      <c r="K683" s="23">
        <v>-1750</v>
      </c>
      <c r="L683" t="s">
        <v>24</v>
      </c>
      <c r="M683" t="s">
        <v>25</v>
      </c>
    </row>
    <row r="684" spans="1:13" hidden="1" x14ac:dyDescent="0.25">
      <c r="A684" s="5">
        <v>45810</v>
      </c>
      <c r="B684" t="s">
        <v>569</v>
      </c>
      <c r="C684" t="s">
        <v>651</v>
      </c>
      <c r="D684" t="s">
        <v>56</v>
      </c>
      <c r="E684" t="str">
        <f t="shared" si="11"/>
        <v>Honorários</v>
      </c>
      <c r="F684" t="s">
        <v>643</v>
      </c>
      <c r="G684" t="s">
        <v>643</v>
      </c>
      <c r="I684" t="s">
        <v>93</v>
      </c>
      <c r="J684" t="s">
        <v>17</v>
      </c>
      <c r="K684" s="23">
        <v>1654</v>
      </c>
      <c r="L684" t="s">
        <v>18</v>
      </c>
      <c r="M684" t="s">
        <v>19</v>
      </c>
    </row>
    <row r="685" spans="1:13" hidden="1" x14ac:dyDescent="0.25">
      <c r="A685" s="5">
        <v>45810</v>
      </c>
      <c r="B685" t="s">
        <v>569</v>
      </c>
      <c r="C685" t="s">
        <v>652</v>
      </c>
      <c r="D685" t="s">
        <v>300</v>
      </c>
      <c r="E685" t="str">
        <f t="shared" si="11"/>
        <v>VAR</v>
      </c>
      <c r="F685" t="s">
        <v>599</v>
      </c>
      <c r="G685" t="s">
        <v>599</v>
      </c>
      <c r="I685" t="s">
        <v>323</v>
      </c>
      <c r="J685" t="s">
        <v>143</v>
      </c>
      <c r="K685" s="23">
        <v>-1408.17</v>
      </c>
      <c r="L685" t="s">
        <v>24</v>
      </c>
      <c r="M685" t="s">
        <v>25</v>
      </c>
    </row>
    <row r="686" spans="1:13" hidden="1" x14ac:dyDescent="0.25">
      <c r="A686" s="5">
        <v>45810</v>
      </c>
      <c r="B686" t="s">
        <v>20</v>
      </c>
      <c r="C686" t="s">
        <v>455</v>
      </c>
      <c r="D686" t="s">
        <v>149</v>
      </c>
      <c r="E686" t="str">
        <f t="shared" si="11"/>
        <v>ADM</v>
      </c>
      <c r="F686" t="s">
        <v>23</v>
      </c>
      <c r="G686" t="s">
        <v>23</v>
      </c>
      <c r="J686" t="s">
        <v>143</v>
      </c>
      <c r="K686" s="23">
        <v>-292</v>
      </c>
      <c r="L686" t="s">
        <v>24</v>
      </c>
      <c r="M686" t="s">
        <v>25</v>
      </c>
    </row>
    <row r="687" spans="1:13" hidden="1" x14ac:dyDescent="0.25">
      <c r="A687" s="5">
        <v>45810</v>
      </c>
      <c r="B687" t="s">
        <v>20</v>
      </c>
      <c r="C687" t="s">
        <v>45</v>
      </c>
      <c r="D687" t="s">
        <v>15</v>
      </c>
      <c r="E687" t="str">
        <f t="shared" si="11"/>
        <v>ADM</v>
      </c>
      <c r="F687" t="s">
        <v>23</v>
      </c>
      <c r="G687" t="s">
        <v>23</v>
      </c>
      <c r="J687" t="s">
        <v>17</v>
      </c>
      <c r="K687" s="23">
        <v>2202.8200000000002</v>
      </c>
      <c r="L687" t="s">
        <v>18</v>
      </c>
      <c r="M687" t="s">
        <v>19</v>
      </c>
    </row>
    <row r="688" spans="1:13" hidden="1" x14ac:dyDescent="0.25">
      <c r="A688" s="5">
        <v>45810</v>
      </c>
      <c r="B688" t="s">
        <v>568</v>
      </c>
      <c r="C688" t="s">
        <v>653</v>
      </c>
      <c r="D688" t="s">
        <v>300</v>
      </c>
      <c r="E688" t="str">
        <f t="shared" si="11"/>
        <v>VAR</v>
      </c>
      <c r="F688" t="s">
        <v>637</v>
      </c>
      <c r="G688" t="s">
        <v>637</v>
      </c>
      <c r="I688" t="s">
        <v>638</v>
      </c>
      <c r="J688" t="s">
        <v>143</v>
      </c>
      <c r="K688" s="23">
        <v>-15850.98</v>
      </c>
      <c r="L688" t="s">
        <v>24</v>
      </c>
      <c r="M688" t="s">
        <v>25</v>
      </c>
    </row>
    <row r="689" spans="1:13" hidden="1" x14ac:dyDescent="0.25">
      <c r="A689" s="5">
        <v>45810</v>
      </c>
      <c r="B689" t="s">
        <v>20</v>
      </c>
      <c r="C689" t="s">
        <v>654</v>
      </c>
      <c r="D689" t="s">
        <v>28</v>
      </c>
      <c r="E689" t="str">
        <f t="shared" si="11"/>
        <v>ADM</v>
      </c>
      <c r="F689" t="s">
        <v>23</v>
      </c>
      <c r="G689" t="s">
        <v>23</v>
      </c>
      <c r="J689" t="s">
        <v>143</v>
      </c>
      <c r="K689" s="23">
        <v>-54</v>
      </c>
      <c r="L689" t="s">
        <v>24</v>
      </c>
      <c r="M689" t="s">
        <v>25</v>
      </c>
    </row>
    <row r="690" spans="1:13" hidden="1" x14ac:dyDescent="0.25">
      <c r="A690" s="5">
        <v>45810</v>
      </c>
      <c r="B690" t="s">
        <v>20</v>
      </c>
      <c r="C690" t="s">
        <v>573</v>
      </c>
      <c r="D690" t="s">
        <v>508</v>
      </c>
      <c r="E690" t="str">
        <f t="shared" si="11"/>
        <v>ADM</v>
      </c>
      <c r="F690" t="s">
        <v>23</v>
      </c>
      <c r="G690" t="s">
        <v>23</v>
      </c>
      <c r="J690" t="s">
        <v>143</v>
      </c>
      <c r="K690" s="23">
        <v>-59.9</v>
      </c>
      <c r="L690" t="s">
        <v>24</v>
      </c>
      <c r="M690" t="s">
        <v>25</v>
      </c>
    </row>
    <row r="691" spans="1:13" hidden="1" x14ac:dyDescent="0.25">
      <c r="A691" s="5">
        <v>45810</v>
      </c>
      <c r="B691" t="s">
        <v>20</v>
      </c>
      <c r="C691" t="s">
        <v>37</v>
      </c>
      <c r="D691" t="s">
        <v>30</v>
      </c>
      <c r="E691" t="str">
        <f t="shared" si="11"/>
        <v>ADM</v>
      </c>
      <c r="F691" t="s">
        <v>23</v>
      </c>
      <c r="G691" t="s">
        <v>23</v>
      </c>
      <c r="J691" t="s">
        <v>17</v>
      </c>
      <c r="K691" s="23">
        <v>-80.91</v>
      </c>
      <c r="L691" t="s">
        <v>24</v>
      </c>
      <c r="M691" t="s">
        <v>25</v>
      </c>
    </row>
    <row r="692" spans="1:13" hidden="1" x14ac:dyDescent="0.25">
      <c r="A692" s="5">
        <v>45810</v>
      </c>
      <c r="B692" t="s">
        <v>20</v>
      </c>
      <c r="C692" t="s">
        <v>387</v>
      </c>
      <c r="D692" t="s">
        <v>28</v>
      </c>
      <c r="E692" t="str">
        <f t="shared" si="11"/>
        <v>ADM</v>
      </c>
      <c r="F692" t="s">
        <v>23</v>
      </c>
      <c r="G692" t="s">
        <v>23</v>
      </c>
      <c r="J692" t="s">
        <v>143</v>
      </c>
      <c r="K692" s="23">
        <v>-55.4</v>
      </c>
      <c r="L692" t="s">
        <v>24</v>
      </c>
      <c r="M692" t="s">
        <v>25</v>
      </c>
    </row>
    <row r="693" spans="1:13" hidden="1" x14ac:dyDescent="0.25">
      <c r="A693" s="5">
        <v>45810</v>
      </c>
      <c r="B693" t="s">
        <v>20</v>
      </c>
      <c r="C693" t="s">
        <v>655</v>
      </c>
      <c r="D693" t="s">
        <v>308</v>
      </c>
      <c r="E693" t="str">
        <f t="shared" si="11"/>
        <v>T&amp;O</v>
      </c>
      <c r="F693" t="s">
        <v>23</v>
      </c>
      <c r="G693" t="s">
        <v>23</v>
      </c>
      <c r="J693" t="s">
        <v>143</v>
      </c>
      <c r="K693" s="23">
        <v>-132</v>
      </c>
      <c r="L693" t="s">
        <v>24</v>
      </c>
      <c r="M693" t="s">
        <v>25</v>
      </c>
    </row>
    <row r="694" spans="1:13" hidden="1" x14ac:dyDescent="0.25">
      <c r="A694" s="5">
        <v>45810</v>
      </c>
      <c r="B694" t="s">
        <v>20</v>
      </c>
      <c r="C694" t="s">
        <v>656</v>
      </c>
      <c r="D694" t="s">
        <v>89</v>
      </c>
      <c r="E694" t="str">
        <f t="shared" si="11"/>
        <v>ADM</v>
      </c>
      <c r="F694" t="s">
        <v>23</v>
      </c>
      <c r="G694" t="s">
        <v>23</v>
      </c>
      <c r="J694" t="s">
        <v>143</v>
      </c>
      <c r="K694" s="23">
        <v>-193.65</v>
      </c>
      <c r="L694" t="s">
        <v>24</v>
      </c>
      <c r="M694" t="s">
        <v>25</v>
      </c>
    </row>
    <row r="695" spans="1:13" hidden="1" x14ac:dyDescent="0.25">
      <c r="A695" s="5">
        <v>45810</v>
      </c>
      <c r="B695" t="s">
        <v>568</v>
      </c>
      <c r="C695" t="s">
        <v>51</v>
      </c>
      <c r="D695" t="s">
        <v>52</v>
      </c>
      <c r="E695" t="str">
        <f t="shared" si="11"/>
        <v>ADM</v>
      </c>
      <c r="F695" t="s">
        <v>53</v>
      </c>
      <c r="G695" t="s">
        <v>53</v>
      </c>
      <c r="J695" t="s">
        <v>17</v>
      </c>
      <c r="K695" s="23">
        <v>-1518</v>
      </c>
      <c r="L695" t="s">
        <v>24</v>
      </c>
      <c r="M695" t="s">
        <v>25</v>
      </c>
    </row>
    <row r="696" spans="1:13" hidden="1" x14ac:dyDescent="0.25">
      <c r="A696" s="5">
        <v>45810</v>
      </c>
      <c r="B696" t="s">
        <v>568</v>
      </c>
      <c r="C696" t="s">
        <v>657</v>
      </c>
      <c r="D696" t="s">
        <v>658</v>
      </c>
      <c r="E696" t="str">
        <f t="shared" si="11"/>
        <v>INV</v>
      </c>
      <c r="F696" t="s">
        <v>23</v>
      </c>
      <c r="G696" t="s">
        <v>23</v>
      </c>
      <c r="J696" t="s">
        <v>143</v>
      </c>
      <c r="K696" s="23">
        <v>3.92</v>
      </c>
      <c r="L696" t="s">
        <v>18</v>
      </c>
      <c r="M696" t="s">
        <v>19</v>
      </c>
    </row>
    <row r="697" spans="1:13" hidden="1" x14ac:dyDescent="0.25">
      <c r="A697" s="5">
        <v>45810</v>
      </c>
      <c r="B697" t="s">
        <v>20</v>
      </c>
      <c r="C697" t="s">
        <v>659</v>
      </c>
      <c r="D697" t="s">
        <v>660</v>
      </c>
      <c r="E697" t="str">
        <f t="shared" si="11"/>
        <v>ADM</v>
      </c>
      <c r="F697" t="s">
        <v>23</v>
      </c>
      <c r="G697" t="s">
        <v>23</v>
      </c>
      <c r="J697" t="s">
        <v>143</v>
      </c>
      <c r="K697" s="23">
        <v>-26</v>
      </c>
      <c r="L697" t="s">
        <v>24</v>
      </c>
      <c r="M697" t="s">
        <v>25</v>
      </c>
    </row>
    <row r="698" spans="1:13" hidden="1" x14ac:dyDescent="0.25">
      <c r="A698" s="5">
        <v>45810</v>
      </c>
      <c r="B698" t="s">
        <v>20</v>
      </c>
      <c r="C698" t="s">
        <v>41</v>
      </c>
      <c r="D698" t="s">
        <v>30</v>
      </c>
      <c r="E698" t="str">
        <f t="shared" si="11"/>
        <v>ADM</v>
      </c>
      <c r="F698" t="s">
        <v>23</v>
      </c>
      <c r="G698" t="s">
        <v>23</v>
      </c>
      <c r="J698" t="s">
        <v>17</v>
      </c>
      <c r="K698" s="23">
        <v>-49.99</v>
      </c>
      <c r="L698" t="s">
        <v>24</v>
      </c>
      <c r="M698" t="s">
        <v>25</v>
      </c>
    </row>
    <row r="699" spans="1:13" hidden="1" x14ac:dyDescent="0.25">
      <c r="A699" s="5">
        <v>45810</v>
      </c>
      <c r="B699" t="s">
        <v>20</v>
      </c>
      <c r="C699" t="s">
        <v>41</v>
      </c>
      <c r="D699" t="s">
        <v>30</v>
      </c>
      <c r="E699" t="str">
        <f t="shared" si="11"/>
        <v>ADM</v>
      </c>
      <c r="F699" t="s">
        <v>23</v>
      </c>
      <c r="G699" t="s">
        <v>23</v>
      </c>
      <c r="J699" t="s">
        <v>17</v>
      </c>
      <c r="K699" s="23">
        <v>-14.99</v>
      </c>
      <c r="L699" t="s">
        <v>24</v>
      </c>
      <c r="M699" t="s">
        <v>25</v>
      </c>
    </row>
    <row r="700" spans="1:13" hidden="1" x14ac:dyDescent="0.25">
      <c r="A700" s="5">
        <v>45810</v>
      </c>
      <c r="B700" t="s">
        <v>20</v>
      </c>
      <c r="C700" t="s">
        <v>661</v>
      </c>
      <c r="D700" t="s">
        <v>89</v>
      </c>
      <c r="E700" t="str">
        <f t="shared" si="11"/>
        <v>ADM</v>
      </c>
      <c r="F700" t="s">
        <v>23</v>
      </c>
      <c r="G700" t="s">
        <v>23</v>
      </c>
      <c r="J700" t="s">
        <v>143</v>
      </c>
      <c r="K700" s="23">
        <v>-18.23</v>
      </c>
      <c r="L700" t="s">
        <v>24</v>
      </c>
      <c r="M700" t="s">
        <v>25</v>
      </c>
    </row>
    <row r="701" spans="1:13" hidden="1" x14ac:dyDescent="0.25">
      <c r="A701" s="5">
        <v>45810</v>
      </c>
      <c r="B701" t="s">
        <v>20</v>
      </c>
      <c r="C701" t="s">
        <v>40</v>
      </c>
      <c r="D701" t="s">
        <v>30</v>
      </c>
      <c r="E701" t="str">
        <f t="shared" si="11"/>
        <v>ADM</v>
      </c>
      <c r="F701" t="s">
        <v>23</v>
      </c>
      <c r="G701" t="s">
        <v>23</v>
      </c>
      <c r="J701" t="s">
        <v>17</v>
      </c>
      <c r="K701" s="23">
        <v>-19.899999999999999</v>
      </c>
      <c r="L701" t="s">
        <v>24</v>
      </c>
      <c r="M701" t="s">
        <v>25</v>
      </c>
    </row>
    <row r="702" spans="1:13" hidden="1" x14ac:dyDescent="0.25">
      <c r="A702" s="5">
        <v>45810</v>
      </c>
      <c r="B702" t="s">
        <v>20</v>
      </c>
      <c r="C702" t="s">
        <v>46</v>
      </c>
      <c r="D702" t="s">
        <v>30</v>
      </c>
      <c r="E702" t="str">
        <f t="shared" si="11"/>
        <v>ADM</v>
      </c>
      <c r="F702" t="s">
        <v>23</v>
      </c>
      <c r="G702" t="s">
        <v>23</v>
      </c>
      <c r="J702" t="s">
        <v>17</v>
      </c>
      <c r="K702" s="23">
        <v>-119.9</v>
      </c>
      <c r="L702" t="s">
        <v>24</v>
      </c>
      <c r="M702" t="s">
        <v>25</v>
      </c>
    </row>
    <row r="703" spans="1:13" hidden="1" x14ac:dyDescent="0.25">
      <c r="A703" s="5">
        <v>45810</v>
      </c>
      <c r="B703" t="s">
        <v>20</v>
      </c>
      <c r="C703" t="s">
        <v>661</v>
      </c>
      <c r="D703" t="s">
        <v>89</v>
      </c>
      <c r="E703" t="str">
        <f t="shared" si="11"/>
        <v>ADM</v>
      </c>
      <c r="F703" t="s">
        <v>23</v>
      </c>
      <c r="G703" t="s">
        <v>23</v>
      </c>
      <c r="J703" t="s">
        <v>143</v>
      </c>
      <c r="K703" s="23">
        <v>-26.98</v>
      </c>
      <c r="L703" t="s">
        <v>24</v>
      </c>
      <c r="M703" t="s">
        <v>25</v>
      </c>
    </row>
    <row r="704" spans="1:13" hidden="1" x14ac:dyDescent="0.25">
      <c r="A704" s="5">
        <v>45810</v>
      </c>
      <c r="B704" t="s">
        <v>20</v>
      </c>
      <c r="C704" t="s">
        <v>32</v>
      </c>
      <c r="D704" t="s">
        <v>30</v>
      </c>
      <c r="E704" t="str">
        <f t="shared" si="11"/>
        <v>ADM</v>
      </c>
      <c r="F704" t="s">
        <v>23</v>
      </c>
      <c r="G704" t="s">
        <v>23</v>
      </c>
      <c r="J704" t="s">
        <v>17</v>
      </c>
      <c r="K704" s="23">
        <v>-58.9</v>
      </c>
      <c r="L704" t="s">
        <v>24</v>
      </c>
      <c r="M704" t="s">
        <v>25</v>
      </c>
    </row>
    <row r="705" spans="1:13" hidden="1" x14ac:dyDescent="0.25">
      <c r="A705" s="5">
        <v>45810</v>
      </c>
      <c r="B705" t="s">
        <v>20</v>
      </c>
      <c r="C705" t="s">
        <v>32</v>
      </c>
      <c r="D705" t="s">
        <v>30</v>
      </c>
      <c r="E705" t="str">
        <f t="shared" si="11"/>
        <v>ADM</v>
      </c>
      <c r="F705" t="s">
        <v>23</v>
      </c>
      <c r="G705" t="s">
        <v>23</v>
      </c>
      <c r="J705" t="s">
        <v>17</v>
      </c>
      <c r="K705" s="23">
        <v>-58.9</v>
      </c>
      <c r="L705" t="s">
        <v>24</v>
      </c>
      <c r="M705" t="s">
        <v>25</v>
      </c>
    </row>
    <row r="706" spans="1:13" hidden="1" x14ac:dyDescent="0.25">
      <c r="A706" s="5">
        <v>45812</v>
      </c>
      <c r="B706" t="s">
        <v>569</v>
      </c>
      <c r="C706" t="s">
        <v>662</v>
      </c>
      <c r="D706" t="s">
        <v>300</v>
      </c>
      <c r="E706" t="str">
        <f t="shared" si="11"/>
        <v>VAR</v>
      </c>
      <c r="F706" t="s">
        <v>208</v>
      </c>
      <c r="G706" t="s">
        <v>208</v>
      </c>
      <c r="J706" t="s">
        <v>143</v>
      </c>
      <c r="K706" s="23">
        <v>-100</v>
      </c>
      <c r="L706" t="s">
        <v>24</v>
      </c>
      <c r="M706" t="s">
        <v>25</v>
      </c>
    </row>
    <row r="707" spans="1:13" hidden="1" x14ac:dyDescent="0.25">
      <c r="A707" s="5">
        <v>45812</v>
      </c>
      <c r="B707" t="s">
        <v>569</v>
      </c>
      <c r="C707" t="s">
        <v>663</v>
      </c>
      <c r="D707" t="s">
        <v>300</v>
      </c>
      <c r="E707" t="str">
        <f t="shared" si="11"/>
        <v>VAR</v>
      </c>
      <c r="F707" t="s">
        <v>643</v>
      </c>
      <c r="G707" t="s">
        <v>643</v>
      </c>
      <c r="I707" t="s">
        <v>93</v>
      </c>
      <c r="J707" t="s">
        <v>17</v>
      </c>
      <c r="K707" s="23">
        <v>-396.83</v>
      </c>
      <c r="L707" t="s">
        <v>24</v>
      </c>
      <c r="M707" t="s">
        <v>25</v>
      </c>
    </row>
    <row r="708" spans="1:13" hidden="1" x14ac:dyDescent="0.25">
      <c r="A708" s="5">
        <v>45812</v>
      </c>
      <c r="B708" t="s">
        <v>569</v>
      </c>
      <c r="C708" t="s">
        <v>662</v>
      </c>
      <c r="D708" t="s">
        <v>300</v>
      </c>
      <c r="E708" t="str">
        <f t="shared" si="11"/>
        <v>VAR</v>
      </c>
      <c r="F708" t="s">
        <v>645</v>
      </c>
      <c r="G708" t="s">
        <v>645</v>
      </c>
      <c r="J708" t="s">
        <v>143</v>
      </c>
      <c r="K708" s="23">
        <v>-100</v>
      </c>
      <c r="L708" t="s">
        <v>24</v>
      </c>
      <c r="M708" t="s">
        <v>25</v>
      </c>
    </row>
    <row r="709" spans="1:13" hidden="1" x14ac:dyDescent="0.25">
      <c r="A709" s="5">
        <v>45812</v>
      </c>
      <c r="B709" t="s">
        <v>569</v>
      </c>
      <c r="C709" t="s">
        <v>662</v>
      </c>
      <c r="D709" t="s">
        <v>300</v>
      </c>
      <c r="E709" t="str">
        <f t="shared" si="11"/>
        <v>VAR</v>
      </c>
      <c r="F709" t="s">
        <v>67</v>
      </c>
      <c r="G709" t="s">
        <v>67</v>
      </c>
      <c r="J709" t="s">
        <v>143</v>
      </c>
      <c r="K709" s="23">
        <v>-100</v>
      </c>
      <c r="L709" t="s">
        <v>24</v>
      </c>
      <c r="M709" t="s">
        <v>25</v>
      </c>
    </row>
    <row r="710" spans="1:13" hidden="1" x14ac:dyDescent="0.25">
      <c r="A710" s="5">
        <v>45812</v>
      </c>
      <c r="B710" t="s">
        <v>568</v>
      </c>
      <c r="C710" t="s">
        <v>664</v>
      </c>
      <c r="D710" t="s">
        <v>103</v>
      </c>
      <c r="E710" t="str">
        <f t="shared" si="11"/>
        <v>ADM</v>
      </c>
      <c r="F710" t="s">
        <v>104</v>
      </c>
      <c r="G710" t="s">
        <v>104</v>
      </c>
      <c r="J710" t="s">
        <v>143</v>
      </c>
      <c r="K710" s="23">
        <v>-310</v>
      </c>
      <c r="L710" t="s">
        <v>24</v>
      </c>
      <c r="M710" t="s">
        <v>25</v>
      </c>
    </row>
    <row r="711" spans="1:13" hidden="1" x14ac:dyDescent="0.25">
      <c r="A711" s="5">
        <v>45812</v>
      </c>
      <c r="B711" t="s">
        <v>569</v>
      </c>
      <c r="C711" t="s">
        <v>662</v>
      </c>
      <c r="D711" t="s">
        <v>300</v>
      </c>
      <c r="E711" t="str">
        <f t="shared" si="11"/>
        <v>VAR</v>
      </c>
      <c r="F711" t="s">
        <v>304</v>
      </c>
      <c r="G711" t="s">
        <v>304</v>
      </c>
      <c r="J711" t="s">
        <v>143</v>
      </c>
      <c r="K711" s="23">
        <v>-100</v>
      </c>
      <c r="L711" t="s">
        <v>24</v>
      </c>
      <c r="M711" t="s">
        <v>25</v>
      </c>
    </row>
    <row r="712" spans="1:13" hidden="1" x14ac:dyDescent="0.25">
      <c r="A712" s="5">
        <v>45812</v>
      </c>
      <c r="B712" t="s">
        <v>569</v>
      </c>
      <c r="C712" t="s">
        <v>662</v>
      </c>
      <c r="D712" t="s">
        <v>300</v>
      </c>
      <c r="E712" t="str">
        <f t="shared" ref="E712:E774" si="12">IF(OR(D712="Honorários",D712="Despesa do cliente"),D712,LEFT(D712,3))</f>
        <v>VAR</v>
      </c>
      <c r="F712" t="s">
        <v>327</v>
      </c>
      <c r="G712" t="s">
        <v>327</v>
      </c>
      <c r="J712" t="s">
        <v>143</v>
      </c>
      <c r="K712" s="23">
        <v>-100</v>
      </c>
      <c r="L712" t="s">
        <v>24</v>
      </c>
      <c r="M712" t="s">
        <v>25</v>
      </c>
    </row>
    <row r="713" spans="1:13" hidden="1" x14ac:dyDescent="0.25">
      <c r="A713" s="5">
        <v>45812</v>
      </c>
      <c r="B713" t="s">
        <v>569</v>
      </c>
      <c r="C713" t="s">
        <v>662</v>
      </c>
      <c r="D713" t="s">
        <v>300</v>
      </c>
      <c r="E713" t="str">
        <f t="shared" si="12"/>
        <v>VAR</v>
      </c>
      <c r="F713" t="s">
        <v>209</v>
      </c>
      <c r="G713" t="s">
        <v>209</v>
      </c>
      <c r="J713" t="s">
        <v>143</v>
      </c>
      <c r="K713" s="23">
        <v>-100</v>
      </c>
      <c r="L713" t="s">
        <v>24</v>
      </c>
      <c r="M713" t="s">
        <v>25</v>
      </c>
    </row>
    <row r="714" spans="1:13" hidden="1" x14ac:dyDescent="0.25">
      <c r="A714" s="5">
        <v>45813</v>
      </c>
      <c r="B714" t="s">
        <v>568</v>
      </c>
      <c r="C714" t="s">
        <v>101</v>
      </c>
      <c r="D714" t="s">
        <v>15</v>
      </c>
      <c r="E714" t="str">
        <f t="shared" si="12"/>
        <v>ADM</v>
      </c>
      <c r="F714" t="s">
        <v>23</v>
      </c>
      <c r="G714" t="s">
        <v>23</v>
      </c>
      <c r="J714" t="s">
        <v>17</v>
      </c>
      <c r="K714" s="23">
        <v>-2202.8200000000002</v>
      </c>
      <c r="L714" t="s">
        <v>24</v>
      </c>
      <c r="M714" t="s">
        <v>25</v>
      </c>
    </row>
    <row r="715" spans="1:13" hidden="1" x14ac:dyDescent="0.25">
      <c r="A715" s="5">
        <v>45813</v>
      </c>
      <c r="B715" t="s">
        <v>13</v>
      </c>
      <c r="C715" t="s">
        <v>47</v>
      </c>
      <c r="D715" t="s">
        <v>30</v>
      </c>
      <c r="E715" t="str">
        <f t="shared" si="12"/>
        <v>ADM</v>
      </c>
      <c r="F715" t="s">
        <v>16</v>
      </c>
      <c r="G715" t="s">
        <v>16</v>
      </c>
      <c r="J715" t="s">
        <v>17</v>
      </c>
      <c r="K715" s="23">
        <v>-249.21</v>
      </c>
      <c r="L715" t="s">
        <v>24</v>
      </c>
      <c r="M715" t="s">
        <v>25</v>
      </c>
    </row>
    <row r="716" spans="1:13" hidden="1" x14ac:dyDescent="0.25">
      <c r="A716" s="5">
        <v>45813</v>
      </c>
      <c r="B716" t="s">
        <v>13</v>
      </c>
      <c r="C716" t="s">
        <v>665</v>
      </c>
      <c r="D716" t="s">
        <v>39</v>
      </c>
      <c r="E716" t="str">
        <f t="shared" si="12"/>
        <v>INV</v>
      </c>
      <c r="F716" t="s">
        <v>16</v>
      </c>
      <c r="G716" t="s">
        <v>16</v>
      </c>
      <c r="J716" t="s">
        <v>143</v>
      </c>
      <c r="K716" s="23">
        <v>-51</v>
      </c>
      <c r="L716" t="s">
        <v>24</v>
      </c>
      <c r="M716" t="s">
        <v>25</v>
      </c>
    </row>
    <row r="717" spans="1:13" hidden="1" x14ac:dyDescent="0.25">
      <c r="A717" s="5">
        <v>45813</v>
      </c>
      <c r="B717" t="s">
        <v>13</v>
      </c>
      <c r="C717" t="s">
        <v>35</v>
      </c>
      <c r="D717" t="s">
        <v>30</v>
      </c>
      <c r="E717" t="str">
        <f t="shared" si="12"/>
        <v>ADM</v>
      </c>
      <c r="F717" t="s">
        <v>16</v>
      </c>
      <c r="G717" t="s">
        <v>16</v>
      </c>
      <c r="J717" t="s">
        <v>17</v>
      </c>
      <c r="K717" s="23">
        <v>-40.340000000000003</v>
      </c>
      <c r="L717" t="s">
        <v>24</v>
      </c>
      <c r="M717" t="s">
        <v>25</v>
      </c>
    </row>
    <row r="718" spans="1:13" hidden="1" x14ac:dyDescent="0.25">
      <c r="A718" s="5">
        <v>45813</v>
      </c>
      <c r="B718" t="s">
        <v>568</v>
      </c>
      <c r="C718" t="s">
        <v>391</v>
      </c>
      <c r="D718" t="s">
        <v>96</v>
      </c>
      <c r="E718" t="str">
        <f t="shared" si="12"/>
        <v>ADM</v>
      </c>
      <c r="F718" t="s">
        <v>97</v>
      </c>
      <c r="G718" t="s">
        <v>97</v>
      </c>
      <c r="J718" t="s">
        <v>17</v>
      </c>
      <c r="K718" s="23">
        <v>-64.56</v>
      </c>
      <c r="L718" t="s">
        <v>24</v>
      </c>
      <c r="M718" t="s">
        <v>25</v>
      </c>
    </row>
    <row r="719" spans="1:13" hidden="1" x14ac:dyDescent="0.25">
      <c r="A719" s="5">
        <v>45813</v>
      </c>
      <c r="B719" t="s">
        <v>568</v>
      </c>
      <c r="C719" t="s">
        <v>390</v>
      </c>
      <c r="D719" t="s">
        <v>96</v>
      </c>
      <c r="E719" t="str">
        <f t="shared" si="12"/>
        <v>ADM</v>
      </c>
      <c r="F719" t="s">
        <v>97</v>
      </c>
      <c r="G719" t="s">
        <v>97</v>
      </c>
      <c r="J719" t="s">
        <v>17</v>
      </c>
      <c r="K719" s="23">
        <v>-64.56</v>
      </c>
      <c r="L719" t="s">
        <v>24</v>
      </c>
      <c r="M719" t="s">
        <v>25</v>
      </c>
    </row>
    <row r="720" spans="1:13" hidden="1" x14ac:dyDescent="0.25">
      <c r="A720" s="5">
        <v>45813</v>
      </c>
      <c r="B720" t="s">
        <v>13</v>
      </c>
      <c r="C720" t="s">
        <v>14</v>
      </c>
      <c r="D720" t="s">
        <v>15</v>
      </c>
      <c r="E720" t="str">
        <f t="shared" si="12"/>
        <v>ADM</v>
      </c>
      <c r="F720" t="s">
        <v>16</v>
      </c>
      <c r="G720" t="s">
        <v>16</v>
      </c>
      <c r="J720" t="s">
        <v>143</v>
      </c>
      <c r="K720" s="23">
        <v>877.25</v>
      </c>
      <c r="L720" t="s">
        <v>18</v>
      </c>
      <c r="M720" t="s">
        <v>19</v>
      </c>
    </row>
    <row r="721" spans="1:13" hidden="1" x14ac:dyDescent="0.25">
      <c r="A721" s="5">
        <v>45813</v>
      </c>
      <c r="B721" t="s">
        <v>568</v>
      </c>
      <c r="C721" t="s">
        <v>393</v>
      </c>
      <c r="D721" t="s">
        <v>96</v>
      </c>
      <c r="E721" t="str">
        <f t="shared" si="12"/>
        <v>ADM</v>
      </c>
      <c r="F721" t="s">
        <v>97</v>
      </c>
      <c r="G721" t="s">
        <v>97</v>
      </c>
      <c r="J721" t="s">
        <v>17</v>
      </c>
      <c r="K721" s="23">
        <v>-64.56</v>
      </c>
      <c r="L721" t="s">
        <v>24</v>
      </c>
      <c r="M721" t="s">
        <v>25</v>
      </c>
    </row>
    <row r="722" spans="1:13" hidden="1" x14ac:dyDescent="0.25">
      <c r="A722" s="5">
        <v>45813</v>
      </c>
      <c r="B722" t="s">
        <v>569</v>
      </c>
      <c r="C722" t="s">
        <v>666</v>
      </c>
      <c r="D722" t="s">
        <v>99</v>
      </c>
      <c r="E722" t="str">
        <f t="shared" si="12"/>
        <v>ADM</v>
      </c>
      <c r="F722" t="s">
        <v>304</v>
      </c>
      <c r="G722" t="s">
        <v>304</v>
      </c>
      <c r="J722" t="s">
        <v>143</v>
      </c>
      <c r="K722" s="23">
        <v>-54.44</v>
      </c>
      <c r="L722" t="s">
        <v>24</v>
      </c>
      <c r="M722" t="s">
        <v>25</v>
      </c>
    </row>
    <row r="723" spans="1:13" hidden="1" x14ac:dyDescent="0.25">
      <c r="A723" s="5">
        <v>45813</v>
      </c>
      <c r="B723" t="s">
        <v>568</v>
      </c>
      <c r="C723" t="s">
        <v>392</v>
      </c>
      <c r="D723" t="s">
        <v>96</v>
      </c>
      <c r="E723" t="str">
        <f t="shared" si="12"/>
        <v>ADM</v>
      </c>
      <c r="F723" t="s">
        <v>97</v>
      </c>
      <c r="G723" t="s">
        <v>97</v>
      </c>
      <c r="J723" t="s">
        <v>17</v>
      </c>
      <c r="K723" s="23">
        <v>-64.56</v>
      </c>
      <c r="L723" t="s">
        <v>24</v>
      </c>
      <c r="M723" t="s">
        <v>25</v>
      </c>
    </row>
    <row r="724" spans="1:13" hidden="1" x14ac:dyDescent="0.25">
      <c r="A724" s="5">
        <v>45813</v>
      </c>
      <c r="B724" t="s">
        <v>569</v>
      </c>
      <c r="C724" t="s">
        <v>667</v>
      </c>
      <c r="D724" t="s">
        <v>56</v>
      </c>
      <c r="E724" t="str">
        <f t="shared" si="12"/>
        <v>Honorários</v>
      </c>
      <c r="F724" t="s">
        <v>609</v>
      </c>
      <c r="G724" t="s">
        <v>609</v>
      </c>
      <c r="I724" t="s">
        <v>75</v>
      </c>
      <c r="J724" t="s">
        <v>143</v>
      </c>
      <c r="K724" s="23">
        <v>1007.59</v>
      </c>
      <c r="L724" t="s">
        <v>18</v>
      </c>
      <c r="M724" t="s">
        <v>19</v>
      </c>
    </row>
    <row r="725" spans="1:13" hidden="1" x14ac:dyDescent="0.25">
      <c r="A725" s="5">
        <v>45813</v>
      </c>
      <c r="B725" t="s">
        <v>568</v>
      </c>
      <c r="C725" t="s">
        <v>388</v>
      </c>
      <c r="D725" t="s">
        <v>96</v>
      </c>
      <c r="E725" t="str">
        <f t="shared" si="12"/>
        <v>ADM</v>
      </c>
      <c r="F725" t="s">
        <v>97</v>
      </c>
      <c r="G725" t="s">
        <v>97</v>
      </c>
      <c r="J725" t="s">
        <v>17</v>
      </c>
      <c r="K725" s="23">
        <v>-1296.1099999999999</v>
      </c>
      <c r="L725" t="s">
        <v>24</v>
      </c>
      <c r="M725" t="s">
        <v>25</v>
      </c>
    </row>
    <row r="726" spans="1:13" hidden="1" x14ac:dyDescent="0.25">
      <c r="A726" s="5">
        <v>45813</v>
      </c>
      <c r="B726" t="s">
        <v>13</v>
      </c>
      <c r="C726" t="s">
        <v>35</v>
      </c>
      <c r="D726" t="s">
        <v>30</v>
      </c>
      <c r="E726" t="str">
        <f t="shared" si="12"/>
        <v>ADM</v>
      </c>
      <c r="F726" t="s">
        <v>16</v>
      </c>
      <c r="G726" t="s">
        <v>16</v>
      </c>
      <c r="J726" t="s">
        <v>143</v>
      </c>
      <c r="K726" s="23">
        <v>-79.95</v>
      </c>
      <c r="L726" t="s">
        <v>24</v>
      </c>
      <c r="M726" t="s">
        <v>25</v>
      </c>
    </row>
    <row r="727" spans="1:13" hidden="1" x14ac:dyDescent="0.25">
      <c r="A727" s="5">
        <v>45813</v>
      </c>
      <c r="B727" t="s">
        <v>568</v>
      </c>
      <c r="C727" t="s">
        <v>389</v>
      </c>
      <c r="D727" t="s">
        <v>96</v>
      </c>
      <c r="E727" t="str">
        <f t="shared" si="12"/>
        <v>ADM</v>
      </c>
      <c r="F727" t="s">
        <v>97</v>
      </c>
      <c r="G727" t="s">
        <v>97</v>
      </c>
      <c r="J727" t="s">
        <v>17</v>
      </c>
      <c r="K727" s="23">
        <v>-1295.55</v>
      </c>
      <c r="L727" t="s">
        <v>24</v>
      </c>
      <c r="M727" t="s">
        <v>25</v>
      </c>
    </row>
    <row r="728" spans="1:13" hidden="1" x14ac:dyDescent="0.25">
      <c r="A728" s="5">
        <v>45813</v>
      </c>
      <c r="B728" t="s">
        <v>13</v>
      </c>
      <c r="C728" t="s">
        <v>29</v>
      </c>
      <c r="D728" t="s">
        <v>30</v>
      </c>
      <c r="E728" t="str">
        <f t="shared" si="12"/>
        <v>ADM</v>
      </c>
      <c r="F728" t="s">
        <v>16</v>
      </c>
      <c r="G728" t="s">
        <v>16</v>
      </c>
      <c r="J728" t="s">
        <v>17</v>
      </c>
      <c r="K728" s="23">
        <v>-456.75</v>
      </c>
      <c r="L728" t="s">
        <v>24</v>
      </c>
      <c r="M728" t="s">
        <v>25</v>
      </c>
    </row>
    <row r="729" spans="1:13" hidden="1" x14ac:dyDescent="0.25">
      <c r="A729" s="5">
        <v>45813</v>
      </c>
      <c r="B729" t="s">
        <v>568</v>
      </c>
      <c r="C729" t="s">
        <v>394</v>
      </c>
      <c r="D729" t="s">
        <v>96</v>
      </c>
      <c r="E729" t="str">
        <f t="shared" si="12"/>
        <v>ADM</v>
      </c>
      <c r="F729" t="s">
        <v>97</v>
      </c>
      <c r="G729" t="s">
        <v>97</v>
      </c>
      <c r="J729" t="s">
        <v>17</v>
      </c>
      <c r="K729" s="23">
        <v>-64.56</v>
      </c>
      <c r="L729" t="s">
        <v>24</v>
      </c>
      <c r="M729" t="s">
        <v>25</v>
      </c>
    </row>
    <row r="730" spans="1:13" hidden="1" x14ac:dyDescent="0.25">
      <c r="A730" s="5">
        <v>45814</v>
      </c>
      <c r="B730" t="s">
        <v>568</v>
      </c>
      <c r="C730" t="s">
        <v>668</v>
      </c>
      <c r="D730" t="s">
        <v>56</v>
      </c>
      <c r="E730" t="str">
        <f t="shared" si="12"/>
        <v>Honorários</v>
      </c>
      <c r="F730" t="s">
        <v>488</v>
      </c>
      <c r="G730" t="s">
        <v>488</v>
      </c>
      <c r="I730" t="s">
        <v>58</v>
      </c>
      <c r="J730" t="s">
        <v>143</v>
      </c>
      <c r="K730" s="23">
        <v>5852.82</v>
      </c>
      <c r="L730" t="s">
        <v>18</v>
      </c>
      <c r="M730" t="s">
        <v>19</v>
      </c>
    </row>
    <row r="731" spans="1:13" hidden="1" x14ac:dyDescent="0.25">
      <c r="A731" s="5">
        <v>45814</v>
      </c>
      <c r="B731" t="s">
        <v>569</v>
      </c>
      <c r="C731" t="s">
        <v>584</v>
      </c>
      <c r="D731" t="s">
        <v>99</v>
      </c>
      <c r="E731" t="str">
        <f t="shared" si="12"/>
        <v>ADM</v>
      </c>
      <c r="F731" t="s">
        <v>100</v>
      </c>
      <c r="G731" t="s">
        <v>100</v>
      </c>
      <c r="J731" t="s">
        <v>143</v>
      </c>
      <c r="K731" s="23">
        <v>-340</v>
      </c>
      <c r="L731" t="s">
        <v>24</v>
      </c>
      <c r="M731" t="s">
        <v>25</v>
      </c>
    </row>
    <row r="732" spans="1:13" hidden="1" x14ac:dyDescent="0.25">
      <c r="A732" s="5">
        <v>45814</v>
      </c>
      <c r="B732" t="s">
        <v>568</v>
      </c>
      <c r="C732" t="s">
        <v>118</v>
      </c>
      <c r="D732" t="s">
        <v>113</v>
      </c>
      <c r="E732" t="str">
        <f t="shared" si="12"/>
        <v>ADM</v>
      </c>
      <c r="F732" t="s">
        <v>114</v>
      </c>
      <c r="G732" t="s">
        <v>114</v>
      </c>
      <c r="J732" t="s">
        <v>17</v>
      </c>
      <c r="K732" s="23">
        <v>-137.37</v>
      </c>
      <c r="L732" t="s">
        <v>24</v>
      </c>
      <c r="M732" t="s">
        <v>25</v>
      </c>
    </row>
    <row r="733" spans="1:13" hidden="1" x14ac:dyDescent="0.25">
      <c r="A733" s="5">
        <v>45814</v>
      </c>
      <c r="B733" t="s">
        <v>568</v>
      </c>
      <c r="C733" t="s">
        <v>588</v>
      </c>
      <c r="D733" t="s">
        <v>56</v>
      </c>
      <c r="E733" t="str">
        <f t="shared" si="12"/>
        <v>Honorários</v>
      </c>
      <c r="F733" t="s">
        <v>580</v>
      </c>
      <c r="G733" t="s">
        <v>580</v>
      </c>
      <c r="I733" t="s">
        <v>669</v>
      </c>
      <c r="J733" t="s">
        <v>143</v>
      </c>
      <c r="K733" s="23">
        <v>3117.13</v>
      </c>
      <c r="L733" t="s">
        <v>18</v>
      </c>
      <c r="M733" t="s">
        <v>19</v>
      </c>
    </row>
    <row r="734" spans="1:13" hidden="1" x14ac:dyDescent="0.25">
      <c r="A734" s="5">
        <v>45817</v>
      </c>
      <c r="B734" t="s">
        <v>33</v>
      </c>
      <c r="C734" t="s">
        <v>670</v>
      </c>
      <c r="D734" t="s">
        <v>626</v>
      </c>
      <c r="E734" t="str">
        <f>IF(ISERROR(FIND("-",D734,1)),D734,LEFT(D734,3))</f>
        <v>Reembolso</v>
      </c>
      <c r="F734" t="s">
        <v>23</v>
      </c>
      <c r="G734" t="s">
        <v>23</v>
      </c>
      <c r="J734" t="s">
        <v>143</v>
      </c>
      <c r="K734" s="23">
        <v>308.25</v>
      </c>
      <c r="L734" t="s">
        <v>18</v>
      </c>
      <c r="M734" t="s">
        <v>19</v>
      </c>
    </row>
    <row r="735" spans="1:13" hidden="1" x14ac:dyDescent="0.25">
      <c r="A735" s="5">
        <v>45817</v>
      </c>
      <c r="B735" t="s">
        <v>33</v>
      </c>
      <c r="C735" t="s">
        <v>671</v>
      </c>
      <c r="D735" t="s">
        <v>15</v>
      </c>
      <c r="E735" t="str">
        <f t="shared" si="12"/>
        <v>ADM</v>
      </c>
      <c r="F735" t="s">
        <v>23</v>
      </c>
      <c r="G735" t="s">
        <v>23</v>
      </c>
      <c r="J735" t="s">
        <v>143</v>
      </c>
      <c r="K735" s="26">
        <v>336.42</v>
      </c>
      <c r="L735" t="s">
        <v>18</v>
      </c>
      <c r="M735" t="s">
        <v>19</v>
      </c>
    </row>
    <row r="736" spans="1:13" hidden="1" x14ac:dyDescent="0.25">
      <c r="A736" s="5">
        <v>45817</v>
      </c>
      <c r="B736" t="s">
        <v>568</v>
      </c>
      <c r="C736" t="s">
        <v>439</v>
      </c>
      <c r="D736" t="s">
        <v>113</v>
      </c>
      <c r="E736" t="str">
        <f t="shared" si="12"/>
        <v>ADM</v>
      </c>
      <c r="F736" t="s">
        <v>438</v>
      </c>
      <c r="G736" t="s">
        <v>438</v>
      </c>
      <c r="J736" t="s">
        <v>17</v>
      </c>
      <c r="K736" s="23">
        <v>-130.53</v>
      </c>
      <c r="L736" t="s">
        <v>24</v>
      </c>
      <c r="M736" t="s">
        <v>25</v>
      </c>
    </row>
    <row r="737" spans="1:13" hidden="1" x14ac:dyDescent="0.25">
      <c r="A737" s="5">
        <v>45817</v>
      </c>
      <c r="B737" t="s">
        <v>569</v>
      </c>
      <c r="C737" t="s">
        <v>672</v>
      </c>
      <c r="D737" t="s">
        <v>162</v>
      </c>
      <c r="E737" t="str">
        <f t="shared" si="12"/>
        <v>COM</v>
      </c>
      <c r="F737" t="s">
        <v>673</v>
      </c>
      <c r="G737" t="s">
        <v>673</v>
      </c>
      <c r="J737" t="s">
        <v>143</v>
      </c>
      <c r="K737" s="23">
        <v>-81.5</v>
      </c>
      <c r="L737" t="s">
        <v>24</v>
      </c>
      <c r="M737" t="s">
        <v>25</v>
      </c>
    </row>
    <row r="738" spans="1:13" hidden="1" x14ac:dyDescent="0.25">
      <c r="A738" s="5">
        <v>45817</v>
      </c>
      <c r="B738" t="s">
        <v>568</v>
      </c>
      <c r="C738" t="s">
        <v>674</v>
      </c>
      <c r="D738" s="18" t="s">
        <v>15</v>
      </c>
      <c r="E738" t="str">
        <f t="shared" si="12"/>
        <v>ADM</v>
      </c>
      <c r="F738" t="s">
        <v>23</v>
      </c>
      <c r="G738" t="s">
        <v>23</v>
      </c>
      <c r="J738" t="s">
        <v>143</v>
      </c>
      <c r="K738" s="26">
        <v>-336.42</v>
      </c>
      <c r="L738" t="s">
        <v>24</v>
      </c>
      <c r="M738" t="s">
        <v>25</v>
      </c>
    </row>
    <row r="739" spans="1:13" hidden="1" x14ac:dyDescent="0.25">
      <c r="A739" s="5">
        <v>45817</v>
      </c>
      <c r="B739" t="s">
        <v>568</v>
      </c>
      <c r="C739" t="s">
        <v>437</v>
      </c>
      <c r="D739" t="s">
        <v>113</v>
      </c>
      <c r="E739" t="str">
        <f t="shared" si="12"/>
        <v>ADM</v>
      </c>
      <c r="F739" t="s">
        <v>438</v>
      </c>
      <c r="G739" t="s">
        <v>438</v>
      </c>
      <c r="J739" t="s">
        <v>17</v>
      </c>
      <c r="K739" s="23">
        <v>-131.37</v>
      </c>
      <c r="L739" t="s">
        <v>24</v>
      </c>
      <c r="M739" t="s">
        <v>25</v>
      </c>
    </row>
    <row r="740" spans="1:13" hidden="1" x14ac:dyDescent="0.25">
      <c r="A740" s="5">
        <v>45817</v>
      </c>
      <c r="B740" t="s">
        <v>568</v>
      </c>
      <c r="C740" t="s">
        <v>675</v>
      </c>
      <c r="D740" t="s">
        <v>56</v>
      </c>
      <c r="E740" t="str">
        <f t="shared" si="12"/>
        <v>Honorários</v>
      </c>
      <c r="F740" t="s">
        <v>92</v>
      </c>
      <c r="G740" t="s">
        <v>92</v>
      </c>
      <c r="I740" t="s">
        <v>93</v>
      </c>
      <c r="J740" t="s">
        <v>17</v>
      </c>
      <c r="K740" s="23">
        <v>0.01</v>
      </c>
      <c r="L740" t="s">
        <v>18</v>
      </c>
      <c r="M740" t="s">
        <v>19</v>
      </c>
    </row>
    <row r="741" spans="1:13" hidden="1" x14ac:dyDescent="0.25">
      <c r="A741" s="5">
        <v>45817</v>
      </c>
      <c r="B741" t="s">
        <v>33</v>
      </c>
      <c r="C741" t="s">
        <v>676</v>
      </c>
      <c r="D741" s="18" t="s">
        <v>149</v>
      </c>
      <c r="E741" t="str">
        <f t="shared" si="12"/>
        <v>ADM</v>
      </c>
      <c r="F741" t="s">
        <v>23</v>
      </c>
      <c r="G741" t="s">
        <v>23</v>
      </c>
      <c r="J741" t="s">
        <v>143</v>
      </c>
      <c r="K741" s="26">
        <v>-419.68</v>
      </c>
      <c r="L741" t="s">
        <v>24</v>
      </c>
      <c r="M741" t="s">
        <v>25</v>
      </c>
    </row>
    <row r="742" spans="1:13" hidden="1" x14ac:dyDescent="0.25">
      <c r="A742" s="5">
        <v>45817</v>
      </c>
      <c r="B742" t="s">
        <v>33</v>
      </c>
      <c r="C742" t="s">
        <v>677</v>
      </c>
      <c r="D742" t="s">
        <v>15</v>
      </c>
      <c r="E742" t="str">
        <f t="shared" si="12"/>
        <v>ADM</v>
      </c>
      <c r="F742" t="s">
        <v>23</v>
      </c>
      <c r="G742" t="s">
        <v>23</v>
      </c>
      <c r="J742" t="s">
        <v>143</v>
      </c>
      <c r="K742" s="26">
        <v>-224.99</v>
      </c>
      <c r="L742" t="s">
        <v>24</v>
      </c>
      <c r="M742" t="s">
        <v>25</v>
      </c>
    </row>
    <row r="743" spans="1:13" hidden="1" x14ac:dyDescent="0.25">
      <c r="A743" s="5">
        <v>45817</v>
      </c>
      <c r="B743" t="s">
        <v>569</v>
      </c>
      <c r="C743" t="s">
        <v>598</v>
      </c>
      <c r="D743" t="s">
        <v>56</v>
      </c>
      <c r="E743" t="str">
        <f t="shared" si="12"/>
        <v>Honorários</v>
      </c>
      <c r="F743" t="s">
        <v>513</v>
      </c>
      <c r="G743" t="s">
        <v>513</v>
      </c>
      <c r="I743" t="s">
        <v>75</v>
      </c>
      <c r="J743" t="s">
        <v>143</v>
      </c>
      <c r="K743" s="23">
        <v>455.4</v>
      </c>
      <c r="L743" t="s">
        <v>18</v>
      </c>
      <c r="M743" t="s">
        <v>19</v>
      </c>
    </row>
    <row r="744" spans="1:13" hidden="1" x14ac:dyDescent="0.25">
      <c r="A744" s="5">
        <v>45818</v>
      </c>
      <c r="B744" t="s">
        <v>569</v>
      </c>
      <c r="C744" t="s">
        <v>678</v>
      </c>
      <c r="D744" t="s">
        <v>308</v>
      </c>
      <c r="E744" t="str">
        <f t="shared" si="12"/>
        <v>T&amp;O</v>
      </c>
      <c r="F744" t="s">
        <v>120</v>
      </c>
      <c r="G744" t="s">
        <v>120</v>
      </c>
      <c r="J744" t="s">
        <v>143</v>
      </c>
      <c r="K744" s="23">
        <v>-15</v>
      </c>
      <c r="L744" t="s">
        <v>24</v>
      </c>
      <c r="M744" t="s">
        <v>25</v>
      </c>
    </row>
    <row r="745" spans="1:13" hidden="1" x14ac:dyDescent="0.25">
      <c r="A745" s="5">
        <v>45818</v>
      </c>
      <c r="B745" t="s">
        <v>569</v>
      </c>
      <c r="C745" t="s">
        <v>411</v>
      </c>
      <c r="D745" t="s">
        <v>56</v>
      </c>
      <c r="E745" t="str">
        <f t="shared" si="12"/>
        <v>Honorários</v>
      </c>
      <c r="F745" t="s">
        <v>412</v>
      </c>
      <c r="G745" t="s">
        <v>412</v>
      </c>
      <c r="I745" t="s">
        <v>196</v>
      </c>
      <c r="J745" t="s">
        <v>143</v>
      </c>
      <c r="K745" s="23">
        <v>300</v>
      </c>
      <c r="L745" t="s">
        <v>18</v>
      </c>
      <c r="M745" t="s">
        <v>19</v>
      </c>
    </row>
    <row r="746" spans="1:13" hidden="1" x14ac:dyDescent="0.25">
      <c r="A746" s="5">
        <v>45818</v>
      </c>
      <c r="B746" t="s">
        <v>569</v>
      </c>
      <c r="C746" t="s">
        <v>465</v>
      </c>
      <c r="D746" t="s">
        <v>56</v>
      </c>
      <c r="E746" t="str">
        <f t="shared" si="12"/>
        <v>Honorários</v>
      </c>
      <c r="F746" t="s">
        <v>400</v>
      </c>
      <c r="G746" t="s">
        <v>400</v>
      </c>
      <c r="I746" t="s">
        <v>335</v>
      </c>
      <c r="J746" t="s">
        <v>17</v>
      </c>
      <c r="K746" s="23">
        <v>445.5</v>
      </c>
      <c r="L746" t="s">
        <v>18</v>
      </c>
      <c r="M746" t="s">
        <v>19</v>
      </c>
    </row>
    <row r="747" spans="1:13" hidden="1" x14ac:dyDescent="0.25">
      <c r="A747" s="5">
        <v>45818</v>
      </c>
      <c r="B747" t="s">
        <v>569</v>
      </c>
      <c r="C747" t="s">
        <v>679</v>
      </c>
      <c r="D747" t="s">
        <v>56</v>
      </c>
      <c r="E747" t="str">
        <f t="shared" si="12"/>
        <v>Honorários</v>
      </c>
      <c r="F747" t="s">
        <v>458</v>
      </c>
      <c r="G747" t="s">
        <v>458</v>
      </c>
      <c r="I747" t="s">
        <v>75</v>
      </c>
      <c r="J747" t="s">
        <v>143</v>
      </c>
      <c r="K747" s="23">
        <v>445.5</v>
      </c>
      <c r="L747" t="s">
        <v>18</v>
      </c>
      <c r="M747" t="s">
        <v>19</v>
      </c>
    </row>
    <row r="748" spans="1:13" hidden="1" x14ac:dyDescent="0.25">
      <c r="A748" s="5">
        <v>45818</v>
      </c>
      <c r="B748" t="s">
        <v>568</v>
      </c>
      <c r="C748" t="s">
        <v>127</v>
      </c>
      <c r="D748" t="s">
        <v>128</v>
      </c>
      <c r="E748" t="str">
        <f t="shared" si="12"/>
        <v>PES</v>
      </c>
      <c r="F748" t="s">
        <v>129</v>
      </c>
      <c r="G748" t="s">
        <v>129</v>
      </c>
      <c r="J748" t="s">
        <v>17</v>
      </c>
      <c r="K748" s="23">
        <v>-426.92</v>
      </c>
      <c r="L748" t="s">
        <v>24</v>
      </c>
      <c r="M748" t="s">
        <v>25</v>
      </c>
    </row>
    <row r="749" spans="1:13" hidden="1" x14ac:dyDescent="0.25">
      <c r="A749" s="5">
        <v>45819</v>
      </c>
      <c r="B749" t="s">
        <v>568</v>
      </c>
      <c r="C749" t="s">
        <v>680</v>
      </c>
      <c r="D749" t="s">
        <v>56</v>
      </c>
      <c r="E749" t="str">
        <f t="shared" si="12"/>
        <v>Honorários</v>
      </c>
      <c r="F749" t="s">
        <v>681</v>
      </c>
      <c r="G749" t="s">
        <v>681</v>
      </c>
      <c r="I749" t="s">
        <v>682</v>
      </c>
      <c r="J749" t="s">
        <v>17</v>
      </c>
      <c r="K749" s="23">
        <v>97.15</v>
      </c>
      <c r="L749" t="s">
        <v>18</v>
      </c>
      <c r="M749" t="s">
        <v>19</v>
      </c>
    </row>
    <row r="750" spans="1:13" hidden="1" x14ac:dyDescent="0.25">
      <c r="A750" s="5">
        <v>45820</v>
      </c>
      <c r="B750" t="s">
        <v>569</v>
      </c>
      <c r="C750" t="s">
        <v>683</v>
      </c>
      <c r="D750" t="s">
        <v>56</v>
      </c>
      <c r="E750" t="str">
        <f t="shared" si="12"/>
        <v>Honorários</v>
      </c>
      <c r="F750" t="s">
        <v>684</v>
      </c>
      <c r="G750" t="s">
        <v>684</v>
      </c>
      <c r="I750" t="s">
        <v>82</v>
      </c>
      <c r="J750" t="s">
        <v>143</v>
      </c>
      <c r="K750" s="23">
        <v>152</v>
      </c>
      <c r="L750" t="s">
        <v>18</v>
      </c>
      <c r="M750" t="s">
        <v>19</v>
      </c>
    </row>
    <row r="751" spans="1:13" hidden="1" x14ac:dyDescent="0.25">
      <c r="A751" s="5">
        <v>45821</v>
      </c>
      <c r="B751" t="s">
        <v>569</v>
      </c>
      <c r="C751" t="s">
        <v>584</v>
      </c>
      <c r="D751" t="s">
        <v>99</v>
      </c>
      <c r="E751" t="str">
        <f t="shared" si="12"/>
        <v>ADM</v>
      </c>
      <c r="F751" t="s">
        <v>100</v>
      </c>
      <c r="G751" t="s">
        <v>100</v>
      </c>
      <c r="J751" t="s">
        <v>143</v>
      </c>
      <c r="K751" s="23">
        <v>-340</v>
      </c>
      <c r="L751" t="s">
        <v>24</v>
      </c>
      <c r="M751" t="s">
        <v>25</v>
      </c>
    </row>
    <row r="752" spans="1:13" hidden="1" x14ac:dyDescent="0.25">
      <c r="A752" s="5">
        <v>45824</v>
      </c>
      <c r="B752" t="s">
        <v>569</v>
      </c>
      <c r="C752" t="s">
        <v>13</v>
      </c>
      <c r="D752" t="s">
        <v>15</v>
      </c>
      <c r="E752" t="str">
        <f t="shared" si="12"/>
        <v>ADM</v>
      </c>
      <c r="F752" t="s">
        <v>16</v>
      </c>
      <c r="G752" t="s">
        <v>16</v>
      </c>
      <c r="J752" t="s">
        <v>17</v>
      </c>
      <c r="K752" s="23">
        <v>-877.25</v>
      </c>
      <c r="L752" t="s">
        <v>24</v>
      </c>
      <c r="M752" t="s">
        <v>25</v>
      </c>
    </row>
    <row r="753" spans="1:13" hidden="1" x14ac:dyDescent="0.25">
      <c r="A753" s="5">
        <v>45825</v>
      </c>
      <c r="B753" t="s">
        <v>569</v>
      </c>
      <c r="C753" t="s">
        <v>683</v>
      </c>
      <c r="D753" t="s">
        <v>56</v>
      </c>
      <c r="E753" t="str">
        <f t="shared" si="12"/>
        <v>Honorários</v>
      </c>
      <c r="F753" t="s">
        <v>685</v>
      </c>
      <c r="G753" t="s">
        <v>685</v>
      </c>
      <c r="I753" t="s">
        <v>75</v>
      </c>
      <c r="J753" t="s">
        <v>143</v>
      </c>
      <c r="K753" s="23">
        <v>477</v>
      </c>
      <c r="L753" t="s">
        <v>18</v>
      </c>
      <c r="M753" t="s">
        <v>19</v>
      </c>
    </row>
    <row r="754" spans="1:13" hidden="1" x14ac:dyDescent="0.25">
      <c r="A754" s="5">
        <v>45825</v>
      </c>
      <c r="B754" t="s">
        <v>568</v>
      </c>
      <c r="C754" t="s">
        <v>686</v>
      </c>
      <c r="D754" t="s">
        <v>198</v>
      </c>
      <c r="E754" t="str">
        <f t="shared" si="12"/>
        <v>PES</v>
      </c>
      <c r="F754" t="s">
        <v>209</v>
      </c>
      <c r="G754" t="s">
        <v>209</v>
      </c>
      <c r="J754" t="s">
        <v>143</v>
      </c>
      <c r="K754" s="23">
        <v>-2616.83</v>
      </c>
      <c r="L754" t="s">
        <v>24</v>
      </c>
      <c r="M754" t="s">
        <v>25</v>
      </c>
    </row>
    <row r="755" spans="1:13" hidden="1" x14ac:dyDescent="0.25">
      <c r="A755" s="5">
        <v>45826</v>
      </c>
      <c r="B755" t="s">
        <v>568</v>
      </c>
      <c r="C755" t="s">
        <v>165</v>
      </c>
      <c r="D755" t="s">
        <v>166</v>
      </c>
      <c r="E755" t="str">
        <f t="shared" si="12"/>
        <v>PES</v>
      </c>
      <c r="F755" t="s">
        <v>537</v>
      </c>
      <c r="G755" t="s">
        <v>537</v>
      </c>
      <c r="J755" t="s">
        <v>17</v>
      </c>
      <c r="K755" s="23">
        <v>-3219.5</v>
      </c>
      <c r="L755" t="s">
        <v>24</v>
      </c>
      <c r="M755" t="s">
        <v>25</v>
      </c>
    </row>
    <row r="756" spans="1:13" hidden="1" x14ac:dyDescent="0.25">
      <c r="A756" s="5">
        <v>45826</v>
      </c>
      <c r="B756" t="s">
        <v>568</v>
      </c>
      <c r="C756" t="s">
        <v>158</v>
      </c>
      <c r="D756" t="s">
        <v>159</v>
      </c>
      <c r="E756" t="str">
        <f t="shared" si="12"/>
        <v>PES</v>
      </c>
      <c r="F756" t="s">
        <v>158</v>
      </c>
      <c r="G756" t="s">
        <v>158</v>
      </c>
      <c r="J756" t="s">
        <v>17</v>
      </c>
      <c r="K756" s="23">
        <v>-589.23</v>
      </c>
      <c r="L756" t="s">
        <v>24</v>
      </c>
      <c r="M756" t="s">
        <v>25</v>
      </c>
    </row>
    <row r="757" spans="1:13" hidden="1" x14ac:dyDescent="0.25">
      <c r="A757" s="5">
        <v>45826</v>
      </c>
      <c r="B757" t="s">
        <v>568</v>
      </c>
      <c r="C757" t="s">
        <v>687</v>
      </c>
      <c r="D757" t="s">
        <v>159</v>
      </c>
      <c r="E757" t="str">
        <f t="shared" si="12"/>
        <v>PES</v>
      </c>
      <c r="F757" t="s">
        <v>158</v>
      </c>
      <c r="G757" t="s">
        <v>158</v>
      </c>
      <c r="J757" t="s">
        <v>143</v>
      </c>
      <c r="K757" s="23">
        <v>-145.6</v>
      </c>
      <c r="L757" t="s">
        <v>24</v>
      </c>
      <c r="M757" t="s">
        <v>25</v>
      </c>
    </row>
    <row r="758" spans="1:13" hidden="1" x14ac:dyDescent="0.25">
      <c r="A758" s="5">
        <v>45826</v>
      </c>
      <c r="B758" t="s">
        <v>568</v>
      </c>
      <c r="C758" t="s">
        <v>151</v>
      </c>
      <c r="D758" t="s">
        <v>152</v>
      </c>
      <c r="E758" t="str">
        <f t="shared" si="12"/>
        <v>VAR</v>
      </c>
      <c r="F758" t="s">
        <v>151</v>
      </c>
      <c r="G758" t="s">
        <v>151</v>
      </c>
      <c r="J758" t="s">
        <v>17</v>
      </c>
      <c r="K758" s="23">
        <v>-16067.33</v>
      </c>
      <c r="L758" t="s">
        <v>24</v>
      </c>
      <c r="M758" t="s">
        <v>25</v>
      </c>
    </row>
    <row r="759" spans="1:13" hidden="1" x14ac:dyDescent="0.25">
      <c r="A759" s="5">
        <v>45826</v>
      </c>
      <c r="B759" t="s">
        <v>569</v>
      </c>
      <c r="C759" t="s">
        <v>584</v>
      </c>
      <c r="D759" t="s">
        <v>99</v>
      </c>
      <c r="E759" t="str">
        <f t="shared" si="12"/>
        <v>ADM</v>
      </c>
      <c r="F759" t="s">
        <v>100</v>
      </c>
      <c r="G759" t="s">
        <v>100</v>
      </c>
      <c r="J759" t="s">
        <v>143</v>
      </c>
      <c r="K759" s="23">
        <v>-170</v>
      </c>
      <c r="L759" t="s">
        <v>24</v>
      </c>
      <c r="M759" t="s">
        <v>25</v>
      </c>
    </row>
    <row r="760" spans="1:13" hidden="1" x14ac:dyDescent="0.25">
      <c r="A760" s="5">
        <v>45828</v>
      </c>
      <c r="B760" t="s">
        <v>569</v>
      </c>
      <c r="C760" t="s">
        <v>688</v>
      </c>
      <c r="D760" t="s">
        <v>56</v>
      </c>
      <c r="E760" t="str">
        <f t="shared" si="12"/>
        <v>Honorários</v>
      </c>
      <c r="F760" t="s">
        <v>689</v>
      </c>
      <c r="G760" t="s">
        <v>689</v>
      </c>
      <c r="I760" t="s">
        <v>690</v>
      </c>
      <c r="J760" t="s">
        <v>143</v>
      </c>
      <c r="K760" s="23">
        <v>1350</v>
      </c>
      <c r="L760" t="s">
        <v>18</v>
      </c>
      <c r="M760" t="s">
        <v>19</v>
      </c>
    </row>
    <row r="761" spans="1:13" hidden="1" x14ac:dyDescent="0.25">
      <c r="A761" s="5">
        <v>45828</v>
      </c>
      <c r="B761" t="s">
        <v>568</v>
      </c>
      <c r="C761" t="s">
        <v>153</v>
      </c>
      <c r="D761" t="s">
        <v>154</v>
      </c>
      <c r="E761" t="str">
        <f t="shared" si="12"/>
        <v>ADM</v>
      </c>
      <c r="F761" t="s">
        <v>155</v>
      </c>
      <c r="G761" t="s">
        <v>155</v>
      </c>
      <c r="J761" t="s">
        <v>17</v>
      </c>
      <c r="K761" s="23">
        <v>-134.25</v>
      </c>
      <c r="L761" t="s">
        <v>24</v>
      </c>
      <c r="M761" t="s">
        <v>25</v>
      </c>
    </row>
    <row r="762" spans="1:13" hidden="1" x14ac:dyDescent="0.25">
      <c r="A762" s="5">
        <v>45831</v>
      </c>
      <c r="B762" t="s">
        <v>569</v>
      </c>
      <c r="C762" t="s">
        <v>691</v>
      </c>
      <c r="D762" t="s">
        <v>89</v>
      </c>
      <c r="E762" t="str">
        <f t="shared" si="12"/>
        <v>ADM</v>
      </c>
      <c r="F762" t="s">
        <v>692</v>
      </c>
      <c r="G762" t="s">
        <v>692</v>
      </c>
      <c r="J762" t="s">
        <v>143</v>
      </c>
      <c r="K762" s="23">
        <v>-451.16</v>
      </c>
      <c r="L762" t="s">
        <v>24</v>
      </c>
      <c r="M762" t="s">
        <v>25</v>
      </c>
    </row>
    <row r="763" spans="1:13" hidden="1" x14ac:dyDescent="0.25">
      <c r="A763" s="5">
        <v>45831</v>
      </c>
      <c r="B763" t="s">
        <v>568</v>
      </c>
      <c r="C763" t="s">
        <v>350</v>
      </c>
      <c r="D763" t="s">
        <v>302</v>
      </c>
      <c r="E763" t="str">
        <f t="shared" si="12"/>
        <v>ADM</v>
      </c>
      <c r="F763" t="s">
        <v>303</v>
      </c>
      <c r="G763" t="s">
        <v>303</v>
      </c>
      <c r="H763" t="s">
        <v>285</v>
      </c>
      <c r="J763" t="s">
        <v>143</v>
      </c>
      <c r="K763" s="23">
        <v>-42.74</v>
      </c>
      <c r="L763" t="s">
        <v>24</v>
      </c>
      <c r="M763" t="s">
        <v>25</v>
      </c>
    </row>
    <row r="764" spans="1:13" hidden="1" x14ac:dyDescent="0.25">
      <c r="A764" s="5">
        <v>45831</v>
      </c>
      <c r="B764" t="s">
        <v>568</v>
      </c>
      <c r="C764" t="s">
        <v>355</v>
      </c>
      <c r="D764" t="s">
        <v>302</v>
      </c>
      <c r="E764" t="str">
        <f t="shared" si="12"/>
        <v>ADM</v>
      </c>
      <c r="F764" t="s">
        <v>303</v>
      </c>
      <c r="G764" t="s">
        <v>303</v>
      </c>
      <c r="J764" t="s">
        <v>143</v>
      </c>
      <c r="K764" s="23">
        <v>-42.74</v>
      </c>
      <c r="L764" t="s">
        <v>24</v>
      </c>
      <c r="M764" t="s">
        <v>25</v>
      </c>
    </row>
    <row r="765" spans="1:13" hidden="1" x14ac:dyDescent="0.25">
      <c r="A765" s="5">
        <v>45831</v>
      </c>
      <c r="B765" t="s">
        <v>568</v>
      </c>
      <c r="C765" t="s">
        <v>353</v>
      </c>
      <c r="D765" t="s">
        <v>302</v>
      </c>
      <c r="E765" t="str">
        <f t="shared" si="12"/>
        <v>ADM</v>
      </c>
      <c r="F765" t="s">
        <v>303</v>
      </c>
      <c r="G765" t="s">
        <v>303</v>
      </c>
      <c r="J765" t="s">
        <v>143</v>
      </c>
      <c r="K765" s="23">
        <v>-42.74</v>
      </c>
      <c r="L765" t="s">
        <v>24</v>
      </c>
      <c r="M765" t="s">
        <v>25</v>
      </c>
    </row>
    <row r="766" spans="1:13" hidden="1" x14ac:dyDescent="0.25">
      <c r="A766" s="5">
        <v>45831</v>
      </c>
      <c r="B766" t="s">
        <v>568</v>
      </c>
      <c r="C766" t="s">
        <v>352</v>
      </c>
      <c r="D766" t="s">
        <v>302</v>
      </c>
      <c r="E766" t="str">
        <f t="shared" si="12"/>
        <v>ADM</v>
      </c>
      <c r="F766" t="s">
        <v>303</v>
      </c>
      <c r="G766" t="s">
        <v>303</v>
      </c>
      <c r="J766" t="s">
        <v>143</v>
      </c>
      <c r="K766" s="23">
        <v>-42.74</v>
      </c>
      <c r="L766" t="s">
        <v>24</v>
      </c>
      <c r="M766" t="s">
        <v>25</v>
      </c>
    </row>
    <row r="767" spans="1:13" hidden="1" x14ac:dyDescent="0.25">
      <c r="A767" s="5">
        <v>45831</v>
      </c>
      <c r="B767" t="s">
        <v>569</v>
      </c>
      <c r="C767" t="s">
        <v>693</v>
      </c>
      <c r="D767" t="s">
        <v>382</v>
      </c>
      <c r="E767" t="str">
        <f t="shared" si="12"/>
        <v>PES</v>
      </c>
      <c r="F767" t="s">
        <v>694</v>
      </c>
      <c r="G767" t="s">
        <v>694</v>
      </c>
      <c r="J767" t="s">
        <v>143</v>
      </c>
      <c r="K767" s="23">
        <v>-497</v>
      </c>
      <c r="L767" t="s">
        <v>24</v>
      </c>
      <c r="M767" t="s">
        <v>25</v>
      </c>
    </row>
    <row r="768" spans="1:13" hidden="1" x14ac:dyDescent="0.25">
      <c r="A768" s="5">
        <v>45831</v>
      </c>
      <c r="B768" t="s">
        <v>568</v>
      </c>
      <c r="C768" t="s">
        <v>351</v>
      </c>
      <c r="D768" t="s">
        <v>302</v>
      </c>
      <c r="E768" t="str">
        <f t="shared" si="12"/>
        <v>ADM</v>
      </c>
      <c r="F768" t="s">
        <v>303</v>
      </c>
      <c r="G768" t="s">
        <v>303</v>
      </c>
      <c r="J768" t="s">
        <v>143</v>
      </c>
      <c r="K768" s="23">
        <v>-125.57</v>
      </c>
      <c r="L768" t="s">
        <v>24</v>
      </c>
      <c r="M768" t="s">
        <v>25</v>
      </c>
    </row>
    <row r="769" spans="1:13" hidden="1" x14ac:dyDescent="0.25">
      <c r="A769" s="5">
        <v>45831</v>
      </c>
      <c r="B769" t="s">
        <v>568</v>
      </c>
      <c r="C769" t="s">
        <v>354</v>
      </c>
      <c r="D769" t="s">
        <v>302</v>
      </c>
      <c r="E769" t="str">
        <f t="shared" si="12"/>
        <v>ADM</v>
      </c>
      <c r="F769" t="s">
        <v>303</v>
      </c>
      <c r="G769" t="s">
        <v>303</v>
      </c>
      <c r="J769" t="s">
        <v>143</v>
      </c>
      <c r="K769" s="23">
        <v>-42.74</v>
      </c>
      <c r="L769" t="s">
        <v>24</v>
      </c>
      <c r="M769" t="s">
        <v>25</v>
      </c>
    </row>
    <row r="770" spans="1:13" hidden="1" x14ac:dyDescent="0.25">
      <c r="A770" s="5">
        <v>45832</v>
      </c>
      <c r="B770" t="s">
        <v>569</v>
      </c>
      <c r="C770" t="s">
        <v>695</v>
      </c>
      <c r="D770" t="s">
        <v>56</v>
      </c>
      <c r="E770" t="str">
        <f t="shared" si="12"/>
        <v>Honorários</v>
      </c>
      <c r="F770" t="s">
        <v>696</v>
      </c>
      <c r="G770" t="s">
        <v>696</v>
      </c>
      <c r="I770" t="s">
        <v>196</v>
      </c>
      <c r="J770" t="s">
        <v>143</v>
      </c>
      <c r="K770" s="23">
        <v>2277</v>
      </c>
      <c r="L770" t="s">
        <v>18</v>
      </c>
      <c r="M770" t="s">
        <v>19</v>
      </c>
    </row>
    <row r="771" spans="1:13" hidden="1" x14ac:dyDescent="0.25">
      <c r="A771" s="5">
        <v>45833</v>
      </c>
      <c r="B771" t="s">
        <v>569</v>
      </c>
      <c r="C771" t="s">
        <v>697</v>
      </c>
      <c r="D771" t="s">
        <v>300</v>
      </c>
      <c r="E771" t="str">
        <f t="shared" si="12"/>
        <v>VAR</v>
      </c>
      <c r="F771" t="s">
        <v>513</v>
      </c>
      <c r="G771" t="s">
        <v>513</v>
      </c>
      <c r="I771" t="s">
        <v>75</v>
      </c>
      <c r="J771" t="s">
        <v>143</v>
      </c>
      <c r="K771" s="23">
        <v>-136.62</v>
      </c>
      <c r="L771" t="s">
        <v>24</v>
      </c>
      <c r="M771" t="s">
        <v>25</v>
      </c>
    </row>
    <row r="772" spans="1:13" hidden="1" x14ac:dyDescent="0.25">
      <c r="A772" s="5">
        <v>45833</v>
      </c>
      <c r="B772" t="s">
        <v>569</v>
      </c>
      <c r="C772" t="s">
        <v>683</v>
      </c>
      <c r="D772" t="s">
        <v>56</v>
      </c>
      <c r="E772" t="str">
        <f t="shared" si="12"/>
        <v>Honorários</v>
      </c>
      <c r="F772" t="s">
        <v>698</v>
      </c>
      <c r="G772" t="s">
        <v>698</v>
      </c>
      <c r="I772" t="s">
        <v>699</v>
      </c>
      <c r="J772" t="s">
        <v>143</v>
      </c>
      <c r="K772" s="23">
        <v>455.4</v>
      </c>
      <c r="L772" t="s">
        <v>18</v>
      </c>
      <c r="M772" t="s">
        <v>19</v>
      </c>
    </row>
    <row r="773" spans="1:13" hidden="1" x14ac:dyDescent="0.25">
      <c r="A773" s="5">
        <v>45834</v>
      </c>
      <c r="B773" t="s">
        <v>569</v>
      </c>
      <c r="C773" t="s">
        <v>700</v>
      </c>
      <c r="D773" t="s">
        <v>56</v>
      </c>
      <c r="E773" t="str">
        <f t="shared" si="12"/>
        <v>Honorários</v>
      </c>
      <c r="F773" t="s">
        <v>701</v>
      </c>
      <c r="G773" t="s">
        <v>701</v>
      </c>
      <c r="I773" t="s">
        <v>702</v>
      </c>
      <c r="J773" t="s">
        <v>143</v>
      </c>
      <c r="K773" s="23">
        <v>3500</v>
      </c>
      <c r="L773" t="s">
        <v>18</v>
      </c>
      <c r="M773" t="s">
        <v>19</v>
      </c>
    </row>
    <row r="774" spans="1:13" hidden="1" x14ac:dyDescent="0.25">
      <c r="A774" s="5">
        <v>45834</v>
      </c>
      <c r="B774" t="s">
        <v>569</v>
      </c>
      <c r="C774" t="s">
        <v>703</v>
      </c>
      <c r="D774" t="s">
        <v>611</v>
      </c>
      <c r="E774" t="str">
        <f t="shared" si="12"/>
        <v>COM</v>
      </c>
      <c r="F774" t="s">
        <v>515</v>
      </c>
      <c r="G774" t="s">
        <v>515</v>
      </c>
      <c r="J774" t="s">
        <v>143</v>
      </c>
      <c r="K774" s="23">
        <v>-213.66</v>
      </c>
      <c r="L774" t="s">
        <v>24</v>
      </c>
      <c r="M774" t="s">
        <v>25</v>
      </c>
    </row>
    <row r="775" spans="1:13" hidden="1" x14ac:dyDescent="0.25">
      <c r="A775" s="5">
        <v>45835</v>
      </c>
      <c r="B775" t="s">
        <v>568</v>
      </c>
      <c r="C775" t="s">
        <v>481</v>
      </c>
      <c r="D775" t="s">
        <v>191</v>
      </c>
      <c r="E775" t="str">
        <f t="shared" ref="E775:E838" si="13">IF(OR(D775="Honorários",D775="Despesa do cliente"),D775,LEFT(D775,3))</f>
        <v>ADM</v>
      </c>
      <c r="F775" t="s">
        <v>371</v>
      </c>
      <c r="G775" t="s">
        <v>371</v>
      </c>
      <c r="J775" t="s">
        <v>17</v>
      </c>
      <c r="K775" s="23">
        <v>-477.27</v>
      </c>
      <c r="L775" t="s">
        <v>24</v>
      </c>
      <c r="M775" t="s">
        <v>25</v>
      </c>
    </row>
    <row r="776" spans="1:13" hidden="1" x14ac:dyDescent="0.25">
      <c r="A776" s="5">
        <v>45835</v>
      </c>
      <c r="B776" t="s">
        <v>569</v>
      </c>
      <c r="C776" t="s">
        <v>704</v>
      </c>
      <c r="D776" t="s">
        <v>56</v>
      </c>
      <c r="E776" t="str">
        <f t="shared" si="13"/>
        <v>Honorários</v>
      </c>
      <c r="F776" t="s">
        <v>705</v>
      </c>
      <c r="G776" t="s">
        <v>705</v>
      </c>
      <c r="J776" t="s">
        <v>143</v>
      </c>
      <c r="K776" s="23">
        <v>150</v>
      </c>
      <c r="L776" t="s">
        <v>18</v>
      </c>
      <c r="M776" t="s">
        <v>19</v>
      </c>
    </row>
    <row r="777" spans="1:13" hidden="1" x14ac:dyDescent="0.25">
      <c r="A777" s="5">
        <v>45835</v>
      </c>
      <c r="B777" t="s">
        <v>569</v>
      </c>
      <c r="C777" t="s">
        <v>584</v>
      </c>
      <c r="D777" t="s">
        <v>99</v>
      </c>
      <c r="E777" t="str">
        <f t="shared" si="13"/>
        <v>ADM</v>
      </c>
      <c r="F777" t="s">
        <v>100</v>
      </c>
      <c r="G777" t="s">
        <v>100</v>
      </c>
      <c r="J777" t="s">
        <v>143</v>
      </c>
      <c r="K777" s="23">
        <v>-340</v>
      </c>
      <c r="L777" t="s">
        <v>24</v>
      </c>
      <c r="M777" t="s">
        <v>25</v>
      </c>
    </row>
    <row r="778" spans="1:13" hidden="1" x14ac:dyDescent="0.25">
      <c r="A778" s="5">
        <v>45835</v>
      </c>
      <c r="B778" t="s">
        <v>569</v>
      </c>
      <c r="C778" t="s">
        <v>657</v>
      </c>
      <c r="D778" t="s">
        <v>658</v>
      </c>
      <c r="E778" t="str">
        <f t="shared" si="13"/>
        <v>INV</v>
      </c>
      <c r="F778" t="s">
        <v>120</v>
      </c>
      <c r="G778" t="s">
        <v>120</v>
      </c>
      <c r="J778" t="s">
        <v>143</v>
      </c>
      <c r="K778" s="23">
        <v>0.3</v>
      </c>
      <c r="L778" t="s">
        <v>18</v>
      </c>
      <c r="M778" t="s">
        <v>19</v>
      </c>
    </row>
    <row r="779" spans="1:13" hidden="1" x14ac:dyDescent="0.25">
      <c r="A779" s="5">
        <v>45835</v>
      </c>
      <c r="B779" t="s">
        <v>568</v>
      </c>
      <c r="C779" t="s">
        <v>478</v>
      </c>
      <c r="D779" t="s">
        <v>191</v>
      </c>
      <c r="E779" t="str">
        <f t="shared" si="13"/>
        <v>ADM</v>
      </c>
      <c r="F779" t="s">
        <v>380</v>
      </c>
      <c r="G779" t="s">
        <v>380</v>
      </c>
      <c r="J779" t="s">
        <v>17</v>
      </c>
      <c r="K779" s="23">
        <v>-369.56</v>
      </c>
      <c r="L779" t="s">
        <v>24</v>
      </c>
      <c r="M779" t="s">
        <v>25</v>
      </c>
    </row>
    <row r="780" spans="1:13" hidden="1" x14ac:dyDescent="0.25">
      <c r="A780" s="5">
        <v>45835</v>
      </c>
      <c r="B780" t="s">
        <v>569</v>
      </c>
      <c r="C780" t="s">
        <v>706</v>
      </c>
      <c r="D780" t="s">
        <v>89</v>
      </c>
      <c r="E780" t="str">
        <f t="shared" si="13"/>
        <v>ADM</v>
      </c>
      <c r="F780" t="s">
        <v>540</v>
      </c>
      <c r="G780" t="s">
        <v>540</v>
      </c>
      <c r="J780" t="s">
        <v>143</v>
      </c>
      <c r="K780" s="23">
        <v>-16.47</v>
      </c>
      <c r="L780" t="s">
        <v>24</v>
      </c>
      <c r="M780" t="s">
        <v>25</v>
      </c>
    </row>
    <row r="781" spans="1:13" hidden="1" x14ac:dyDescent="0.25">
      <c r="A781" s="5">
        <v>45835</v>
      </c>
      <c r="B781" t="s">
        <v>569</v>
      </c>
      <c r="C781" t="s">
        <v>707</v>
      </c>
      <c r="D781" t="s">
        <v>162</v>
      </c>
      <c r="E781" t="str">
        <f t="shared" si="13"/>
        <v>COM</v>
      </c>
      <c r="F781" t="s">
        <v>708</v>
      </c>
      <c r="G781" t="s">
        <v>708</v>
      </c>
      <c r="J781" t="s">
        <v>143</v>
      </c>
      <c r="K781" s="23">
        <v>-500</v>
      </c>
      <c r="L781" t="s">
        <v>24</v>
      </c>
      <c r="M781" t="s">
        <v>25</v>
      </c>
    </row>
    <row r="782" spans="1:13" hidden="1" x14ac:dyDescent="0.25">
      <c r="A782" s="5">
        <v>45838</v>
      </c>
      <c r="B782" t="s">
        <v>568</v>
      </c>
      <c r="C782" t="s">
        <v>204</v>
      </c>
      <c r="D782" t="s">
        <v>128</v>
      </c>
      <c r="E782" t="str">
        <f t="shared" si="13"/>
        <v>PES</v>
      </c>
      <c r="F782" t="s">
        <v>208</v>
      </c>
      <c r="G782" t="s">
        <v>208</v>
      </c>
      <c r="J782" t="s">
        <v>17</v>
      </c>
      <c r="K782" s="23">
        <v>-1300</v>
      </c>
      <c r="L782" t="s">
        <v>24</v>
      </c>
      <c r="M782" t="s">
        <v>25</v>
      </c>
    </row>
    <row r="783" spans="1:13" hidden="1" x14ac:dyDescent="0.25">
      <c r="A783" s="5">
        <v>45838</v>
      </c>
      <c r="B783" t="s">
        <v>569</v>
      </c>
      <c r="C783" t="s">
        <v>272</v>
      </c>
      <c r="D783" t="s">
        <v>198</v>
      </c>
      <c r="E783" t="str">
        <f t="shared" si="13"/>
        <v>PES</v>
      </c>
      <c r="F783" t="s">
        <v>203</v>
      </c>
      <c r="G783" t="s">
        <v>203</v>
      </c>
      <c r="J783" t="s">
        <v>143</v>
      </c>
      <c r="K783" s="23">
        <v>-1518</v>
      </c>
      <c r="L783" t="s">
        <v>24</v>
      </c>
      <c r="M783" t="s">
        <v>25</v>
      </c>
    </row>
    <row r="784" spans="1:13" hidden="1" x14ac:dyDescent="0.25">
      <c r="A784" s="5">
        <v>45838</v>
      </c>
      <c r="B784" t="s">
        <v>568</v>
      </c>
      <c r="C784" t="s">
        <v>709</v>
      </c>
      <c r="D784" t="s">
        <v>56</v>
      </c>
      <c r="E784" t="str">
        <f t="shared" si="13"/>
        <v>Honorários</v>
      </c>
      <c r="F784" t="s">
        <v>710</v>
      </c>
      <c r="G784" t="s">
        <v>710</v>
      </c>
      <c r="I784" t="s">
        <v>711</v>
      </c>
      <c r="J784" t="s">
        <v>143</v>
      </c>
      <c r="K784" s="23">
        <v>756.15</v>
      </c>
      <c r="L784" t="s">
        <v>18</v>
      </c>
      <c r="M784" t="s">
        <v>19</v>
      </c>
    </row>
    <row r="785" spans="1:13" hidden="1" x14ac:dyDescent="0.25">
      <c r="A785" s="5">
        <v>45838</v>
      </c>
      <c r="B785" t="s">
        <v>568</v>
      </c>
      <c r="C785" t="s">
        <v>484</v>
      </c>
      <c r="D785" t="s">
        <v>207</v>
      </c>
      <c r="E785" t="str">
        <f t="shared" si="13"/>
        <v>DIR</v>
      </c>
      <c r="F785" t="s">
        <v>54</v>
      </c>
      <c r="G785" t="s">
        <v>54</v>
      </c>
      <c r="J785" t="s">
        <v>17</v>
      </c>
      <c r="K785" s="23">
        <v>-1351.02</v>
      </c>
      <c r="L785" t="s">
        <v>24</v>
      </c>
      <c r="M785" t="s">
        <v>25</v>
      </c>
    </row>
    <row r="786" spans="1:13" hidden="1" x14ac:dyDescent="0.25">
      <c r="A786" s="5">
        <v>45838</v>
      </c>
      <c r="B786" t="s">
        <v>568</v>
      </c>
      <c r="C786" t="s">
        <v>200</v>
      </c>
      <c r="D786" t="s">
        <v>201</v>
      </c>
      <c r="E786" t="str">
        <f t="shared" si="13"/>
        <v>DIR</v>
      </c>
      <c r="F786" t="s">
        <v>67</v>
      </c>
      <c r="G786" t="s">
        <v>67</v>
      </c>
      <c r="J786" t="s">
        <v>17</v>
      </c>
      <c r="K786" s="23">
        <v>-4594.6899999999996</v>
      </c>
      <c r="L786" t="s">
        <v>24</v>
      </c>
      <c r="M786" t="s">
        <v>25</v>
      </c>
    </row>
    <row r="787" spans="1:13" hidden="1" x14ac:dyDescent="0.25">
      <c r="A787" s="5">
        <v>45838</v>
      </c>
      <c r="B787" t="s">
        <v>569</v>
      </c>
      <c r="C787" t="s">
        <v>272</v>
      </c>
      <c r="D787" t="s">
        <v>198</v>
      </c>
      <c r="E787" t="str">
        <f t="shared" si="13"/>
        <v>PES</v>
      </c>
      <c r="F787" t="s">
        <v>209</v>
      </c>
      <c r="G787" t="s">
        <v>209</v>
      </c>
      <c r="J787" t="s">
        <v>17</v>
      </c>
      <c r="K787" s="23">
        <v>-1920</v>
      </c>
      <c r="L787" t="s">
        <v>24</v>
      </c>
      <c r="M787" t="s">
        <v>25</v>
      </c>
    </row>
    <row r="788" spans="1:13" hidden="1" x14ac:dyDescent="0.25">
      <c r="A788" s="5">
        <v>45838</v>
      </c>
      <c r="B788" t="s">
        <v>568</v>
      </c>
      <c r="C788" t="s">
        <v>272</v>
      </c>
      <c r="D788" t="s">
        <v>198</v>
      </c>
      <c r="E788" t="str">
        <f t="shared" si="13"/>
        <v>PES</v>
      </c>
      <c r="F788" t="s">
        <v>199</v>
      </c>
      <c r="G788" t="s">
        <v>199</v>
      </c>
      <c r="J788" t="s">
        <v>17</v>
      </c>
      <c r="K788" s="23">
        <v>-3208.61</v>
      </c>
      <c r="L788" t="s">
        <v>24</v>
      </c>
      <c r="M788" t="s">
        <v>25</v>
      </c>
    </row>
    <row r="789" spans="1:13" hidden="1" x14ac:dyDescent="0.25">
      <c r="A789" s="5">
        <v>45838</v>
      </c>
      <c r="B789" t="s">
        <v>568</v>
      </c>
      <c r="C789" t="s">
        <v>484</v>
      </c>
      <c r="D789" t="s">
        <v>207</v>
      </c>
      <c r="E789" t="str">
        <f t="shared" si="13"/>
        <v>DIR</v>
      </c>
      <c r="F789" t="s">
        <v>67</v>
      </c>
      <c r="G789" t="s">
        <v>67</v>
      </c>
      <c r="J789" t="s">
        <v>17</v>
      </c>
      <c r="K789" s="23">
        <v>-405.31</v>
      </c>
      <c r="L789" t="s">
        <v>24</v>
      </c>
      <c r="M789" t="s">
        <v>25</v>
      </c>
    </row>
    <row r="790" spans="1:13" hidden="1" x14ac:dyDescent="0.25">
      <c r="A790" s="5">
        <v>45838</v>
      </c>
      <c r="B790" t="s">
        <v>568</v>
      </c>
      <c r="C790" t="s">
        <v>272</v>
      </c>
      <c r="D790" t="s">
        <v>198</v>
      </c>
      <c r="E790" t="str">
        <f t="shared" si="13"/>
        <v>PES</v>
      </c>
      <c r="F790" t="s">
        <v>645</v>
      </c>
      <c r="G790" t="s">
        <v>645</v>
      </c>
      <c r="J790" t="s">
        <v>143</v>
      </c>
      <c r="K790" s="23">
        <v>-2297.77</v>
      </c>
      <c r="L790" t="s">
        <v>24</v>
      </c>
      <c r="M790" t="s">
        <v>25</v>
      </c>
    </row>
    <row r="791" spans="1:13" hidden="1" x14ac:dyDescent="0.25">
      <c r="A791" s="5">
        <v>45838</v>
      </c>
      <c r="B791" t="s">
        <v>569</v>
      </c>
      <c r="C791" t="s">
        <v>712</v>
      </c>
      <c r="D791" t="s">
        <v>89</v>
      </c>
      <c r="E791" t="str">
        <f t="shared" si="13"/>
        <v>ADM</v>
      </c>
      <c r="F791" t="s">
        <v>713</v>
      </c>
      <c r="G791" t="s">
        <v>713</v>
      </c>
      <c r="J791" t="s">
        <v>143</v>
      </c>
      <c r="K791" s="23">
        <v>-180</v>
      </c>
      <c r="L791" t="s">
        <v>24</v>
      </c>
      <c r="M791" t="s">
        <v>25</v>
      </c>
    </row>
    <row r="792" spans="1:13" hidden="1" x14ac:dyDescent="0.25">
      <c r="A792" s="5">
        <v>45838</v>
      </c>
      <c r="B792" t="s">
        <v>568</v>
      </c>
      <c r="C792" t="s">
        <v>200</v>
      </c>
      <c r="D792" t="s">
        <v>201</v>
      </c>
      <c r="E792" t="str">
        <f t="shared" si="13"/>
        <v>DIR</v>
      </c>
      <c r="F792" t="s">
        <v>54</v>
      </c>
      <c r="G792" t="s">
        <v>54</v>
      </c>
      <c r="J792" t="s">
        <v>17</v>
      </c>
      <c r="K792" s="23">
        <v>-6148.98</v>
      </c>
      <c r="L792" t="s">
        <v>24</v>
      </c>
      <c r="M792" t="s">
        <v>25</v>
      </c>
    </row>
    <row r="793" spans="1:13" hidden="1" x14ac:dyDescent="0.25">
      <c r="A793" s="5">
        <v>45839</v>
      </c>
      <c r="B793" t="s">
        <v>20</v>
      </c>
      <c r="C793" t="s">
        <v>715</v>
      </c>
      <c r="D793" t="s">
        <v>28</v>
      </c>
      <c r="E793" t="str">
        <f t="shared" si="13"/>
        <v>ADM</v>
      </c>
      <c r="F793" t="s">
        <v>23</v>
      </c>
      <c r="G793" t="s">
        <v>23</v>
      </c>
      <c r="J793" t="s">
        <v>143</v>
      </c>
      <c r="K793" s="23">
        <v>-523.38</v>
      </c>
      <c r="L793" t="s">
        <v>24</v>
      </c>
      <c r="M793" t="s">
        <v>25</v>
      </c>
    </row>
    <row r="794" spans="1:13" hidden="1" x14ac:dyDescent="0.25">
      <c r="A794" s="5">
        <v>45839</v>
      </c>
      <c r="B794" t="s">
        <v>568</v>
      </c>
      <c r="C794" t="s">
        <v>61</v>
      </c>
      <c r="D794" t="s">
        <v>62</v>
      </c>
      <c r="E794" t="str">
        <f t="shared" si="13"/>
        <v>INV</v>
      </c>
      <c r="F794" t="s">
        <v>63</v>
      </c>
      <c r="G794" t="s">
        <v>63</v>
      </c>
      <c r="J794" t="s">
        <v>17</v>
      </c>
      <c r="K794" s="23">
        <v>-1750</v>
      </c>
      <c r="L794" t="s">
        <v>24</v>
      </c>
      <c r="M794" t="s">
        <v>25</v>
      </c>
    </row>
    <row r="795" spans="1:13" hidden="1" x14ac:dyDescent="0.25">
      <c r="A795" s="5">
        <v>45839</v>
      </c>
      <c r="B795" t="s">
        <v>20</v>
      </c>
      <c r="C795" t="s">
        <v>40</v>
      </c>
      <c r="D795" t="s">
        <v>30</v>
      </c>
      <c r="E795" t="str">
        <f t="shared" si="13"/>
        <v>ADM</v>
      </c>
      <c r="F795" t="s">
        <v>23</v>
      </c>
      <c r="G795" t="s">
        <v>23</v>
      </c>
      <c r="J795" t="s">
        <v>17</v>
      </c>
      <c r="K795" s="23">
        <v>-19.899999999999999</v>
      </c>
      <c r="L795" t="s">
        <v>24</v>
      </c>
      <c r="M795" t="s">
        <v>25</v>
      </c>
    </row>
    <row r="796" spans="1:13" hidden="1" x14ac:dyDescent="0.25">
      <c r="A796" s="5">
        <v>45839</v>
      </c>
      <c r="B796" t="s">
        <v>20</v>
      </c>
      <c r="C796" t="s">
        <v>540</v>
      </c>
      <c r="D796" t="s">
        <v>28</v>
      </c>
      <c r="E796" t="str">
        <f t="shared" si="13"/>
        <v>ADM</v>
      </c>
      <c r="F796" t="s">
        <v>23</v>
      </c>
      <c r="G796" t="s">
        <v>23</v>
      </c>
      <c r="J796" t="s">
        <v>143</v>
      </c>
      <c r="K796" s="23">
        <v>-65.5</v>
      </c>
      <c r="L796" t="s">
        <v>24</v>
      </c>
      <c r="M796" t="s">
        <v>25</v>
      </c>
    </row>
    <row r="797" spans="1:13" hidden="1" x14ac:dyDescent="0.25">
      <c r="A797" s="5">
        <v>45839</v>
      </c>
      <c r="B797" t="s">
        <v>20</v>
      </c>
      <c r="C797" t="s">
        <v>490</v>
      </c>
      <c r="D797" t="s">
        <v>28</v>
      </c>
      <c r="E797" t="str">
        <f t="shared" si="13"/>
        <v>ADM</v>
      </c>
      <c r="F797" t="s">
        <v>23</v>
      </c>
      <c r="G797" t="s">
        <v>23</v>
      </c>
      <c r="J797" t="s">
        <v>143</v>
      </c>
      <c r="K797" s="23">
        <v>-37.700000000000003</v>
      </c>
      <c r="L797" t="s">
        <v>24</v>
      </c>
      <c r="M797" t="s">
        <v>25</v>
      </c>
    </row>
    <row r="798" spans="1:13" hidden="1" x14ac:dyDescent="0.25">
      <c r="A798" s="5">
        <v>45839</v>
      </c>
      <c r="B798" t="s">
        <v>20</v>
      </c>
      <c r="C798" t="s">
        <v>32</v>
      </c>
      <c r="D798" t="s">
        <v>30</v>
      </c>
      <c r="E798" t="str">
        <f t="shared" si="13"/>
        <v>ADM</v>
      </c>
      <c r="F798" t="s">
        <v>23</v>
      </c>
      <c r="G798" t="s">
        <v>23</v>
      </c>
      <c r="J798" t="s">
        <v>17</v>
      </c>
      <c r="K798" s="23">
        <v>-58.9</v>
      </c>
      <c r="L798" t="s">
        <v>24</v>
      </c>
      <c r="M798" t="s">
        <v>25</v>
      </c>
    </row>
    <row r="799" spans="1:13" hidden="1" x14ac:dyDescent="0.25">
      <c r="A799" s="5">
        <v>45839</v>
      </c>
      <c r="B799" t="s">
        <v>20</v>
      </c>
      <c r="C799" t="s">
        <v>491</v>
      </c>
      <c r="D799" t="s">
        <v>28</v>
      </c>
      <c r="E799" t="str">
        <f t="shared" si="13"/>
        <v>ADM</v>
      </c>
      <c r="F799" t="s">
        <v>23</v>
      </c>
      <c r="G799" t="s">
        <v>23</v>
      </c>
      <c r="J799" t="s">
        <v>143</v>
      </c>
      <c r="K799" s="23">
        <v>-72.489999999999995</v>
      </c>
      <c r="L799" t="s">
        <v>24</v>
      </c>
      <c r="M799" t="s">
        <v>25</v>
      </c>
    </row>
    <row r="800" spans="1:13" hidden="1" x14ac:dyDescent="0.25">
      <c r="A800" s="5">
        <v>45839</v>
      </c>
      <c r="B800" t="s">
        <v>20</v>
      </c>
      <c r="C800" t="s">
        <v>45</v>
      </c>
      <c r="D800" t="s">
        <v>15</v>
      </c>
      <c r="E800" t="str">
        <f t="shared" si="13"/>
        <v>ADM</v>
      </c>
      <c r="F800" t="s">
        <v>23</v>
      </c>
      <c r="G800" t="s">
        <v>23</v>
      </c>
      <c r="J800" t="s">
        <v>17</v>
      </c>
      <c r="K800" s="23">
        <v>1975.87</v>
      </c>
      <c r="L800" t="s">
        <v>18</v>
      </c>
      <c r="M800" t="s">
        <v>19</v>
      </c>
    </row>
    <row r="801" spans="1:13" hidden="1" x14ac:dyDescent="0.25">
      <c r="A801" s="5">
        <v>45839</v>
      </c>
      <c r="B801" t="s">
        <v>568</v>
      </c>
      <c r="C801" t="s">
        <v>657</v>
      </c>
      <c r="D801" t="s">
        <v>658</v>
      </c>
      <c r="E801" t="str">
        <f t="shared" si="13"/>
        <v>INV</v>
      </c>
      <c r="F801" t="s">
        <v>23</v>
      </c>
      <c r="G801" t="s">
        <v>23</v>
      </c>
      <c r="J801" t="s">
        <v>143</v>
      </c>
      <c r="K801" s="23">
        <v>7.34</v>
      </c>
      <c r="L801" t="s">
        <v>18</v>
      </c>
      <c r="M801" t="s">
        <v>19</v>
      </c>
    </row>
    <row r="802" spans="1:13" hidden="1" x14ac:dyDescent="0.25">
      <c r="A802" s="5">
        <v>45839</v>
      </c>
      <c r="B802" t="s">
        <v>569</v>
      </c>
      <c r="C802" t="s">
        <v>716</v>
      </c>
      <c r="D802" t="s">
        <v>56</v>
      </c>
      <c r="E802" t="str">
        <f t="shared" si="13"/>
        <v>Honorários</v>
      </c>
      <c r="F802" t="s">
        <v>696</v>
      </c>
      <c r="G802" t="s">
        <v>696</v>
      </c>
      <c r="I802" t="s">
        <v>196</v>
      </c>
      <c r="J802" t="s">
        <v>143</v>
      </c>
      <c r="K802" s="23">
        <v>1138.5</v>
      </c>
      <c r="L802" t="s">
        <v>18</v>
      </c>
      <c r="M802" t="s">
        <v>19</v>
      </c>
    </row>
    <row r="803" spans="1:13" hidden="1" x14ac:dyDescent="0.25">
      <c r="A803" s="5">
        <v>45839</v>
      </c>
      <c r="B803" t="s">
        <v>20</v>
      </c>
      <c r="C803" t="s">
        <v>41</v>
      </c>
      <c r="D803" t="s">
        <v>30</v>
      </c>
      <c r="E803" t="str">
        <f t="shared" si="13"/>
        <v>ADM</v>
      </c>
      <c r="F803" t="s">
        <v>23</v>
      </c>
      <c r="G803" t="s">
        <v>23</v>
      </c>
      <c r="J803" t="s">
        <v>17</v>
      </c>
      <c r="K803" s="23">
        <v>-14.99</v>
      </c>
      <c r="L803" t="s">
        <v>24</v>
      </c>
      <c r="M803" t="s">
        <v>25</v>
      </c>
    </row>
    <row r="804" spans="1:13" hidden="1" x14ac:dyDescent="0.25">
      <c r="A804" s="5">
        <v>45839</v>
      </c>
      <c r="B804" t="s">
        <v>20</v>
      </c>
      <c r="C804" t="s">
        <v>284</v>
      </c>
      <c r="D804" t="s">
        <v>39</v>
      </c>
      <c r="E804" t="str">
        <f t="shared" si="13"/>
        <v>INV</v>
      </c>
      <c r="F804" t="s">
        <v>23</v>
      </c>
      <c r="G804" t="s">
        <v>23</v>
      </c>
      <c r="H804" t="s">
        <v>285</v>
      </c>
      <c r="J804" t="s">
        <v>143</v>
      </c>
      <c r="K804" s="23">
        <v>-333.24</v>
      </c>
      <c r="L804" t="s">
        <v>24</v>
      </c>
      <c r="M804" t="s">
        <v>25</v>
      </c>
    </row>
    <row r="805" spans="1:13" hidden="1" x14ac:dyDescent="0.25">
      <c r="A805" s="5">
        <v>45839</v>
      </c>
      <c r="B805" t="s">
        <v>20</v>
      </c>
      <c r="C805" t="s">
        <v>32</v>
      </c>
      <c r="D805" t="s">
        <v>30</v>
      </c>
      <c r="E805" t="str">
        <f t="shared" si="13"/>
        <v>ADM</v>
      </c>
      <c r="F805" t="s">
        <v>23</v>
      </c>
      <c r="G805" t="s">
        <v>23</v>
      </c>
      <c r="J805" t="s">
        <v>17</v>
      </c>
      <c r="K805" s="23">
        <v>-58.9</v>
      </c>
      <c r="L805" t="s">
        <v>24</v>
      </c>
      <c r="M805" t="s">
        <v>25</v>
      </c>
    </row>
    <row r="806" spans="1:13" hidden="1" x14ac:dyDescent="0.25">
      <c r="A806" s="5">
        <v>45839</v>
      </c>
      <c r="B806" t="s">
        <v>20</v>
      </c>
      <c r="C806" t="s">
        <v>387</v>
      </c>
      <c r="D806" t="s">
        <v>28</v>
      </c>
      <c r="E806" t="str">
        <f t="shared" si="13"/>
        <v>ADM</v>
      </c>
      <c r="F806" t="s">
        <v>23</v>
      </c>
      <c r="G806" t="s">
        <v>23</v>
      </c>
      <c r="J806" t="s">
        <v>143</v>
      </c>
      <c r="K806" s="23">
        <v>-31.2</v>
      </c>
      <c r="L806" t="s">
        <v>24</v>
      </c>
      <c r="M806" t="s">
        <v>25</v>
      </c>
    </row>
    <row r="807" spans="1:13" hidden="1" x14ac:dyDescent="0.25">
      <c r="A807" s="5">
        <v>45839</v>
      </c>
      <c r="B807" t="s">
        <v>20</v>
      </c>
      <c r="C807" t="s">
        <v>573</v>
      </c>
      <c r="D807" t="s">
        <v>382</v>
      </c>
      <c r="E807" t="str">
        <f t="shared" si="13"/>
        <v>PES</v>
      </c>
      <c r="F807" t="s">
        <v>23</v>
      </c>
      <c r="G807" t="s">
        <v>23</v>
      </c>
      <c r="J807" t="s">
        <v>143</v>
      </c>
      <c r="K807" s="23">
        <v>-59.9</v>
      </c>
      <c r="L807" t="s">
        <v>24</v>
      </c>
      <c r="M807" t="s">
        <v>25</v>
      </c>
    </row>
    <row r="808" spans="1:13" hidden="1" x14ac:dyDescent="0.25">
      <c r="A808" s="5">
        <v>45839</v>
      </c>
      <c r="B808" t="s">
        <v>569</v>
      </c>
      <c r="C808" t="s">
        <v>717</v>
      </c>
      <c r="D808" t="s">
        <v>300</v>
      </c>
      <c r="E808" t="str">
        <f t="shared" si="13"/>
        <v>VAR</v>
      </c>
      <c r="F808" t="s">
        <v>689</v>
      </c>
      <c r="G808" t="s">
        <v>689</v>
      </c>
      <c r="I808" t="s">
        <v>690</v>
      </c>
      <c r="J808" t="s">
        <v>143</v>
      </c>
      <c r="K808" s="23">
        <v>-675</v>
      </c>
      <c r="L808" t="s">
        <v>24</v>
      </c>
      <c r="M808" t="s">
        <v>25</v>
      </c>
    </row>
    <row r="809" spans="1:13" hidden="1" x14ac:dyDescent="0.25">
      <c r="A809" s="5">
        <v>45839</v>
      </c>
      <c r="B809" t="s">
        <v>20</v>
      </c>
      <c r="C809" t="s">
        <v>387</v>
      </c>
      <c r="D809" t="s">
        <v>28</v>
      </c>
      <c r="E809" t="str">
        <f t="shared" si="13"/>
        <v>ADM</v>
      </c>
      <c r="F809" t="s">
        <v>23</v>
      </c>
      <c r="G809" t="s">
        <v>23</v>
      </c>
      <c r="J809" t="s">
        <v>143</v>
      </c>
      <c r="K809" s="23">
        <v>-38.74</v>
      </c>
      <c r="L809" t="s">
        <v>24</v>
      </c>
      <c r="M809" t="s">
        <v>25</v>
      </c>
    </row>
    <row r="810" spans="1:13" hidden="1" x14ac:dyDescent="0.25">
      <c r="A810" s="5">
        <v>45839</v>
      </c>
      <c r="B810" t="s">
        <v>569</v>
      </c>
      <c r="C810" t="s">
        <v>718</v>
      </c>
      <c r="D810" t="s">
        <v>56</v>
      </c>
      <c r="E810" t="str">
        <f t="shared" si="13"/>
        <v>Honorários</v>
      </c>
      <c r="F810" t="s">
        <v>81</v>
      </c>
      <c r="G810" t="s">
        <v>81</v>
      </c>
      <c r="I810" t="s">
        <v>82</v>
      </c>
      <c r="J810" t="s">
        <v>143</v>
      </c>
      <c r="K810" s="23">
        <v>100</v>
      </c>
      <c r="L810" t="s">
        <v>18</v>
      </c>
      <c r="M810" t="s">
        <v>19</v>
      </c>
    </row>
    <row r="811" spans="1:13" hidden="1" x14ac:dyDescent="0.25">
      <c r="A811" s="5">
        <v>45839</v>
      </c>
      <c r="B811" t="s">
        <v>568</v>
      </c>
      <c r="C811" t="s">
        <v>51</v>
      </c>
      <c r="D811" t="s">
        <v>52</v>
      </c>
      <c r="E811" t="str">
        <f t="shared" si="13"/>
        <v>ADM</v>
      </c>
      <c r="F811" t="s">
        <v>53</v>
      </c>
      <c r="G811" t="s">
        <v>53</v>
      </c>
      <c r="J811" t="s">
        <v>17</v>
      </c>
      <c r="K811" s="23">
        <v>-1518</v>
      </c>
      <c r="L811" t="s">
        <v>24</v>
      </c>
      <c r="M811" t="s">
        <v>25</v>
      </c>
    </row>
    <row r="812" spans="1:13" hidden="1" x14ac:dyDescent="0.25">
      <c r="A812" s="5">
        <v>45839</v>
      </c>
      <c r="B812" t="s">
        <v>20</v>
      </c>
      <c r="C812" t="s">
        <v>719</v>
      </c>
      <c r="D812" t="s">
        <v>162</v>
      </c>
      <c r="E812" t="str">
        <f t="shared" si="13"/>
        <v>COM</v>
      </c>
      <c r="F812" t="s">
        <v>23</v>
      </c>
      <c r="G812" t="s">
        <v>23</v>
      </c>
      <c r="J812" t="s">
        <v>143</v>
      </c>
      <c r="K812" s="23">
        <v>-44.99</v>
      </c>
      <c r="L812" t="s">
        <v>24</v>
      </c>
      <c r="M812" t="s">
        <v>25</v>
      </c>
    </row>
    <row r="813" spans="1:13" hidden="1" x14ac:dyDescent="0.25">
      <c r="A813" s="5">
        <v>45839</v>
      </c>
      <c r="B813" t="s">
        <v>20</v>
      </c>
      <c r="C813" t="s">
        <v>719</v>
      </c>
      <c r="D813" t="s">
        <v>89</v>
      </c>
      <c r="E813" t="str">
        <f t="shared" si="13"/>
        <v>ADM</v>
      </c>
      <c r="F813" t="s">
        <v>23</v>
      </c>
      <c r="G813" t="s">
        <v>23</v>
      </c>
      <c r="J813" t="s">
        <v>143</v>
      </c>
      <c r="K813" s="23">
        <v>-280.52999999999997</v>
      </c>
      <c r="L813" t="s">
        <v>24</v>
      </c>
      <c r="M813" t="s">
        <v>25</v>
      </c>
    </row>
    <row r="814" spans="1:13" hidden="1" x14ac:dyDescent="0.25">
      <c r="A814" s="5">
        <v>45839</v>
      </c>
      <c r="B814" t="s">
        <v>20</v>
      </c>
      <c r="C814" t="s">
        <v>540</v>
      </c>
      <c r="D814" t="s">
        <v>28</v>
      </c>
      <c r="E814" t="str">
        <f t="shared" si="13"/>
        <v>ADM</v>
      </c>
      <c r="F814" t="s">
        <v>23</v>
      </c>
      <c r="G814" t="s">
        <v>23</v>
      </c>
      <c r="J814" t="s">
        <v>143</v>
      </c>
      <c r="K814" s="23">
        <v>-84.71</v>
      </c>
      <c r="L814" t="s">
        <v>24</v>
      </c>
      <c r="M814" t="s">
        <v>25</v>
      </c>
    </row>
    <row r="815" spans="1:13" hidden="1" x14ac:dyDescent="0.25">
      <c r="A815" s="5">
        <v>45839</v>
      </c>
      <c r="B815" t="s">
        <v>20</v>
      </c>
      <c r="C815" t="s">
        <v>41</v>
      </c>
      <c r="D815" t="s">
        <v>30</v>
      </c>
      <c r="E815" t="str">
        <f t="shared" si="13"/>
        <v>ADM</v>
      </c>
      <c r="F815" t="s">
        <v>23</v>
      </c>
      <c r="G815" t="s">
        <v>23</v>
      </c>
      <c r="J815" t="s">
        <v>17</v>
      </c>
      <c r="K815" s="23">
        <v>-49.99</v>
      </c>
      <c r="L815" t="s">
        <v>24</v>
      </c>
      <c r="M815" t="s">
        <v>25</v>
      </c>
    </row>
    <row r="816" spans="1:13" hidden="1" x14ac:dyDescent="0.25">
      <c r="A816" s="5">
        <v>45839</v>
      </c>
      <c r="B816" t="s">
        <v>20</v>
      </c>
      <c r="C816" t="s">
        <v>720</v>
      </c>
      <c r="D816" t="s">
        <v>30</v>
      </c>
      <c r="E816" t="str">
        <f t="shared" si="13"/>
        <v>ADM</v>
      </c>
      <c r="F816" t="s">
        <v>23</v>
      </c>
      <c r="G816" t="s">
        <v>23</v>
      </c>
      <c r="J816" t="s">
        <v>17</v>
      </c>
      <c r="K816" s="23">
        <v>-80.91</v>
      </c>
      <c r="L816" t="s">
        <v>24</v>
      </c>
      <c r="M816" t="s">
        <v>25</v>
      </c>
    </row>
    <row r="817" spans="1:13" hidden="1" x14ac:dyDescent="0.25">
      <c r="A817" s="5">
        <v>45839</v>
      </c>
      <c r="B817" t="s">
        <v>569</v>
      </c>
      <c r="C817" t="s">
        <v>640</v>
      </c>
      <c r="D817" t="s">
        <v>56</v>
      </c>
      <c r="E817" t="str">
        <f t="shared" si="13"/>
        <v>Honorários</v>
      </c>
      <c r="F817" t="s">
        <v>721</v>
      </c>
      <c r="G817" t="s">
        <v>721</v>
      </c>
      <c r="I817" t="s">
        <v>196</v>
      </c>
      <c r="J817" t="s">
        <v>143</v>
      </c>
      <c r="K817" s="23">
        <v>2300</v>
      </c>
      <c r="L817" t="s">
        <v>18</v>
      </c>
      <c r="M817" t="s">
        <v>19</v>
      </c>
    </row>
    <row r="818" spans="1:13" hidden="1" x14ac:dyDescent="0.25">
      <c r="A818" s="5">
        <v>45839</v>
      </c>
      <c r="B818" t="s">
        <v>20</v>
      </c>
      <c r="C818" t="s">
        <v>46</v>
      </c>
      <c r="D818" t="s">
        <v>30</v>
      </c>
      <c r="E818" t="str">
        <f t="shared" si="13"/>
        <v>ADM</v>
      </c>
      <c r="F818" t="s">
        <v>23</v>
      </c>
      <c r="G818" t="s">
        <v>23</v>
      </c>
      <c r="J818" t="s">
        <v>17</v>
      </c>
      <c r="K818" s="23">
        <v>-119.9</v>
      </c>
      <c r="L818" t="s">
        <v>24</v>
      </c>
      <c r="M818" t="s">
        <v>25</v>
      </c>
    </row>
    <row r="819" spans="1:13" hidden="1" x14ac:dyDescent="0.25">
      <c r="A819" s="5">
        <v>45840</v>
      </c>
      <c r="B819" t="s">
        <v>569</v>
      </c>
      <c r="C819" t="s">
        <v>105</v>
      </c>
      <c r="D819" t="s">
        <v>56</v>
      </c>
      <c r="E819" t="str">
        <f t="shared" si="13"/>
        <v>Honorários</v>
      </c>
      <c r="F819" t="s">
        <v>684</v>
      </c>
      <c r="G819" t="s">
        <v>684</v>
      </c>
      <c r="I819" t="s">
        <v>82</v>
      </c>
      <c r="J819" t="s">
        <v>143</v>
      </c>
      <c r="K819" s="23">
        <v>547</v>
      </c>
      <c r="L819" t="s">
        <v>18</v>
      </c>
      <c r="M819" t="s">
        <v>19</v>
      </c>
    </row>
    <row r="820" spans="1:13" hidden="1" x14ac:dyDescent="0.25">
      <c r="A820" s="5">
        <v>45840</v>
      </c>
      <c r="B820" t="s">
        <v>568</v>
      </c>
      <c r="C820" t="s">
        <v>722</v>
      </c>
      <c r="D820" t="s">
        <v>56</v>
      </c>
      <c r="E820" t="str">
        <f t="shared" si="13"/>
        <v>Honorários</v>
      </c>
      <c r="F820" t="s">
        <v>723</v>
      </c>
      <c r="G820" t="s">
        <v>723</v>
      </c>
      <c r="I820" t="s">
        <v>724</v>
      </c>
      <c r="J820" t="s">
        <v>143</v>
      </c>
      <c r="K820" s="23">
        <v>500</v>
      </c>
      <c r="L820" t="s">
        <v>18</v>
      </c>
      <c r="M820" t="s">
        <v>83</v>
      </c>
    </row>
    <row r="821" spans="1:13" hidden="1" x14ac:dyDescent="0.25">
      <c r="A821" s="5">
        <v>45840</v>
      </c>
      <c r="B821" t="s">
        <v>569</v>
      </c>
      <c r="C821" t="s">
        <v>725</v>
      </c>
      <c r="D821" t="s">
        <v>56</v>
      </c>
      <c r="E821" t="str">
        <f t="shared" si="13"/>
        <v>Honorários</v>
      </c>
      <c r="F821" t="s">
        <v>726</v>
      </c>
      <c r="G821" t="s">
        <v>726</v>
      </c>
      <c r="I821" t="s">
        <v>727</v>
      </c>
      <c r="J821" t="s">
        <v>143</v>
      </c>
      <c r="K821" s="23">
        <v>1671</v>
      </c>
      <c r="L821" t="s">
        <v>18</v>
      </c>
      <c r="M821" t="s">
        <v>19</v>
      </c>
    </row>
    <row r="822" spans="1:13" hidden="1" x14ac:dyDescent="0.25">
      <c r="A822" s="5">
        <v>45841</v>
      </c>
      <c r="B822" t="s">
        <v>568</v>
      </c>
      <c r="C822" t="s">
        <v>71</v>
      </c>
      <c r="D822" t="s">
        <v>72</v>
      </c>
      <c r="E822" t="str">
        <f t="shared" si="13"/>
        <v>FIN</v>
      </c>
      <c r="F822" t="s">
        <v>23</v>
      </c>
      <c r="G822" t="s">
        <v>23</v>
      </c>
      <c r="J822" t="s">
        <v>17</v>
      </c>
      <c r="K822" s="23">
        <v>-261.75</v>
      </c>
      <c r="L822" t="s">
        <v>24</v>
      </c>
      <c r="M822" t="s">
        <v>728</v>
      </c>
    </row>
    <row r="823" spans="1:13" hidden="1" x14ac:dyDescent="0.25">
      <c r="A823" s="5">
        <v>45842</v>
      </c>
      <c r="B823" t="s">
        <v>569</v>
      </c>
      <c r="C823" t="s">
        <v>667</v>
      </c>
      <c r="D823" t="s">
        <v>56</v>
      </c>
      <c r="E823" t="str">
        <f t="shared" si="13"/>
        <v>Honorários</v>
      </c>
      <c r="F823" t="s">
        <v>609</v>
      </c>
      <c r="G823" t="s">
        <v>609</v>
      </c>
      <c r="I823" t="s">
        <v>75</v>
      </c>
      <c r="J823" t="s">
        <v>143</v>
      </c>
      <c r="K823" s="23">
        <v>1007.59</v>
      </c>
      <c r="L823" t="s">
        <v>18</v>
      </c>
      <c r="M823" t="s">
        <v>19</v>
      </c>
    </row>
    <row r="824" spans="1:13" hidden="1" x14ac:dyDescent="0.25">
      <c r="A824" s="5">
        <v>45842</v>
      </c>
      <c r="B824" t="s">
        <v>569</v>
      </c>
      <c r="C824" t="s">
        <v>584</v>
      </c>
      <c r="D824" t="s">
        <v>99</v>
      </c>
      <c r="E824" t="str">
        <f t="shared" si="13"/>
        <v>ADM</v>
      </c>
      <c r="F824" t="s">
        <v>100</v>
      </c>
      <c r="G824" t="s">
        <v>100</v>
      </c>
      <c r="J824" t="s">
        <v>143</v>
      </c>
      <c r="K824" s="23">
        <v>-340</v>
      </c>
      <c r="L824" t="s">
        <v>24</v>
      </c>
      <c r="M824" t="s">
        <v>25</v>
      </c>
    </row>
    <row r="825" spans="1:13" hidden="1" x14ac:dyDescent="0.25">
      <c r="A825" s="5">
        <v>45842</v>
      </c>
      <c r="B825" t="s">
        <v>568</v>
      </c>
      <c r="C825" t="s">
        <v>729</v>
      </c>
      <c r="D825" t="s">
        <v>56</v>
      </c>
      <c r="E825" t="str">
        <f t="shared" si="13"/>
        <v>Honorários</v>
      </c>
      <c r="F825" t="s">
        <v>721</v>
      </c>
      <c r="G825" t="s">
        <v>721</v>
      </c>
      <c r="I825" t="s">
        <v>196</v>
      </c>
      <c r="J825" t="s">
        <v>143</v>
      </c>
      <c r="K825" s="23">
        <v>563.5</v>
      </c>
      <c r="L825" t="s">
        <v>18</v>
      </c>
      <c r="M825" t="s">
        <v>83</v>
      </c>
    </row>
    <row r="826" spans="1:13" hidden="1" x14ac:dyDescent="0.25">
      <c r="A826" s="5">
        <v>45843</v>
      </c>
      <c r="B826" t="s">
        <v>13</v>
      </c>
      <c r="C826" t="s">
        <v>730</v>
      </c>
      <c r="D826" t="s">
        <v>30</v>
      </c>
      <c r="E826" t="str">
        <f t="shared" si="13"/>
        <v>ADM</v>
      </c>
      <c r="F826" t="s">
        <v>16</v>
      </c>
      <c r="G826" t="s">
        <v>16</v>
      </c>
      <c r="J826" t="s">
        <v>143</v>
      </c>
      <c r="K826" s="23">
        <v>-40.340000000000003</v>
      </c>
      <c r="L826" t="s">
        <v>24</v>
      </c>
      <c r="M826" t="s">
        <v>25</v>
      </c>
    </row>
    <row r="827" spans="1:13" hidden="1" x14ac:dyDescent="0.25">
      <c r="A827" s="5">
        <v>45843</v>
      </c>
      <c r="B827" t="s">
        <v>13</v>
      </c>
      <c r="C827" t="s">
        <v>35</v>
      </c>
      <c r="D827" t="s">
        <v>30</v>
      </c>
      <c r="E827" t="str">
        <f t="shared" si="13"/>
        <v>ADM</v>
      </c>
      <c r="F827" t="s">
        <v>16</v>
      </c>
      <c r="G827" t="s">
        <v>16</v>
      </c>
      <c r="J827" t="s">
        <v>17</v>
      </c>
      <c r="K827" s="23">
        <v>-79.95</v>
      </c>
      <c r="L827" t="s">
        <v>24</v>
      </c>
      <c r="M827" t="s">
        <v>25</v>
      </c>
    </row>
    <row r="828" spans="1:13" hidden="1" x14ac:dyDescent="0.25">
      <c r="A828" s="5">
        <v>45843</v>
      </c>
      <c r="B828" t="s">
        <v>13</v>
      </c>
      <c r="C828" t="s">
        <v>29</v>
      </c>
      <c r="D828" t="s">
        <v>30</v>
      </c>
      <c r="E828" t="str">
        <f t="shared" si="13"/>
        <v>ADM</v>
      </c>
      <c r="F828" t="s">
        <v>16</v>
      </c>
      <c r="G828" t="s">
        <v>16</v>
      </c>
      <c r="J828" t="s">
        <v>17</v>
      </c>
      <c r="K828" s="23">
        <v>-501.05</v>
      </c>
      <c r="L828" t="s">
        <v>24</v>
      </c>
      <c r="M828" t="s">
        <v>25</v>
      </c>
    </row>
    <row r="829" spans="1:13" hidden="1" x14ac:dyDescent="0.25">
      <c r="A829" s="5">
        <v>45843</v>
      </c>
      <c r="B829" t="s">
        <v>13</v>
      </c>
      <c r="C829" t="s">
        <v>14</v>
      </c>
      <c r="D829" t="s">
        <v>15</v>
      </c>
      <c r="E829" t="str">
        <f t="shared" si="13"/>
        <v>ADM</v>
      </c>
      <c r="F829" t="s">
        <v>16</v>
      </c>
      <c r="G829" t="s">
        <v>16</v>
      </c>
      <c r="J829" t="s">
        <v>143</v>
      </c>
      <c r="K829" s="23">
        <v>870.55</v>
      </c>
      <c r="L829" t="s">
        <v>18</v>
      </c>
      <c r="M829" t="s">
        <v>19</v>
      </c>
    </row>
    <row r="830" spans="1:13" hidden="1" x14ac:dyDescent="0.25">
      <c r="A830" s="5">
        <v>45843</v>
      </c>
      <c r="B830" t="s">
        <v>13</v>
      </c>
      <c r="C830" t="s">
        <v>47</v>
      </c>
      <c r="D830" t="s">
        <v>30</v>
      </c>
      <c r="E830" t="str">
        <f t="shared" si="13"/>
        <v>ADM</v>
      </c>
      <c r="F830" t="s">
        <v>16</v>
      </c>
      <c r="G830" t="s">
        <v>16</v>
      </c>
      <c r="J830" t="s">
        <v>17</v>
      </c>
      <c r="K830" s="23">
        <v>-249.21</v>
      </c>
      <c r="L830" t="s">
        <v>24</v>
      </c>
      <c r="M830" t="s">
        <v>25</v>
      </c>
    </row>
    <row r="831" spans="1:13" hidden="1" x14ac:dyDescent="0.25">
      <c r="A831" s="5">
        <v>45845</v>
      </c>
      <c r="B831" t="s">
        <v>568</v>
      </c>
      <c r="C831" t="s">
        <v>394</v>
      </c>
      <c r="D831" t="s">
        <v>96</v>
      </c>
      <c r="E831" t="str">
        <f t="shared" si="13"/>
        <v>ADM</v>
      </c>
      <c r="F831" t="s">
        <v>97</v>
      </c>
      <c r="G831" t="s">
        <v>97</v>
      </c>
      <c r="J831" t="s">
        <v>17</v>
      </c>
      <c r="K831" s="23">
        <v>-62.6</v>
      </c>
      <c r="L831" t="s">
        <v>24</v>
      </c>
      <c r="M831" t="s">
        <v>25</v>
      </c>
    </row>
    <row r="832" spans="1:13" hidden="1" x14ac:dyDescent="0.25">
      <c r="A832" s="5">
        <v>45845</v>
      </c>
      <c r="B832" t="s">
        <v>568</v>
      </c>
      <c r="C832" t="s">
        <v>118</v>
      </c>
      <c r="D832" t="s">
        <v>113</v>
      </c>
      <c r="E832" t="str">
        <f t="shared" si="13"/>
        <v>ADM</v>
      </c>
      <c r="F832" t="s">
        <v>114</v>
      </c>
      <c r="G832" t="s">
        <v>114</v>
      </c>
      <c r="J832" t="s">
        <v>17</v>
      </c>
      <c r="K832" s="23">
        <v>-137.37</v>
      </c>
      <c r="L832" t="s">
        <v>24</v>
      </c>
      <c r="M832" t="s">
        <v>25</v>
      </c>
    </row>
    <row r="833" spans="1:13" hidden="1" x14ac:dyDescent="0.25">
      <c r="A833" s="5">
        <v>45845</v>
      </c>
      <c r="B833" t="s">
        <v>568</v>
      </c>
      <c r="C833" t="s">
        <v>598</v>
      </c>
      <c r="D833" t="s">
        <v>56</v>
      </c>
      <c r="E833" t="str">
        <f t="shared" si="13"/>
        <v>Honorários</v>
      </c>
      <c r="F833" t="s">
        <v>513</v>
      </c>
      <c r="G833" t="s">
        <v>513</v>
      </c>
      <c r="I833" t="s">
        <v>75</v>
      </c>
      <c r="J833" t="s">
        <v>143</v>
      </c>
      <c r="K833" s="23">
        <v>455.4</v>
      </c>
      <c r="L833" t="s">
        <v>18</v>
      </c>
      <c r="M833" t="s">
        <v>83</v>
      </c>
    </row>
    <row r="834" spans="1:13" hidden="1" x14ac:dyDescent="0.25">
      <c r="A834" s="5">
        <v>45845</v>
      </c>
      <c r="B834" t="s">
        <v>568</v>
      </c>
      <c r="C834" t="s">
        <v>393</v>
      </c>
      <c r="D834" t="s">
        <v>96</v>
      </c>
      <c r="E834" t="str">
        <f t="shared" si="13"/>
        <v>ADM</v>
      </c>
      <c r="F834" t="s">
        <v>97</v>
      </c>
      <c r="G834" t="s">
        <v>97</v>
      </c>
      <c r="J834" t="s">
        <v>17</v>
      </c>
      <c r="K834" s="23">
        <v>-62.6</v>
      </c>
      <c r="L834" t="s">
        <v>24</v>
      </c>
      <c r="M834" t="s">
        <v>25</v>
      </c>
    </row>
    <row r="835" spans="1:13" hidden="1" x14ac:dyDescent="0.25">
      <c r="A835" s="5">
        <v>45845</v>
      </c>
      <c r="B835" t="s">
        <v>568</v>
      </c>
      <c r="C835" t="s">
        <v>391</v>
      </c>
      <c r="D835" t="s">
        <v>96</v>
      </c>
      <c r="E835" t="str">
        <f t="shared" si="13"/>
        <v>ADM</v>
      </c>
      <c r="F835" t="s">
        <v>97</v>
      </c>
      <c r="G835" t="s">
        <v>97</v>
      </c>
      <c r="J835" t="s">
        <v>17</v>
      </c>
      <c r="K835" s="23">
        <v>-62.6</v>
      </c>
      <c r="L835" t="s">
        <v>24</v>
      </c>
      <c r="M835" t="s">
        <v>25</v>
      </c>
    </row>
    <row r="836" spans="1:13" hidden="1" x14ac:dyDescent="0.25">
      <c r="A836" s="5">
        <v>45845</v>
      </c>
      <c r="B836" t="s">
        <v>568</v>
      </c>
      <c r="C836" t="s">
        <v>389</v>
      </c>
      <c r="D836" t="s">
        <v>96</v>
      </c>
      <c r="E836" t="str">
        <f t="shared" si="13"/>
        <v>ADM</v>
      </c>
      <c r="F836" t="s">
        <v>97</v>
      </c>
      <c r="G836" t="s">
        <v>97</v>
      </c>
      <c r="J836" t="s">
        <v>17</v>
      </c>
      <c r="K836" s="23">
        <v>-1445.14</v>
      </c>
      <c r="L836" t="s">
        <v>24</v>
      </c>
      <c r="M836" t="s">
        <v>25</v>
      </c>
    </row>
    <row r="837" spans="1:13" hidden="1" x14ac:dyDescent="0.25">
      <c r="A837" s="5">
        <v>45845</v>
      </c>
      <c r="B837" t="s">
        <v>568</v>
      </c>
      <c r="C837" t="s">
        <v>101</v>
      </c>
      <c r="D837" t="s">
        <v>15</v>
      </c>
      <c r="E837" t="str">
        <f t="shared" si="13"/>
        <v>ADM</v>
      </c>
      <c r="F837" t="s">
        <v>23</v>
      </c>
      <c r="G837" t="s">
        <v>23</v>
      </c>
      <c r="J837" t="s">
        <v>17</v>
      </c>
      <c r="K837" s="23">
        <v>-1975.87</v>
      </c>
      <c r="L837" t="s">
        <v>24</v>
      </c>
      <c r="M837" t="s">
        <v>25</v>
      </c>
    </row>
    <row r="838" spans="1:13" hidden="1" x14ac:dyDescent="0.25">
      <c r="A838" s="5">
        <v>45845</v>
      </c>
      <c r="B838" t="s">
        <v>568</v>
      </c>
      <c r="C838" t="s">
        <v>390</v>
      </c>
      <c r="D838" t="s">
        <v>96</v>
      </c>
      <c r="E838" t="str">
        <f t="shared" si="13"/>
        <v>ADM</v>
      </c>
      <c r="F838" t="s">
        <v>97</v>
      </c>
      <c r="G838" t="s">
        <v>97</v>
      </c>
      <c r="J838" t="s">
        <v>17</v>
      </c>
      <c r="K838" s="23">
        <v>-62.6</v>
      </c>
      <c r="L838" t="s">
        <v>24</v>
      </c>
      <c r="M838" t="s">
        <v>25</v>
      </c>
    </row>
    <row r="839" spans="1:13" hidden="1" x14ac:dyDescent="0.25">
      <c r="A839" s="5">
        <v>45845</v>
      </c>
      <c r="B839" t="s">
        <v>569</v>
      </c>
      <c r="C839" t="s">
        <v>110</v>
      </c>
      <c r="D839" t="s">
        <v>56</v>
      </c>
      <c r="E839" t="str">
        <f t="shared" ref="E839:E902" si="14">IF(OR(D839="Honorários",D839="Despesa do cliente"),D839,LEFT(D839,3))</f>
        <v>Honorários</v>
      </c>
      <c r="F839" t="s">
        <v>111</v>
      </c>
      <c r="G839" t="s">
        <v>111</v>
      </c>
      <c r="J839" t="s">
        <v>17</v>
      </c>
      <c r="K839" s="23">
        <v>354</v>
      </c>
      <c r="L839" t="s">
        <v>18</v>
      </c>
      <c r="M839" t="s">
        <v>19</v>
      </c>
    </row>
    <row r="840" spans="1:13" hidden="1" x14ac:dyDescent="0.25">
      <c r="A840" s="5">
        <v>45845</v>
      </c>
      <c r="B840" t="s">
        <v>568</v>
      </c>
      <c r="C840" t="s">
        <v>392</v>
      </c>
      <c r="D840" t="s">
        <v>96</v>
      </c>
      <c r="E840" t="str">
        <f t="shared" si="14"/>
        <v>ADM</v>
      </c>
      <c r="F840" t="s">
        <v>97</v>
      </c>
      <c r="G840" t="s">
        <v>97</v>
      </c>
      <c r="J840" t="s">
        <v>17</v>
      </c>
      <c r="K840" s="23">
        <v>-62.6</v>
      </c>
      <c r="L840" t="s">
        <v>24</v>
      </c>
      <c r="M840" t="s">
        <v>25</v>
      </c>
    </row>
    <row r="841" spans="1:13" hidden="1" x14ac:dyDescent="0.25">
      <c r="A841" s="5">
        <v>45845</v>
      </c>
      <c r="B841" t="s">
        <v>568</v>
      </c>
      <c r="C841" t="s">
        <v>388</v>
      </c>
      <c r="D841" t="s">
        <v>96</v>
      </c>
      <c r="E841" t="str">
        <f t="shared" si="14"/>
        <v>ADM</v>
      </c>
      <c r="F841" t="s">
        <v>97</v>
      </c>
      <c r="G841" t="s">
        <v>97</v>
      </c>
      <c r="J841" t="s">
        <v>17</v>
      </c>
      <c r="K841" s="23">
        <v>-1444.55</v>
      </c>
      <c r="L841" t="s">
        <v>24</v>
      </c>
      <c r="M841" t="s">
        <v>25</v>
      </c>
    </row>
    <row r="842" spans="1:13" hidden="1" x14ac:dyDescent="0.25">
      <c r="A842" s="5">
        <v>45846</v>
      </c>
      <c r="B842" t="s">
        <v>569</v>
      </c>
      <c r="C842" t="s">
        <v>683</v>
      </c>
      <c r="D842" t="s">
        <v>56</v>
      </c>
      <c r="E842" t="str">
        <f t="shared" si="14"/>
        <v>Honorários</v>
      </c>
      <c r="F842" t="s">
        <v>731</v>
      </c>
      <c r="G842" t="s">
        <v>731</v>
      </c>
      <c r="I842" t="s">
        <v>605</v>
      </c>
      <c r="J842" t="s">
        <v>143</v>
      </c>
      <c r="K842" s="23">
        <v>3085.85</v>
      </c>
      <c r="L842" t="s">
        <v>18</v>
      </c>
      <c r="M842" t="s">
        <v>19</v>
      </c>
    </row>
    <row r="843" spans="1:13" hidden="1" x14ac:dyDescent="0.25">
      <c r="A843" s="5">
        <v>45846</v>
      </c>
      <c r="B843" t="s">
        <v>568</v>
      </c>
      <c r="C843" t="s">
        <v>437</v>
      </c>
      <c r="D843" t="s">
        <v>113</v>
      </c>
      <c r="E843" t="str">
        <f t="shared" si="14"/>
        <v>ADM</v>
      </c>
      <c r="F843" t="s">
        <v>438</v>
      </c>
      <c r="G843" t="s">
        <v>438</v>
      </c>
      <c r="J843" t="s">
        <v>17</v>
      </c>
      <c r="K843" s="23">
        <v>-362.91</v>
      </c>
      <c r="L843" t="s">
        <v>24</v>
      </c>
      <c r="M843" t="s">
        <v>25</v>
      </c>
    </row>
    <row r="844" spans="1:13" hidden="1" x14ac:dyDescent="0.25">
      <c r="A844" s="5">
        <v>45846</v>
      </c>
      <c r="B844" t="s">
        <v>568</v>
      </c>
      <c r="C844" t="s">
        <v>439</v>
      </c>
      <c r="D844" t="s">
        <v>113</v>
      </c>
      <c r="E844" t="str">
        <f t="shared" si="14"/>
        <v>ADM</v>
      </c>
      <c r="F844" t="s">
        <v>438</v>
      </c>
      <c r="G844" t="s">
        <v>438</v>
      </c>
      <c r="J844" t="s">
        <v>17</v>
      </c>
      <c r="K844" s="23">
        <v>-130.53</v>
      </c>
      <c r="L844" t="s">
        <v>24</v>
      </c>
      <c r="M844" t="s">
        <v>25</v>
      </c>
    </row>
    <row r="845" spans="1:13" hidden="1" x14ac:dyDescent="0.25">
      <c r="A845" s="5">
        <v>45847</v>
      </c>
      <c r="B845" t="s">
        <v>569</v>
      </c>
      <c r="C845" t="s">
        <v>667</v>
      </c>
      <c r="D845" t="s">
        <v>56</v>
      </c>
      <c r="E845" t="str">
        <f t="shared" si="14"/>
        <v>Honorários</v>
      </c>
      <c r="F845" t="s">
        <v>732</v>
      </c>
      <c r="G845" t="s">
        <v>732</v>
      </c>
      <c r="I845" t="s">
        <v>733</v>
      </c>
      <c r="J845" t="s">
        <v>143</v>
      </c>
      <c r="K845" s="23">
        <v>4554</v>
      </c>
      <c r="L845" t="s">
        <v>18</v>
      </c>
      <c r="M845" t="s">
        <v>19</v>
      </c>
    </row>
    <row r="846" spans="1:13" hidden="1" x14ac:dyDescent="0.25">
      <c r="A846" s="5">
        <v>45847</v>
      </c>
      <c r="B846" t="s">
        <v>568</v>
      </c>
      <c r="C846" t="s">
        <v>43</v>
      </c>
      <c r="D846" t="s">
        <v>15</v>
      </c>
      <c r="E846" t="str">
        <f t="shared" si="14"/>
        <v>ADM</v>
      </c>
      <c r="F846" t="s">
        <v>23</v>
      </c>
      <c r="G846" t="s">
        <v>23</v>
      </c>
      <c r="J846" t="s">
        <v>143</v>
      </c>
      <c r="K846" s="23">
        <v>-1482.74</v>
      </c>
      <c r="L846" t="s">
        <v>24</v>
      </c>
      <c r="M846" t="s">
        <v>25</v>
      </c>
    </row>
    <row r="847" spans="1:13" hidden="1" x14ac:dyDescent="0.25">
      <c r="A847" s="5">
        <v>45847</v>
      </c>
      <c r="B847" t="s">
        <v>569</v>
      </c>
      <c r="C847" t="s">
        <v>734</v>
      </c>
      <c r="D847" t="s">
        <v>56</v>
      </c>
      <c r="E847" t="str">
        <f t="shared" si="14"/>
        <v>Honorários</v>
      </c>
      <c r="F847" t="s">
        <v>735</v>
      </c>
      <c r="G847" t="s">
        <v>735</v>
      </c>
      <c r="I847" t="s">
        <v>196</v>
      </c>
      <c r="J847" t="s">
        <v>143</v>
      </c>
      <c r="K847" s="23">
        <v>4554</v>
      </c>
      <c r="L847" t="s">
        <v>18</v>
      </c>
      <c r="M847" t="s">
        <v>19</v>
      </c>
    </row>
    <row r="848" spans="1:13" hidden="1" x14ac:dyDescent="0.25">
      <c r="A848" s="5">
        <v>45847</v>
      </c>
      <c r="B848" t="s">
        <v>569</v>
      </c>
      <c r="C848" t="s">
        <v>64</v>
      </c>
      <c r="D848" t="s">
        <v>56</v>
      </c>
      <c r="E848" t="str">
        <f t="shared" si="14"/>
        <v>Honorários</v>
      </c>
      <c r="F848" t="s">
        <v>736</v>
      </c>
      <c r="G848" t="s">
        <v>736</v>
      </c>
      <c r="I848" t="s">
        <v>75</v>
      </c>
      <c r="J848" t="s">
        <v>17</v>
      </c>
      <c r="K848" s="23">
        <v>2186.4</v>
      </c>
      <c r="L848" t="s">
        <v>18</v>
      </c>
      <c r="M848" t="s">
        <v>19</v>
      </c>
    </row>
    <row r="849" spans="1:13" hidden="1" x14ac:dyDescent="0.25">
      <c r="A849" s="5">
        <v>45848</v>
      </c>
      <c r="B849" t="s">
        <v>33</v>
      </c>
      <c r="C849" t="s">
        <v>676</v>
      </c>
      <c r="D849" s="18" t="s">
        <v>149</v>
      </c>
      <c r="E849" t="str">
        <f t="shared" si="14"/>
        <v>ADM</v>
      </c>
      <c r="F849" t="s">
        <v>23</v>
      </c>
      <c r="G849" t="s">
        <v>23</v>
      </c>
      <c r="J849" t="s">
        <v>143</v>
      </c>
      <c r="K849" s="26">
        <v>-300</v>
      </c>
      <c r="L849" t="s">
        <v>24</v>
      </c>
      <c r="M849" t="s">
        <v>25</v>
      </c>
    </row>
    <row r="850" spans="1:13" hidden="1" x14ac:dyDescent="0.25">
      <c r="A850" s="5">
        <v>45848</v>
      </c>
      <c r="B850" t="s">
        <v>569</v>
      </c>
      <c r="C850" t="s">
        <v>119</v>
      </c>
      <c r="D850" t="s">
        <v>72</v>
      </c>
      <c r="E850" t="str">
        <f t="shared" si="14"/>
        <v>FIN</v>
      </c>
      <c r="F850" t="s">
        <v>120</v>
      </c>
      <c r="G850" t="s">
        <v>120</v>
      </c>
      <c r="J850" t="s">
        <v>17</v>
      </c>
      <c r="K850" s="23">
        <v>-15</v>
      </c>
      <c r="L850" t="s">
        <v>24</v>
      </c>
      <c r="M850" t="s">
        <v>25</v>
      </c>
    </row>
    <row r="851" spans="1:13" hidden="1" x14ac:dyDescent="0.25">
      <c r="A851" s="5">
        <v>45848</v>
      </c>
      <c r="B851" t="s">
        <v>33</v>
      </c>
      <c r="C851" t="s">
        <v>676</v>
      </c>
      <c r="D851" s="18" t="s">
        <v>149</v>
      </c>
      <c r="E851" t="str">
        <f t="shared" si="14"/>
        <v>ADM</v>
      </c>
      <c r="F851" t="s">
        <v>23</v>
      </c>
      <c r="G851" t="s">
        <v>23</v>
      </c>
      <c r="J851" t="s">
        <v>143</v>
      </c>
      <c r="K851" s="26">
        <v>-394</v>
      </c>
      <c r="L851" t="s">
        <v>24</v>
      </c>
      <c r="M851" t="s">
        <v>25</v>
      </c>
    </row>
    <row r="852" spans="1:13" hidden="1" x14ac:dyDescent="0.25">
      <c r="A852" s="5">
        <v>45848</v>
      </c>
      <c r="B852" t="s">
        <v>33</v>
      </c>
      <c r="C852" t="s">
        <v>671</v>
      </c>
      <c r="D852" t="s">
        <v>15</v>
      </c>
      <c r="E852" t="str">
        <f t="shared" si="14"/>
        <v>ADM</v>
      </c>
      <c r="F852" t="s">
        <v>23</v>
      </c>
      <c r="G852" t="s">
        <v>23</v>
      </c>
      <c r="J852" t="s">
        <v>143</v>
      </c>
      <c r="K852" s="23">
        <v>1482.74</v>
      </c>
      <c r="L852" t="s">
        <v>18</v>
      </c>
      <c r="M852" t="s">
        <v>19</v>
      </c>
    </row>
    <row r="853" spans="1:13" hidden="1" x14ac:dyDescent="0.25">
      <c r="A853" s="5">
        <v>45848</v>
      </c>
      <c r="B853" t="s">
        <v>33</v>
      </c>
      <c r="C853" t="s">
        <v>676</v>
      </c>
      <c r="D853" s="18" t="s">
        <v>149</v>
      </c>
      <c r="E853" t="str">
        <f t="shared" si="14"/>
        <v>ADM</v>
      </c>
      <c r="F853" t="s">
        <v>23</v>
      </c>
      <c r="G853" t="s">
        <v>23</v>
      </c>
      <c r="J853" t="s">
        <v>143</v>
      </c>
      <c r="K853" s="26">
        <v>-419.64</v>
      </c>
      <c r="L853" t="s">
        <v>24</v>
      </c>
      <c r="M853" t="s">
        <v>25</v>
      </c>
    </row>
    <row r="854" spans="1:13" hidden="1" x14ac:dyDescent="0.25">
      <c r="A854" s="5">
        <v>45848</v>
      </c>
      <c r="B854" t="s">
        <v>33</v>
      </c>
      <c r="C854" t="s">
        <v>737</v>
      </c>
      <c r="D854" t="s">
        <v>162</v>
      </c>
      <c r="E854" t="str">
        <f t="shared" si="14"/>
        <v>COM</v>
      </c>
      <c r="F854" t="s">
        <v>23</v>
      </c>
      <c r="G854" t="s">
        <v>23</v>
      </c>
      <c r="J854" t="s">
        <v>143</v>
      </c>
      <c r="K854" s="23">
        <v>-144.99</v>
      </c>
      <c r="L854" t="s">
        <v>24</v>
      </c>
      <c r="M854" t="s">
        <v>25</v>
      </c>
    </row>
    <row r="855" spans="1:13" hidden="1" x14ac:dyDescent="0.25">
      <c r="A855" s="5">
        <v>45848</v>
      </c>
      <c r="B855" t="s">
        <v>33</v>
      </c>
      <c r="C855" t="s">
        <v>677</v>
      </c>
      <c r="D855" t="s">
        <v>15</v>
      </c>
      <c r="E855" t="str">
        <f t="shared" si="14"/>
        <v>ADM</v>
      </c>
      <c r="F855" t="s">
        <v>23</v>
      </c>
      <c r="G855" t="s">
        <v>23</v>
      </c>
      <c r="J855" t="s">
        <v>143</v>
      </c>
      <c r="K855" s="26">
        <v>-224.11</v>
      </c>
      <c r="L855" t="s">
        <v>24</v>
      </c>
      <c r="M855" t="s">
        <v>25</v>
      </c>
    </row>
    <row r="856" spans="1:13" hidden="1" x14ac:dyDescent="0.25">
      <c r="A856" s="5">
        <v>45848</v>
      </c>
      <c r="B856" t="s">
        <v>569</v>
      </c>
      <c r="C856" t="s">
        <v>738</v>
      </c>
      <c r="D856" t="s">
        <v>56</v>
      </c>
      <c r="E856" t="str">
        <f t="shared" si="14"/>
        <v>Honorários</v>
      </c>
      <c r="F856" t="s">
        <v>739</v>
      </c>
      <c r="G856" t="s">
        <v>739</v>
      </c>
      <c r="I856" t="s">
        <v>740</v>
      </c>
      <c r="J856" t="s">
        <v>143</v>
      </c>
      <c r="K856" s="23">
        <v>3869.1</v>
      </c>
      <c r="L856" t="s">
        <v>18</v>
      </c>
      <c r="M856" t="s">
        <v>19</v>
      </c>
    </row>
    <row r="857" spans="1:13" hidden="1" x14ac:dyDescent="0.25">
      <c r="A857" s="5">
        <v>45848</v>
      </c>
      <c r="B857" t="s">
        <v>569</v>
      </c>
      <c r="C857" t="s">
        <v>741</v>
      </c>
      <c r="D857" t="s">
        <v>56</v>
      </c>
      <c r="E857" t="str">
        <f t="shared" si="14"/>
        <v>Honorários</v>
      </c>
      <c r="F857" t="s">
        <v>400</v>
      </c>
      <c r="G857" t="s">
        <v>400</v>
      </c>
      <c r="I857" t="s">
        <v>335</v>
      </c>
      <c r="J857" t="s">
        <v>17</v>
      </c>
      <c r="K857" s="23">
        <v>305.8</v>
      </c>
      <c r="L857" t="s">
        <v>18</v>
      </c>
      <c r="M857" t="s">
        <v>19</v>
      </c>
    </row>
    <row r="858" spans="1:13" hidden="1" x14ac:dyDescent="0.25">
      <c r="A858" s="5">
        <v>45848</v>
      </c>
      <c r="B858" t="s">
        <v>568</v>
      </c>
      <c r="C858" t="s">
        <v>127</v>
      </c>
      <c r="D858" t="s">
        <v>128</v>
      </c>
      <c r="E858" t="str">
        <f t="shared" si="14"/>
        <v>PES</v>
      </c>
      <c r="F858" t="s">
        <v>129</v>
      </c>
      <c r="G858" t="s">
        <v>129</v>
      </c>
      <c r="J858" t="s">
        <v>17</v>
      </c>
      <c r="K858" s="23">
        <v>-106.73</v>
      </c>
      <c r="L858" t="s">
        <v>24</v>
      </c>
      <c r="M858" t="s">
        <v>25</v>
      </c>
    </row>
    <row r="859" spans="1:13" hidden="1" x14ac:dyDescent="0.25">
      <c r="A859" s="5">
        <v>45849</v>
      </c>
      <c r="B859" t="s">
        <v>568</v>
      </c>
      <c r="C859" t="s">
        <v>680</v>
      </c>
      <c r="D859" t="s">
        <v>56</v>
      </c>
      <c r="E859" t="str">
        <f t="shared" si="14"/>
        <v>Honorários</v>
      </c>
      <c r="F859" t="s">
        <v>681</v>
      </c>
      <c r="G859" t="s">
        <v>681</v>
      </c>
      <c r="I859" t="s">
        <v>682</v>
      </c>
      <c r="J859" t="s">
        <v>17</v>
      </c>
      <c r="K859" s="23">
        <v>97.15</v>
      </c>
      <c r="L859" t="s">
        <v>18</v>
      </c>
      <c r="M859" t="s">
        <v>19</v>
      </c>
    </row>
    <row r="860" spans="1:13" hidden="1" x14ac:dyDescent="0.25">
      <c r="A860" s="5">
        <v>45849</v>
      </c>
      <c r="B860" t="s">
        <v>569</v>
      </c>
      <c r="C860" t="s">
        <v>742</v>
      </c>
      <c r="D860" t="s">
        <v>56</v>
      </c>
      <c r="E860" t="str">
        <f t="shared" si="14"/>
        <v>Honorários</v>
      </c>
      <c r="F860" t="s">
        <v>743</v>
      </c>
      <c r="G860" t="s">
        <v>743</v>
      </c>
      <c r="I860" t="s">
        <v>744</v>
      </c>
      <c r="J860" t="s">
        <v>143</v>
      </c>
      <c r="K860" s="23">
        <v>6172.79</v>
      </c>
      <c r="L860" t="s">
        <v>18</v>
      </c>
      <c r="M860" t="s">
        <v>19</v>
      </c>
    </row>
    <row r="861" spans="1:13" hidden="1" x14ac:dyDescent="0.25">
      <c r="A861" s="5">
        <v>45849</v>
      </c>
      <c r="B861" t="s">
        <v>569</v>
      </c>
      <c r="C861" t="s">
        <v>584</v>
      </c>
      <c r="D861" t="s">
        <v>99</v>
      </c>
      <c r="E861" t="str">
        <f t="shared" si="14"/>
        <v>ADM</v>
      </c>
      <c r="F861" t="s">
        <v>100</v>
      </c>
      <c r="G861" t="s">
        <v>100</v>
      </c>
      <c r="J861" t="s">
        <v>143</v>
      </c>
      <c r="K861" s="23">
        <v>-340</v>
      </c>
      <c r="L861" t="s">
        <v>24</v>
      </c>
      <c r="M861" t="s">
        <v>25</v>
      </c>
    </row>
    <row r="862" spans="1:13" hidden="1" x14ac:dyDescent="0.25">
      <c r="A862" s="5">
        <v>45853</v>
      </c>
      <c r="B862" t="s">
        <v>569</v>
      </c>
      <c r="C862" t="s">
        <v>683</v>
      </c>
      <c r="D862" t="s">
        <v>56</v>
      </c>
      <c r="E862" t="str">
        <f t="shared" si="14"/>
        <v>Honorários</v>
      </c>
      <c r="F862" t="s">
        <v>684</v>
      </c>
      <c r="G862" t="s">
        <v>684</v>
      </c>
      <c r="I862" t="s">
        <v>82</v>
      </c>
      <c r="J862" t="s">
        <v>143</v>
      </c>
      <c r="K862" s="23">
        <v>60.6</v>
      </c>
      <c r="L862" t="s">
        <v>18</v>
      </c>
      <c r="M862" t="s">
        <v>19</v>
      </c>
    </row>
    <row r="863" spans="1:13" hidden="1" x14ac:dyDescent="0.25">
      <c r="A863" s="5">
        <v>45853</v>
      </c>
      <c r="B863" t="s">
        <v>569</v>
      </c>
      <c r="C863" t="s">
        <v>745</v>
      </c>
      <c r="D863" t="s">
        <v>56</v>
      </c>
      <c r="E863" t="str">
        <f t="shared" si="14"/>
        <v>Honorários</v>
      </c>
      <c r="F863" t="s">
        <v>746</v>
      </c>
      <c r="G863" t="s">
        <v>746</v>
      </c>
      <c r="I863" t="s">
        <v>747</v>
      </c>
      <c r="J863" t="s">
        <v>143</v>
      </c>
      <c r="K863" s="23">
        <v>2277</v>
      </c>
      <c r="L863" t="s">
        <v>18</v>
      </c>
      <c r="M863" t="s">
        <v>19</v>
      </c>
    </row>
    <row r="864" spans="1:13" hidden="1" x14ac:dyDescent="0.25">
      <c r="A864" s="5">
        <v>45853</v>
      </c>
      <c r="B864" t="s">
        <v>569</v>
      </c>
      <c r="C864" t="s">
        <v>748</v>
      </c>
      <c r="D864" t="s">
        <v>56</v>
      </c>
      <c r="E864" t="str">
        <f t="shared" si="14"/>
        <v>Honorários</v>
      </c>
      <c r="F864" t="s">
        <v>749</v>
      </c>
      <c r="G864" t="s">
        <v>749</v>
      </c>
      <c r="I864" t="s">
        <v>93</v>
      </c>
      <c r="J864" t="s">
        <v>143</v>
      </c>
      <c r="K864" s="23">
        <v>4000</v>
      </c>
      <c r="L864" t="s">
        <v>18</v>
      </c>
      <c r="M864" t="s">
        <v>19</v>
      </c>
    </row>
    <row r="865" spans="1:13" hidden="1" x14ac:dyDescent="0.25">
      <c r="A865" s="5">
        <v>45853</v>
      </c>
      <c r="B865" t="s">
        <v>569</v>
      </c>
      <c r="C865" t="s">
        <v>13</v>
      </c>
      <c r="D865" t="s">
        <v>15</v>
      </c>
      <c r="E865" t="str">
        <f t="shared" si="14"/>
        <v>ADM</v>
      </c>
      <c r="F865" t="s">
        <v>16</v>
      </c>
      <c r="G865" t="s">
        <v>16</v>
      </c>
      <c r="J865" t="s">
        <v>17</v>
      </c>
      <c r="K865" s="23">
        <v>-870.55</v>
      </c>
      <c r="L865" t="s">
        <v>24</v>
      </c>
      <c r="M865" t="s">
        <v>25</v>
      </c>
    </row>
    <row r="866" spans="1:13" hidden="1" x14ac:dyDescent="0.25">
      <c r="A866" s="5">
        <v>45853</v>
      </c>
      <c r="B866" t="s">
        <v>569</v>
      </c>
      <c r="C866" t="s">
        <v>750</v>
      </c>
      <c r="D866" t="s">
        <v>300</v>
      </c>
      <c r="E866" t="str">
        <f t="shared" si="14"/>
        <v>VAR</v>
      </c>
      <c r="F866" t="s">
        <v>743</v>
      </c>
      <c r="G866" t="s">
        <v>743</v>
      </c>
      <c r="I866" t="s">
        <v>744</v>
      </c>
      <c r="J866" t="s">
        <v>143</v>
      </c>
      <c r="K866" s="23">
        <v>-4320.95</v>
      </c>
      <c r="L866" t="s">
        <v>24</v>
      </c>
      <c r="M866" t="s">
        <v>25</v>
      </c>
    </row>
    <row r="867" spans="1:13" hidden="1" x14ac:dyDescent="0.25">
      <c r="A867" s="5">
        <v>45854</v>
      </c>
      <c r="B867" t="s">
        <v>569</v>
      </c>
      <c r="C867" t="s">
        <v>578</v>
      </c>
      <c r="D867" t="s">
        <v>56</v>
      </c>
      <c r="E867" t="str">
        <f t="shared" si="14"/>
        <v>Honorários</v>
      </c>
      <c r="F867" t="s">
        <v>751</v>
      </c>
      <c r="G867" t="s">
        <v>751</v>
      </c>
      <c r="I867" t="s">
        <v>75</v>
      </c>
      <c r="J867" t="s">
        <v>143</v>
      </c>
      <c r="K867" s="23">
        <v>993.3</v>
      </c>
      <c r="L867" t="s">
        <v>18</v>
      </c>
      <c r="M867" t="s">
        <v>19</v>
      </c>
    </row>
    <row r="868" spans="1:13" hidden="1" x14ac:dyDescent="0.25">
      <c r="A868" s="5">
        <v>45854</v>
      </c>
      <c r="B868" t="s">
        <v>568</v>
      </c>
      <c r="C868" t="s">
        <v>178</v>
      </c>
      <c r="D868" t="s">
        <v>56</v>
      </c>
      <c r="E868" t="str">
        <f t="shared" si="14"/>
        <v>Honorários</v>
      </c>
      <c r="F868" t="s">
        <v>179</v>
      </c>
      <c r="G868" t="s">
        <v>179</v>
      </c>
      <c r="I868" t="s">
        <v>180</v>
      </c>
      <c r="J868" t="s">
        <v>17</v>
      </c>
      <c r="K868" s="23">
        <v>150</v>
      </c>
      <c r="L868" t="s">
        <v>18</v>
      </c>
      <c r="M868" t="s">
        <v>83</v>
      </c>
    </row>
    <row r="869" spans="1:13" hidden="1" x14ac:dyDescent="0.25">
      <c r="A869" s="5">
        <v>45856</v>
      </c>
      <c r="B869" t="s">
        <v>569</v>
      </c>
      <c r="C869" t="s">
        <v>584</v>
      </c>
      <c r="D869" t="s">
        <v>99</v>
      </c>
      <c r="E869" t="str">
        <f t="shared" si="14"/>
        <v>ADM</v>
      </c>
      <c r="F869" t="s">
        <v>100</v>
      </c>
      <c r="G869" t="s">
        <v>100</v>
      </c>
      <c r="J869" t="s">
        <v>143</v>
      </c>
      <c r="K869" s="23">
        <v>-340</v>
      </c>
      <c r="L869" t="s">
        <v>24</v>
      </c>
      <c r="M869" t="s">
        <v>25</v>
      </c>
    </row>
    <row r="870" spans="1:13" hidden="1" x14ac:dyDescent="0.25">
      <c r="A870" s="5">
        <v>45856</v>
      </c>
      <c r="B870" t="s">
        <v>568</v>
      </c>
      <c r="C870" t="s">
        <v>158</v>
      </c>
      <c r="D870" t="s">
        <v>159</v>
      </c>
      <c r="E870" t="str">
        <f t="shared" si="14"/>
        <v>PES</v>
      </c>
      <c r="F870" t="s">
        <v>158</v>
      </c>
      <c r="G870" t="s">
        <v>158</v>
      </c>
      <c r="J870" t="s">
        <v>17</v>
      </c>
      <c r="K870" s="23">
        <v>-485.23</v>
      </c>
      <c r="L870" t="s">
        <v>24</v>
      </c>
      <c r="M870" t="s">
        <v>25</v>
      </c>
    </row>
    <row r="871" spans="1:13" hidden="1" x14ac:dyDescent="0.25">
      <c r="A871" s="5">
        <v>45856</v>
      </c>
      <c r="B871" t="s">
        <v>568</v>
      </c>
      <c r="C871" t="s">
        <v>165</v>
      </c>
      <c r="D871" t="s">
        <v>166</v>
      </c>
      <c r="E871" t="str">
        <f t="shared" si="14"/>
        <v>PES</v>
      </c>
      <c r="F871" t="s">
        <v>537</v>
      </c>
      <c r="G871" t="s">
        <v>537</v>
      </c>
      <c r="J871" t="s">
        <v>17</v>
      </c>
      <c r="K871" s="23">
        <v>-2923.83</v>
      </c>
      <c r="L871" t="s">
        <v>24</v>
      </c>
      <c r="M871" t="s">
        <v>25</v>
      </c>
    </row>
    <row r="872" spans="1:13" hidden="1" x14ac:dyDescent="0.25">
      <c r="A872" s="5">
        <v>45859</v>
      </c>
      <c r="B872" t="s">
        <v>568</v>
      </c>
      <c r="C872" t="s">
        <v>153</v>
      </c>
      <c r="D872" t="s">
        <v>154</v>
      </c>
      <c r="E872" t="str">
        <f t="shared" si="14"/>
        <v>ADM</v>
      </c>
      <c r="F872" t="s">
        <v>155</v>
      </c>
      <c r="G872" t="s">
        <v>155</v>
      </c>
      <c r="J872" t="s">
        <v>17</v>
      </c>
      <c r="K872" s="23">
        <v>-108.71</v>
      </c>
      <c r="L872" t="s">
        <v>24</v>
      </c>
      <c r="M872" t="s">
        <v>25</v>
      </c>
    </row>
    <row r="873" spans="1:13" hidden="1" x14ac:dyDescent="0.25">
      <c r="A873" s="5">
        <v>45859</v>
      </c>
      <c r="B873" t="s">
        <v>568</v>
      </c>
      <c r="C873" t="s">
        <v>351</v>
      </c>
      <c r="D873" t="s">
        <v>302</v>
      </c>
      <c r="E873" t="str">
        <f t="shared" si="14"/>
        <v>ADM</v>
      </c>
      <c r="F873" t="s">
        <v>303</v>
      </c>
      <c r="G873" t="s">
        <v>303</v>
      </c>
      <c r="J873" t="s">
        <v>143</v>
      </c>
      <c r="K873" s="23">
        <v>-125.52</v>
      </c>
      <c r="L873" t="s">
        <v>24</v>
      </c>
      <c r="M873" t="s">
        <v>25</v>
      </c>
    </row>
    <row r="874" spans="1:13" hidden="1" x14ac:dyDescent="0.25">
      <c r="A874" s="5">
        <v>45859</v>
      </c>
      <c r="B874" t="s">
        <v>568</v>
      </c>
      <c r="C874" t="s">
        <v>151</v>
      </c>
      <c r="D874" t="s">
        <v>152</v>
      </c>
      <c r="E874" t="str">
        <f t="shared" si="14"/>
        <v>VAR</v>
      </c>
      <c r="F874" t="s">
        <v>151</v>
      </c>
      <c r="G874" t="s">
        <v>151</v>
      </c>
      <c r="J874" t="s">
        <v>17</v>
      </c>
      <c r="K874" s="23">
        <v>-788.63</v>
      </c>
      <c r="L874" t="s">
        <v>24</v>
      </c>
      <c r="M874" t="s">
        <v>25</v>
      </c>
    </row>
    <row r="875" spans="1:13" hidden="1" x14ac:dyDescent="0.25">
      <c r="A875" s="5">
        <v>45859</v>
      </c>
      <c r="B875" t="s">
        <v>568</v>
      </c>
      <c r="C875" t="s">
        <v>170</v>
      </c>
      <c r="D875" t="s">
        <v>56</v>
      </c>
      <c r="E875" t="str">
        <f t="shared" si="14"/>
        <v>Honorários</v>
      </c>
      <c r="F875" t="s">
        <v>171</v>
      </c>
      <c r="G875" t="s">
        <v>171</v>
      </c>
      <c r="I875" t="s">
        <v>172</v>
      </c>
      <c r="J875" t="s">
        <v>17</v>
      </c>
      <c r="K875" s="23">
        <v>119.35</v>
      </c>
      <c r="L875" t="s">
        <v>18</v>
      </c>
      <c r="M875" t="s">
        <v>83</v>
      </c>
    </row>
    <row r="876" spans="1:13" hidden="1" x14ac:dyDescent="0.25">
      <c r="A876" s="5">
        <v>45860</v>
      </c>
      <c r="B876" t="s">
        <v>569</v>
      </c>
      <c r="C876" t="s">
        <v>578</v>
      </c>
      <c r="D876" t="s">
        <v>56</v>
      </c>
      <c r="E876" t="str">
        <f t="shared" si="14"/>
        <v>Honorários</v>
      </c>
      <c r="F876" t="s">
        <v>752</v>
      </c>
      <c r="G876" t="s">
        <v>752</v>
      </c>
      <c r="I876" t="s">
        <v>753</v>
      </c>
      <c r="J876" t="s">
        <v>143</v>
      </c>
      <c r="K876" s="23">
        <v>455.4</v>
      </c>
      <c r="L876" t="s">
        <v>18</v>
      </c>
      <c r="M876" t="s">
        <v>19</v>
      </c>
    </row>
    <row r="877" spans="1:13" hidden="1" x14ac:dyDescent="0.25">
      <c r="A877" s="5">
        <v>45860</v>
      </c>
      <c r="B877" t="s">
        <v>569</v>
      </c>
      <c r="C877" t="s">
        <v>754</v>
      </c>
      <c r="D877" t="s">
        <v>56</v>
      </c>
      <c r="E877" t="str">
        <f t="shared" si="14"/>
        <v>Honorários</v>
      </c>
      <c r="F877" t="s">
        <v>739</v>
      </c>
      <c r="G877" t="s">
        <v>739</v>
      </c>
      <c r="I877" t="s">
        <v>740</v>
      </c>
      <c r="J877" t="s">
        <v>143</v>
      </c>
      <c r="K877" s="23">
        <v>2000</v>
      </c>
      <c r="L877" t="s">
        <v>18</v>
      </c>
      <c r="M877" t="s">
        <v>19</v>
      </c>
    </row>
    <row r="878" spans="1:13" hidden="1" x14ac:dyDescent="0.25">
      <c r="A878" s="5">
        <v>45860</v>
      </c>
      <c r="B878" t="s">
        <v>569</v>
      </c>
      <c r="C878" t="s">
        <v>411</v>
      </c>
      <c r="D878" t="s">
        <v>56</v>
      </c>
      <c r="E878" t="str">
        <f t="shared" si="14"/>
        <v>Honorários</v>
      </c>
      <c r="F878" t="s">
        <v>412</v>
      </c>
      <c r="G878" t="s">
        <v>412</v>
      </c>
      <c r="I878" t="s">
        <v>196</v>
      </c>
      <c r="J878" t="s">
        <v>143</v>
      </c>
      <c r="K878" s="23">
        <v>300</v>
      </c>
      <c r="L878" t="s">
        <v>18</v>
      </c>
      <c r="M878" t="s">
        <v>19</v>
      </c>
    </row>
    <row r="879" spans="1:13" hidden="1" x14ac:dyDescent="0.25">
      <c r="A879" s="5">
        <v>45860</v>
      </c>
      <c r="B879" t="s">
        <v>568</v>
      </c>
      <c r="C879" t="s">
        <v>755</v>
      </c>
      <c r="D879" t="s">
        <v>56</v>
      </c>
      <c r="E879" t="str">
        <f t="shared" si="14"/>
        <v>Honorários</v>
      </c>
      <c r="F879" t="s">
        <v>756</v>
      </c>
      <c r="G879" t="s">
        <v>756</v>
      </c>
      <c r="I879" t="s">
        <v>757</v>
      </c>
      <c r="J879" t="s">
        <v>143</v>
      </c>
      <c r="K879" s="23">
        <v>4554</v>
      </c>
      <c r="L879" t="s">
        <v>18</v>
      </c>
      <c r="M879" t="s">
        <v>83</v>
      </c>
    </row>
    <row r="880" spans="1:13" hidden="1" x14ac:dyDescent="0.25">
      <c r="A880" s="5">
        <v>45861</v>
      </c>
      <c r="B880" t="s">
        <v>568</v>
      </c>
      <c r="C880" t="s">
        <v>758</v>
      </c>
      <c r="D880" t="s">
        <v>56</v>
      </c>
      <c r="E880" t="str">
        <f t="shared" si="14"/>
        <v>Honorários</v>
      </c>
      <c r="F880" t="s">
        <v>579</v>
      </c>
      <c r="G880" t="s">
        <v>579</v>
      </c>
      <c r="I880" t="s">
        <v>75</v>
      </c>
      <c r="J880" t="s">
        <v>143</v>
      </c>
      <c r="K880" s="23">
        <v>2682.46</v>
      </c>
      <c r="L880" t="s">
        <v>18</v>
      </c>
      <c r="M880" t="s">
        <v>19</v>
      </c>
    </row>
    <row r="881" spans="1:13" hidden="1" x14ac:dyDescent="0.25">
      <c r="A881" s="5">
        <v>45861</v>
      </c>
      <c r="B881" t="s">
        <v>569</v>
      </c>
      <c r="C881" t="s">
        <v>759</v>
      </c>
      <c r="D881" t="s">
        <v>300</v>
      </c>
      <c r="E881" t="str">
        <f t="shared" si="14"/>
        <v>VAR</v>
      </c>
      <c r="F881" t="s">
        <v>749</v>
      </c>
      <c r="G881" t="s">
        <v>749</v>
      </c>
      <c r="I881" t="s">
        <v>93</v>
      </c>
      <c r="J881" t="s">
        <v>143</v>
      </c>
      <c r="K881" s="23">
        <v>-454.4</v>
      </c>
      <c r="L881" t="s">
        <v>24</v>
      </c>
      <c r="M881" t="s">
        <v>25</v>
      </c>
    </row>
    <row r="882" spans="1:13" hidden="1" x14ac:dyDescent="0.25">
      <c r="A882" s="5">
        <v>45861</v>
      </c>
      <c r="B882" t="s">
        <v>569</v>
      </c>
      <c r="C882" t="s">
        <v>760</v>
      </c>
      <c r="D882" t="s">
        <v>56</v>
      </c>
      <c r="E882" t="str">
        <f t="shared" si="14"/>
        <v>Honorários</v>
      </c>
      <c r="F882" t="s">
        <v>761</v>
      </c>
      <c r="G882" t="s">
        <v>761</v>
      </c>
      <c r="I882" t="s">
        <v>607</v>
      </c>
      <c r="J882" t="s">
        <v>143</v>
      </c>
      <c r="K882" s="23">
        <v>1293.1199999999999</v>
      </c>
      <c r="L882" t="s">
        <v>18</v>
      </c>
      <c r="M882" t="s">
        <v>19</v>
      </c>
    </row>
    <row r="883" spans="1:13" hidden="1" x14ac:dyDescent="0.25">
      <c r="A883" s="5">
        <v>45861</v>
      </c>
      <c r="B883" t="s">
        <v>569</v>
      </c>
      <c r="C883" t="s">
        <v>640</v>
      </c>
      <c r="D883" t="s">
        <v>56</v>
      </c>
      <c r="E883" t="str">
        <f t="shared" si="14"/>
        <v>Honorários</v>
      </c>
      <c r="F883" t="s">
        <v>762</v>
      </c>
      <c r="G883" t="s">
        <v>762</v>
      </c>
      <c r="I883" t="s">
        <v>79</v>
      </c>
      <c r="J883" t="s">
        <v>143</v>
      </c>
      <c r="K883" s="23">
        <v>910</v>
      </c>
      <c r="L883" t="s">
        <v>18</v>
      </c>
      <c r="M883" t="s">
        <v>19</v>
      </c>
    </row>
    <row r="884" spans="1:13" hidden="1" x14ac:dyDescent="0.25">
      <c r="A884" s="5">
        <v>45861</v>
      </c>
      <c r="B884" t="s">
        <v>569</v>
      </c>
      <c r="C884" t="s">
        <v>763</v>
      </c>
      <c r="D884" t="s">
        <v>56</v>
      </c>
      <c r="E884" t="str">
        <f t="shared" si="14"/>
        <v>Honorários</v>
      </c>
      <c r="F884" t="s">
        <v>764</v>
      </c>
      <c r="G884" t="s">
        <v>764</v>
      </c>
      <c r="I884" t="s">
        <v>93</v>
      </c>
      <c r="J884" t="s">
        <v>143</v>
      </c>
      <c r="K884" s="23">
        <v>1000</v>
      </c>
      <c r="L884" t="s">
        <v>18</v>
      </c>
      <c r="M884" t="s">
        <v>19</v>
      </c>
    </row>
    <row r="885" spans="1:13" hidden="1" x14ac:dyDescent="0.25">
      <c r="A885" s="5">
        <v>45861</v>
      </c>
      <c r="B885" t="s">
        <v>568</v>
      </c>
      <c r="C885" t="s">
        <v>765</v>
      </c>
      <c r="D885" t="s">
        <v>56</v>
      </c>
      <c r="E885" t="str">
        <f t="shared" si="14"/>
        <v>Honorários</v>
      </c>
      <c r="F885" t="s">
        <v>766</v>
      </c>
      <c r="G885" t="s">
        <v>766</v>
      </c>
      <c r="I885" t="s">
        <v>75</v>
      </c>
      <c r="J885" t="s">
        <v>143</v>
      </c>
      <c r="K885" s="23">
        <v>462.44</v>
      </c>
      <c r="L885" t="s">
        <v>18</v>
      </c>
      <c r="M885" t="s">
        <v>19</v>
      </c>
    </row>
    <row r="886" spans="1:13" hidden="1" x14ac:dyDescent="0.25">
      <c r="A886" s="5">
        <v>45861</v>
      </c>
      <c r="B886" t="s">
        <v>569</v>
      </c>
      <c r="C886" t="s">
        <v>578</v>
      </c>
      <c r="D886" t="s">
        <v>56</v>
      </c>
      <c r="E886" t="str">
        <f t="shared" si="14"/>
        <v>Honorários</v>
      </c>
      <c r="F886" t="s">
        <v>767</v>
      </c>
      <c r="G886" t="s">
        <v>767</v>
      </c>
      <c r="I886" t="s">
        <v>768</v>
      </c>
      <c r="J886" t="s">
        <v>143</v>
      </c>
      <c r="K886" s="23">
        <v>910.8</v>
      </c>
      <c r="L886" t="s">
        <v>18</v>
      </c>
      <c r="M886" t="s">
        <v>19</v>
      </c>
    </row>
    <row r="887" spans="1:13" hidden="1" x14ac:dyDescent="0.25">
      <c r="A887" s="5">
        <v>45861</v>
      </c>
      <c r="B887" t="s">
        <v>568</v>
      </c>
      <c r="C887" t="s">
        <v>769</v>
      </c>
      <c r="D887" t="s">
        <v>56</v>
      </c>
      <c r="E887" t="str">
        <f t="shared" si="14"/>
        <v>Honorários</v>
      </c>
      <c r="F887" t="s">
        <v>577</v>
      </c>
      <c r="G887" t="s">
        <v>577</v>
      </c>
      <c r="I887" t="s">
        <v>82</v>
      </c>
      <c r="J887" t="s">
        <v>143</v>
      </c>
      <c r="K887" s="23">
        <v>4183.8</v>
      </c>
      <c r="L887" t="s">
        <v>18</v>
      </c>
      <c r="M887" t="s">
        <v>19</v>
      </c>
    </row>
    <row r="888" spans="1:13" hidden="1" x14ac:dyDescent="0.25">
      <c r="A888" s="5">
        <v>45863</v>
      </c>
      <c r="B888" t="s">
        <v>569</v>
      </c>
      <c r="C888" t="s">
        <v>770</v>
      </c>
      <c r="D888" t="s">
        <v>611</v>
      </c>
      <c r="E888" t="str">
        <f t="shared" si="14"/>
        <v>COM</v>
      </c>
      <c r="F888" t="s">
        <v>771</v>
      </c>
      <c r="G888" t="s">
        <v>771</v>
      </c>
      <c r="J888" t="s">
        <v>143</v>
      </c>
      <c r="K888" s="23">
        <v>-220.38</v>
      </c>
      <c r="L888" t="s">
        <v>24</v>
      </c>
      <c r="M888" t="s">
        <v>25</v>
      </c>
    </row>
    <row r="889" spans="1:13" hidden="1" x14ac:dyDescent="0.25">
      <c r="A889" s="5">
        <v>45863</v>
      </c>
      <c r="B889" t="s">
        <v>569</v>
      </c>
      <c r="C889" t="s">
        <v>772</v>
      </c>
      <c r="D889" t="s">
        <v>300</v>
      </c>
      <c r="E889" t="str">
        <f t="shared" si="14"/>
        <v>VAR</v>
      </c>
      <c r="F889" t="s">
        <v>208</v>
      </c>
      <c r="G889" t="s">
        <v>208</v>
      </c>
      <c r="J889" t="s">
        <v>143</v>
      </c>
      <c r="K889" s="23">
        <v>-100</v>
      </c>
      <c r="L889" t="s">
        <v>24</v>
      </c>
      <c r="M889" t="s">
        <v>25</v>
      </c>
    </row>
    <row r="890" spans="1:13" hidden="1" x14ac:dyDescent="0.25">
      <c r="A890" s="5">
        <v>45863</v>
      </c>
      <c r="B890" t="s">
        <v>569</v>
      </c>
      <c r="C890" t="s">
        <v>773</v>
      </c>
      <c r="D890" t="s">
        <v>28</v>
      </c>
      <c r="E890" t="str">
        <f t="shared" si="14"/>
        <v>ADM</v>
      </c>
      <c r="F890" t="s">
        <v>774</v>
      </c>
      <c r="G890" t="s">
        <v>774</v>
      </c>
      <c r="J890" t="s">
        <v>143</v>
      </c>
      <c r="K890" s="23">
        <v>-65.95</v>
      </c>
      <c r="L890" t="s">
        <v>24</v>
      </c>
      <c r="M890" t="s">
        <v>25</v>
      </c>
    </row>
    <row r="891" spans="1:13" hidden="1" x14ac:dyDescent="0.25">
      <c r="A891" s="5">
        <v>45863</v>
      </c>
      <c r="B891" t="s">
        <v>569</v>
      </c>
      <c r="C891" t="s">
        <v>773</v>
      </c>
      <c r="D891" t="s">
        <v>28</v>
      </c>
      <c r="E891" t="str">
        <f t="shared" si="14"/>
        <v>ADM</v>
      </c>
      <c r="F891" t="s">
        <v>540</v>
      </c>
      <c r="G891" t="s">
        <v>540</v>
      </c>
      <c r="J891" t="s">
        <v>143</v>
      </c>
      <c r="K891" s="23">
        <v>-41.43</v>
      </c>
      <c r="L891" t="s">
        <v>24</v>
      </c>
      <c r="M891" t="s">
        <v>25</v>
      </c>
    </row>
    <row r="892" spans="1:13" hidden="1" x14ac:dyDescent="0.25">
      <c r="A892" s="5">
        <v>45863</v>
      </c>
      <c r="B892" t="s">
        <v>569</v>
      </c>
      <c r="C892" t="s">
        <v>775</v>
      </c>
      <c r="D892" t="s">
        <v>56</v>
      </c>
      <c r="E892" t="str">
        <f t="shared" si="14"/>
        <v>Honorários</v>
      </c>
      <c r="F892" t="s">
        <v>776</v>
      </c>
      <c r="G892" t="s">
        <v>776</v>
      </c>
      <c r="I892" t="s">
        <v>777</v>
      </c>
      <c r="J892" t="s">
        <v>143</v>
      </c>
      <c r="K892" s="23">
        <v>168</v>
      </c>
      <c r="L892" t="s">
        <v>18</v>
      </c>
      <c r="M892" t="s">
        <v>19</v>
      </c>
    </row>
    <row r="893" spans="1:13" hidden="1" x14ac:dyDescent="0.25">
      <c r="A893" s="5">
        <v>45863</v>
      </c>
      <c r="B893" t="s">
        <v>569</v>
      </c>
      <c r="C893" t="s">
        <v>584</v>
      </c>
      <c r="D893" t="s">
        <v>99</v>
      </c>
      <c r="E893" t="str">
        <f t="shared" si="14"/>
        <v>ADM</v>
      </c>
      <c r="F893" t="s">
        <v>100</v>
      </c>
      <c r="G893" t="s">
        <v>100</v>
      </c>
      <c r="J893" t="s">
        <v>143</v>
      </c>
      <c r="K893" s="23">
        <v>-340</v>
      </c>
      <c r="L893" t="s">
        <v>24</v>
      </c>
      <c r="M893" t="s">
        <v>25</v>
      </c>
    </row>
    <row r="894" spans="1:13" hidden="1" x14ac:dyDescent="0.25">
      <c r="A894" s="5">
        <v>45867</v>
      </c>
      <c r="B894" t="s">
        <v>568</v>
      </c>
      <c r="C894" t="s">
        <v>778</v>
      </c>
      <c r="D894" t="s">
        <v>308</v>
      </c>
      <c r="E894" t="str">
        <f t="shared" si="14"/>
        <v>T&amp;O</v>
      </c>
      <c r="F894" t="s">
        <v>303</v>
      </c>
      <c r="G894" t="s">
        <v>303</v>
      </c>
      <c r="J894" t="s">
        <v>143</v>
      </c>
      <c r="K894" s="23">
        <v>-223.9</v>
      </c>
      <c r="L894" t="s">
        <v>24</v>
      </c>
      <c r="M894" t="s">
        <v>25</v>
      </c>
    </row>
    <row r="895" spans="1:13" hidden="1" x14ac:dyDescent="0.25">
      <c r="A895" s="5">
        <v>45867</v>
      </c>
      <c r="B895" t="s">
        <v>569</v>
      </c>
      <c r="C895" t="s">
        <v>779</v>
      </c>
      <c r="D895" t="s">
        <v>626</v>
      </c>
      <c r="E895" t="str">
        <f>IF(ISERROR(FIND("-",D895,1)),D895,LEFT(D895,3))</f>
        <v>Reembolso</v>
      </c>
      <c r="F895" t="s">
        <v>327</v>
      </c>
      <c r="G895" t="s">
        <v>327</v>
      </c>
      <c r="J895" t="s">
        <v>143</v>
      </c>
      <c r="K895" s="23">
        <v>-278.06</v>
      </c>
      <c r="L895" t="s">
        <v>24</v>
      </c>
      <c r="M895" t="s">
        <v>25</v>
      </c>
    </row>
    <row r="896" spans="1:13" hidden="1" x14ac:dyDescent="0.25">
      <c r="A896" s="5">
        <v>45867</v>
      </c>
      <c r="B896" t="s">
        <v>568</v>
      </c>
      <c r="C896" t="s">
        <v>780</v>
      </c>
      <c r="D896" t="s">
        <v>149</v>
      </c>
      <c r="E896" t="str">
        <f t="shared" si="14"/>
        <v>ADM</v>
      </c>
      <c r="F896" t="s">
        <v>781</v>
      </c>
      <c r="G896" t="s">
        <v>781</v>
      </c>
      <c r="J896" t="s">
        <v>143</v>
      </c>
      <c r="K896" s="23">
        <v>-2360</v>
      </c>
      <c r="L896" t="s">
        <v>24</v>
      </c>
      <c r="M896" t="s">
        <v>25</v>
      </c>
    </row>
    <row r="897" spans="1:13" hidden="1" x14ac:dyDescent="0.25">
      <c r="A897" s="5">
        <v>45867</v>
      </c>
      <c r="B897" t="s">
        <v>569</v>
      </c>
      <c r="C897" t="s">
        <v>782</v>
      </c>
      <c r="D897" t="s">
        <v>56</v>
      </c>
      <c r="E897" t="str">
        <f t="shared" si="14"/>
        <v>Honorários</v>
      </c>
      <c r="F897" t="s">
        <v>783</v>
      </c>
      <c r="G897" t="s">
        <v>783</v>
      </c>
      <c r="I897" t="s">
        <v>75</v>
      </c>
      <c r="J897" t="s">
        <v>143</v>
      </c>
      <c r="K897" s="23">
        <v>819.3</v>
      </c>
      <c r="L897" t="s">
        <v>18</v>
      </c>
      <c r="M897" t="s">
        <v>19</v>
      </c>
    </row>
    <row r="898" spans="1:13" hidden="1" x14ac:dyDescent="0.25">
      <c r="A898" s="5">
        <v>45868</v>
      </c>
      <c r="B898" t="s">
        <v>569</v>
      </c>
      <c r="C898" t="s">
        <v>578</v>
      </c>
      <c r="D898" t="s">
        <v>56</v>
      </c>
      <c r="E898" t="str">
        <f t="shared" si="14"/>
        <v>Honorários</v>
      </c>
      <c r="F898" t="s">
        <v>784</v>
      </c>
      <c r="G898" t="s">
        <v>784</v>
      </c>
      <c r="I898" t="s">
        <v>75</v>
      </c>
      <c r="J898" t="s">
        <v>143</v>
      </c>
      <c r="K898" s="23">
        <v>495</v>
      </c>
      <c r="L898" t="s">
        <v>18</v>
      </c>
      <c r="M898" t="s">
        <v>19</v>
      </c>
    </row>
    <row r="899" spans="1:13" hidden="1" x14ac:dyDescent="0.25">
      <c r="A899" s="5">
        <v>45868</v>
      </c>
      <c r="B899" t="s">
        <v>568</v>
      </c>
      <c r="C899" t="s">
        <v>709</v>
      </c>
      <c r="D899" t="s">
        <v>56</v>
      </c>
      <c r="E899" t="str">
        <f t="shared" si="14"/>
        <v>Honorários</v>
      </c>
      <c r="F899" t="s">
        <v>710</v>
      </c>
      <c r="G899" t="s">
        <v>710</v>
      </c>
      <c r="I899" t="s">
        <v>711</v>
      </c>
      <c r="J899" t="s">
        <v>143</v>
      </c>
      <c r="K899" s="23">
        <v>756.15</v>
      </c>
      <c r="L899" t="s">
        <v>18</v>
      </c>
      <c r="M899" t="s">
        <v>19</v>
      </c>
    </row>
    <row r="900" spans="1:13" hidden="1" x14ac:dyDescent="0.25">
      <c r="A900" s="5">
        <v>45868</v>
      </c>
      <c r="B900" t="s">
        <v>568</v>
      </c>
      <c r="C900" t="s">
        <v>478</v>
      </c>
      <c r="D900" t="s">
        <v>191</v>
      </c>
      <c r="E900" t="str">
        <f t="shared" si="14"/>
        <v>ADM</v>
      </c>
      <c r="F900" t="s">
        <v>380</v>
      </c>
      <c r="G900" t="s">
        <v>380</v>
      </c>
      <c r="J900" t="s">
        <v>17</v>
      </c>
      <c r="K900" s="23">
        <v>-323.64</v>
      </c>
      <c r="L900" t="s">
        <v>24</v>
      </c>
      <c r="M900" t="s">
        <v>25</v>
      </c>
    </row>
    <row r="901" spans="1:13" hidden="1" x14ac:dyDescent="0.25">
      <c r="A901" s="5">
        <v>45868</v>
      </c>
      <c r="B901" t="s">
        <v>568</v>
      </c>
      <c r="C901" t="s">
        <v>578</v>
      </c>
      <c r="D901" t="s">
        <v>56</v>
      </c>
      <c r="E901" t="str">
        <f t="shared" si="14"/>
        <v>Honorários</v>
      </c>
      <c r="F901" t="s">
        <v>785</v>
      </c>
      <c r="G901" t="s">
        <v>785</v>
      </c>
      <c r="I901" t="s">
        <v>75</v>
      </c>
      <c r="J901" t="s">
        <v>143</v>
      </c>
      <c r="K901" s="23">
        <v>623</v>
      </c>
      <c r="L901" t="s">
        <v>18</v>
      </c>
      <c r="M901" t="s">
        <v>83</v>
      </c>
    </row>
    <row r="902" spans="1:13" hidden="1" x14ac:dyDescent="0.25">
      <c r="A902" s="5">
        <v>45868</v>
      </c>
      <c r="B902" t="s">
        <v>568</v>
      </c>
      <c r="C902" t="s">
        <v>481</v>
      </c>
      <c r="D902" t="s">
        <v>191</v>
      </c>
      <c r="E902" t="str">
        <f t="shared" si="14"/>
        <v>ADM</v>
      </c>
      <c r="F902" t="s">
        <v>371</v>
      </c>
      <c r="G902" t="s">
        <v>371</v>
      </c>
      <c r="J902" t="s">
        <v>17</v>
      </c>
      <c r="K902" s="23">
        <v>-339.2</v>
      </c>
      <c r="L902" t="s">
        <v>24</v>
      </c>
      <c r="M902" t="s">
        <v>25</v>
      </c>
    </row>
    <row r="903" spans="1:13" hidden="1" x14ac:dyDescent="0.25">
      <c r="A903" s="5">
        <v>45869</v>
      </c>
      <c r="B903" t="s">
        <v>568</v>
      </c>
      <c r="C903" t="s">
        <v>200</v>
      </c>
      <c r="D903" t="s">
        <v>201</v>
      </c>
      <c r="E903" t="str">
        <f t="shared" ref="E903:E966" si="15">IF(OR(D903="Honorários",D903="Despesa do cliente"),D903,LEFT(D903,3))</f>
        <v>DIR</v>
      </c>
      <c r="F903" t="s">
        <v>67</v>
      </c>
      <c r="G903" t="s">
        <v>67</v>
      </c>
      <c r="J903" t="s">
        <v>17</v>
      </c>
      <c r="K903" s="23">
        <v>-5000</v>
      </c>
      <c r="L903" t="s">
        <v>24</v>
      </c>
      <c r="M903" t="s">
        <v>25</v>
      </c>
    </row>
    <row r="904" spans="1:13" hidden="1" x14ac:dyDescent="0.25">
      <c r="A904" s="5">
        <v>45869</v>
      </c>
      <c r="B904" t="s">
        <v>568</v>
      </c>
      <c r="C904" t="s">
        <v>484</v>
      </c>
      <c r="D904" t="s">
        <v>207</v>
      </c>
      <c r="E904" t="str">
        <f t="shared" si="15"/>
        <v>DIR</v>
      </c>
      <c r="F904" t="s">
        <v>54</v>
      </c>
      <c r="G904" t="s">
        <v>54</v>
      </c>
      <c r="J904" t="s">
        <v>17</v>
      </c>
      <c r="K904" s="23">
        <v>-1351.02</v>
      </c>
      <c r="L904" t="s">
        <v>24</v>
      </c>
      <c r="M904" t="s">
        <v>25</v>
      </c>
    </row>
    <row r="905" spans="1:13" hidden="1" x14ac:dyDescent="0.25">
      <c r="A905" s="5">
        <v>45869</v>
      </c>
      <c r="B905" t="s">
        <v>569</v>
      </c>
      <c r="C905" t="s">
        <v>272</v>
      </c>
      <c r="D905" t="s">
        <v>198</v>
      </c>
      <c r="E905" t="str">
        <f t="shared" si="15"/>
        <v>PES</v>
      </c>
      <c r="F905" t="s">
        <v>209</v>
      </c>
      <c r="G905" t="s">
        <v>209</v>
      </c>
      <c r="J905" t="s">
        <v>17</v>
      </c>
      <c r="K905" s="23">
        <v>-3200</v>
      </c>
      <c r="L905" t="s">
        <v>24</v>
      </c>
      <c r="M905" t="s">
        <v>25</v>
      </c>
    </row>
    <row r="906" spans="1:13" hidden="1" x14ac:dyDescent="0.25">
      <c r="A906" s="5">
        <v>45869</v>
      </c>
      <c r="B906" t="s">
        <v>569</v>
      </c>
      <c r="C906" t="s">
        <v>786</v>
      </c>
      <c r="D906" t="s">
        <v>300</v>
      </c>
      <c r="E906" t="str">
        <f t="shared" si="15"/>
        <v>VAR</v>
      </c>
      <c r="F906" t="s">
        <v>645</v>
      </c>
      <c r="G906" t="s">
        <v>645</v>
      </c>
      <c r="J906" t="s">
        <v>143</v>
      </c>
      <c r="K906" s="23">
        <v>-300</v>
      </c>
      <c r="L906" t="s">
        <v>24</v>
      </c>
      <c r="M906" t="s">
        <v>25</v>
      </c>
    </row>
    <row r="907" spans="1:13" hidden="1" x14ac:dyDescent="0.25">
      <c r="A907" s="5">
        <v>45869</v>
      </c>
      <c r="B907" t="s">
        <v>569</v>
      </c>
      <c r="C907" t="s">
        <v>786</v>
      </c>
      <c r="D907" t="s">
        <v>300</v>
      </c>
      <c r="E907" t="str">
        <f t="shared" si="15"/>
        <v>VAR</v>
      </c>
      <c r="F907" t="s">
        <v>54</v>
      </c>
      <c r="G907" t="s">
        <v>54</v>
      </c>
      <c r="J907" t="s">
        <v>143</v>
      </c>
      <c r="K907" s="23">
        <v>-300</v>
      </c>
      <c r="L907" t="s">
        <v>24</v>
      </c>
      <c r="M907" t="s">
        <v>25</v>
      </c>
    </row>
    <row r="908" spans="1:13" hidden="1" x14ac:dyDescent="0.25">
      <c r="A908" s="5">
        <v>45869</v>
      </c>
      <c r="B908" t="s">
        <v>569</v>
      </c>
      <c r="C908" t="s">
        <v>272</v>
      </c>
      <c r="D908" t="s">
        <v>198</v>
      </c>
      <c r="E908" t="str">
        <f t="shared" si="15"/>
        <v>PES</v>
      </c>
      <c r="F908" t="s">
        <v>203</v>
      </c>
      <c r="G908" t="s">
        <v>203</v>
      </c>
      <c r="J908" t="s">
        <v>143</v>
      </c>
      <c r="K908" s="23">
        <v>-1518</v>
      </c>
      <c r="L908" t="s">
        <v>24</v>
      </c>
      <c r="M908" t="s">
        <v>25</v>
      </c>
    </row>
    <row r="909" spans="1:13" hidden="1" x14ac:dyDescent="0.25">
      <c r="A909" s="5">
        <v>45869</v>
      </c>
      <c r="B909" t="s">
        <v>569</v>
      </c>
      <c r="C909" t="s">
        <v>787</v>
      </c>
      <c r="D909" t="s">
        <v>28</v>
      </c>
      <c r="E909" t="str">
        <f t="shared" si="15"/>
        <v>ADM</v>
      </c>
      <c r="F909" t="s">
        <v>540</v>
      </c>
      <c r="G909" t="s">
        <v>540</v>
      </c>
      <c r="J909" t="s">
        <v>143</v>
      </c>
      <c r="K909" s="23">
        <v>-111.11</v>
      </c>
      <c r="L909" t="s">
        <v>24</v>
      </c>
      <c r="M909" t="s">
        <v>25</v>
      </c>
    </row>
    <row r="910" spans="1:13" hidden="1" x14ac:dyDescent="0.25">
      <c r="A910" s="5">
        <v>45869</v>
      </c>
      <c r="B910" t="s">
        <v>568</v>
      </c>
      <c r="C910" t="s">
        <v>272</v>
      </c>
      <c r="D910" t="s">
        <v>198</v>
      </c>
      <c r="E910" t="str">
        <f t="shared" si="15"/>
        <v>PES</v>
      </c>
      <c r="F910" t="s">
        <v>645</v>
      </c>
      <c r="G910" t="s">
        <v>645</v>
      </c>
      <c r="J910" t="s">
        <v>143</v>
      </c>
      <c r="K910" s="23">
        <v>-2339.41</v>
      </c>
      <c r="L910" t="s">
        <v>24</v>
      </c>
      <c r="M910" t="s">
        <v>25</v>
      </c>
    </row>
    <row r="911" spans="1:13" hidden="1" x14ac:dyDescent="0.25">
      <c r="A911" s="5">
        <v>45869</v>
      </c>
      <c r="B911" t="s">
        <v>568</v>
      </c>
      <c r="C911" t="s">
        <v>204</v>
      </c>
      <c r="D911" t="s">
        <v>128</v>
      </c>
      <c r="E911" t="str">
        <f t="shared" si="15"/>
        <v>PES</v>
      </c>
      <c r="F911" t="s">
        <v>208</v>
      </c>
      <c r="G911" t="s">
        <v>208</v>
      </c>
      <c r="J911" t="s">
        <v>17</v>
      </c>
      <c r="K911" s="23">
        <v>-1300</v>
      </c>
      <c r="L911" t="s">
        <v>24</v>
      </c>
      <c r="M911" t="s">
        <v>25</v>
      </c>
    </row>
    <row r="912" spans="1:13" hidden="1" x14ac:dyDescent="0.25">
      <c r="A912" s="5">
        <v>45869</v>
      </c>
      <c r="B912" t="s">
        <v>568</v>
      </c>
      <c r="C912" t="s">
        <v>200</v>
      </c>
      <c r="D912" t="s">
        <v>201</v>
      </c>
      <c r="E912" t="str">
        <f t="shared" si="15"/>
        <v>DIR</v>
      </c>
      <c r="F912" t="s">
        <v>54</v>
      </c>
      <c r="G912" t="s">
        <v>54</v>
      </c>
      <c r="J912" t="s">
        <v>17</v>
      </c>
      <c r="K912" s="23">
        <v>-6148.98</v>
      </c>
      <c r="L912" t="s">
        <v>24</v>
      </c>
      <c r="M912" t="s">
        <v>25</v>
      </c>
    </row>
    <row r="913" spans="1:14" hidden="1" x14ac:dyDescent="0.25">
      <c r="A913" s="5">
        <v>45869</v>
      </c>
      <c r="B913" t="s">
        <v>569</v>
      </c>
      <c r="C913" t="s">
        <v>786</v>
      </c>
      <c r="D913" t="s">
        <v>300</v>
      </c>
      <c r="E913" t="str">
        <f t="shared" si="15"/>
        <v>VAR</v>
      </c>
      <c r="F913" t="s">
        <v>209</v>
      </c>
      <c r="G913" t="s">
        <v>209</v>
      </c>
      <c r="J913" t="s">
        <v>143</v>
      </c>
      <c r="K913" s="23">
        <v>-300</v>
      </c>
      <c r="L913" t="s">
        <v>24</v>
      </c>
      <c r="M913" t="s">
        <v>25</v>
      </c>
    </row>
    <row r="914" spans="1:14" hidden="1" x14ac:dyDescent="0.25">
      <c r="A914" s="5">
        <v>45869</v>
      </c>
      <c r="B914" t="s">
        <v>568</v>
      </c>
      <c r="C914" t="s">
        <v>657</v>
      </c>
      <c r="D914" t="s">
        <v>658</v>
      </c>
      <c r="E914" t="str">
        <f t="shared" si="15"/>
        <v>INV</v>
      </c>
      <c r="F914" t="s">
        <v>788</v>
      </c>
      <c r="G914" t="s">
        <v>788</v>
      </c>
      <c r="J914" t="s">
        <v>143</v>
      </c>
      <c r="K914" s="23">
        <v>11.57</v>
      </c>
      <c r="L914" t="s">
        <v>18</v>
      </c>
      <c r="M914" t="s">
        <v>19</v>
      </c>
    </row>
    <row r="915" spans="1:14" hidden="1" x14ac:dyDescent="0.25">
      <c r="A915" s="5">
        <v>45869</v>
      </c>
      <c r="B915" t="s">
        <v>568</v>
      </c>
      <c r="C915" t="s">
        <v>272</v>
      </c>
      <c r="D915" t="s">
        <v>198</v>
      </c>
      <c r="E915" t="str">
        <f t="shared" si="15"/>
        <v>PES</v>
      </c>
      <c r="F915" t="s">
        <v>199</v>
      </c>
      <c r="G915" t="s">
        <v>199</v>
      </c>
      <c r="J915" t="s">
        <v>17</v>
      </c>
      <c r="K915" s="23">
        <v>-3381.96</v>
      </c>
      <c r="L915" t="s">
        <v>24</v>
      </c>
      <c r="M915" t="s">
        <v>25</v>
      </c>
    </row>
    <row r="916" spans="1:14" hidden="1" x14ac:dyDescent="0.25">
      <c r="A916" s="5">
        <v>45869</v>
      </c>
      <c r="B916" t="s">
        <v>569</v>
      </c>
      <c r="C916" t="s">
        <v>789</v>
      </c>
      <c r="D916" t="s">
        <v>626</v>
      </c>
      <c r="E916" t="str">
        <f>IF(ISERROR(FIND("-",D916,1)),D916,LEFT(D916,3))</f>
        <v>Reembolso</v>
      </c>
      <c r="F916" t="s">
        <v>304</v>
      </c>
      <c r="G916" t="s">
        <v>304</v>
      </c>
      <c r="J916" t="s">
        <v>143</v>
      </c>
      <c r="K916" s="23">
        <v>22.36</v>
      </c>
      <c r="L916" t="s">
        <v>18</v>
      </c>
      <c r="M916" t="s">
        <v>19</v>
      </c>
    </row>
    <row r="917" spans="1:14" hidden="1" x14ac:dyDescent="0.25">
      <c r="A917" s="5">
        <v>45869</v>
      </c>
      <c r="B917" t="s">
        <v>569</v>
      </c>
      <c r="C917" t="s">
        <v>786</v>
      </c>
      <c r="D917" t="s">
        <v>300</v>
      </c>
      <c r="E917" t="str">
        <f t="shared" si="15"/>
        <v>VAR</v>
      </c>
      <c r="F917" t="s">
        <v>67</v>
      </c>
      <c r="G917" t="s">
        <v>67</v>
      </c>
      <c r="J917" t="s">
        <v>143</v>
      </c>
      <c r="K917" s="23">
        <v>-300</v>
      </c>
      <c r="L917" t="s">
        <v>24</v>
      </c>
      <c r="M917" t="s">
        <v>25</v>
      </c>
    </row>
    <row r="918" spans="1:14" hidden="1" x14ac:dyDescent="0.25">
      <c r="A918" s="5">
        <v>45869</v>
      </c>
      <c r="B918" t="s">
        <v>569</v>
      </c>
      <c r="C918" t="s">
        <v>786</v>
      </c>
      <c r="D918" t="s">
        <v>300</v>
      </c>
      <c r="E918" t="str">
        <f t="shared" si="15"/>
        <v>VAR</v>
      </c>
      <c r="F918" t="s">
        <v>304</v>
      </c>
      <c r="G918" t="s">
        <v>304</v>
      </c>
      <c r="J918" t="s">
        <v>143</v>
      </c>
      <c r="K918" s="23">
        <v>-300</v>
      </c>
      <c r="L918" t="s">
        <v>24</v>
      </c>
      <c r="M918" t="s">
        <v>25</v>
      </c>
    </row>
    <row r="919" spans="1:14" hidden="1" x14ac:dyDescent="0.25">
      <c r="A919" s="5">
        <v>45869</v>
      </c>
      <c r="B919" t="s">
        <v>569</v>
      </c>
      <c r="C919" t="s">
        <v>790</v>
      </c>
      <c r="D919" t="s">
        <v>300</v>
      </c>
      <c r="E919" t="str">
        <f t="shared" si="15"/>
        <v>VAR</v>
      </c>
      <c r="F919" t="s">
        <v>208</v>
      </c>
      <c r="G919" t="s">
        <v>208</v>
      </c>
      <c r="J919" t="s">
        <v>143</v>
      </c>
      <c r="K919" s="23">
        <v>-300</v>
      </c>
      <c r="L919" t="s">
        <v>24</v>
      </c>
      <c r="M919" t="s">
        <v>25</v>
      </c>
    </row>
    <row r="920" spans="1:14" hidden="1" x14ac:dyDescent="0.25">
      <c r="A920" s="5">
        <v>45870</v>
      </c>
      <c r="B920" t="s">
        <v>569</v>
      </c>
      <c r="C920" t="s">
        <v>792</v>
      </c>
      <c r="D920" t="s">
        <v>28</v>
      </c>
      <c r="E920" t="str">
        <f t="shared" si="15"/>
        <v>ADM</v>
      </c>
      <c r="F920" t="s">
        <v>793</v>
      </c>
      <c r="G920" t="s">
        <v>793</v>
      </c>
      <c r="J920" t="s">
        <v>143</v>
      </c>
      <c r="K920" s="23">
        <v>-368.61</v>
      </c>
      <c r="L920" t="s">
        <v>24</v>
      </c>
      <c r="M920" t="s">
        <v>25</v>
      </c>
      <c r="N920">
        <v>1</v>
      </c>
    </row>
    <row r="921" spans="1:14" hidden="1" x14ac:dyDescent="0.25">
      <c r="A921" s="5">
        <v>45870</v>
      </c>
      <c r="B921" t="s">
        <v>33</v>
      </c>
      <c r="C921" t="s">
        <v>676</v>
      </c>
      <c r="D921" s="18" t="s">
        <v>149</v>
      </c>
      <c r="E921" t="str">
        <f t="shared" si="15"/>
        <v>ADM</v>
      </c>
      <c r="F921" t="s">
        <v>23</v>
      </c>
      <c r="G921" t="s">
        <v>23</v>
      </c>
      <c r="J921" t="s">
        <v>143</v>
      </c>
      <c r="K921" s="23">
        <v>-394</v>
      </c>
      <c r="L921" t="s">
        <v>24</v>
      </c>
      <c r="M921" t="s">
        <v>25</v>
      </c>
    </row>
    <row r="922" spans="1:14" hidden="1" x14ac:dyDescent="0.25">
      <c r="A922" s="5">
        <v>45870</v>
      </c>
      <c r="B922" t="s">
        <v>20</v>
      </c>
      <c r="C922" t="s">
        <v>37</v>
      </c>
      <c r="D922" t="s">
        <v>30</v>
      </c>
      <c r="E922" t="str">
        <f t="shared" si="15"/>
        <v>ADM</v>
      </c>
      <c r="F922" t="s">
        <v>23</v>
      </c>
      <c r="G922" t="s">
        <v>23</v>
      </c>
      <c r="J922" t="s">
        <v>17</v>
      </c>
      <c r="K922" s="23">
        <v>-80.91</v>
      </c>
      <c r="L922" t="s">
        <v>24</v>
      </c>
      <c r="M922" t="s">
        <v>25</v>
      </c>
    </row>
    <row r="923" spans="1:14" hidden="1" x14ac:dyDescent="0.25">
      <c r="A923" s="5">
        <v>45870</v>
      </c>
      <c r="B923" t="s">
        <v>20</v>
      </c>
      <c r="C923" t="s">
        <v>794</v>
      </c>
      <c r="D923" t="s">
        <v>28</v>
      </c>
      <c r="E923" t="str">
        <f t="shared" si="15"/>
        <v>ADM</v>
      </c>
      <c r="F923" t="s">
        <v>788</v>
      </c>
      <c r="G923" t="s">
        <v>788</v>
      </c>
      <c r="J923" t="s">
        <v>143</v>
      </c>
      <c r="K923" s="23">
        <v>-60.39</v>
      </c>
      <c r="L923" t="s">
        <v>24</v>
      </c>
      <c r="M923" t="s">
        <v>25</v>
      </c>
    </row>
    <row r="924" spans="1:14" hidden="1" x14ac:dyDescent="0.25">
      <c r="A924" s="5">
        <v>45870</v>
      </c>
      <c r="B924" t="s">
        <v>569</v>
      </c>
      <c r="C924" t="s">
        <v>718</v>
      </c>
      <c r="D924" t="s">
        <v>56</v>
      </c>
      <c r="E924" t="str">
        <f t="shared" si="15"/>
        <v>Honorários</v>
      </c>
      <c r="F924" t="s">
        <v>81</v>
      </c>
      <c r="G924" t="s">
        <v>81</v>
      </c>
      <c r="I924" t="s">
        <v>82</v>
      </c>
      <c r="J924" t="s">
        <v>143</v>
      </c>
      <c r="K924" s="23">
        <v>500</v>
      </c>
      <c r="L924" t="s">
        <v>18</v>
      </c>
      <c r="M924" t="s">
        <v>19</v>
      </c>
    </row>
    <row r="925" spans="1:14" hidden="1" x14ac:dyDescent="0.25">
      <c r="A925" s="5">
        <v>45870</v>
      </c>
      <c r="B925" t="s">
        <v>569</v>
      </c>
      <c r="C925" t="s">
        <v>792</v>
      </c>
      <c r="D925" t="s">
        <v>28</v>
      </c>
      <c r="E925" t="str">
        <f t="shared" si="15"/>
        <v>ADM</v>
      </c>
      <c r="F925" t="s">
        <v>793</v>
      </c>
      <c r="G925" t="s">
        <v>793</v>
      </c>
      <c r="J925" t="s">
        <v>143</v>
      </c>
      <c r="K925" s="23">
        <v>-25</v>
      </c>
      <c r="L925" t="s">
        <v>24</v>
      </c>
      <c r="M925" t="s">
        <v>25</v>
      </c>
    </row>
    <row r="926" spans="1:14" hidden="1" x14ac:dyDescent="0.25">
      <c r="A926" s="5">
        <v>45870</v>
      </c>
      <c r="B926" t="s">
        <v>20</v>
      </c>
      <c r="C926" t="s">
        <v>32</v>
      </c>
      <c r="D926" t="s">
        <v>30</v>
      </c>
      <c r="E926" t="str">
        <f t="shared" si="15"/>
        <v>ADM</v>
      </c>
      <c r="F926" t="s">
        <v>23</v>
      </c>
      <c r="G926" t="s">
        <v>23</v>
      </c>
      <c r="J926" t="s">
        <v>17</v>
      </c>
      <c r="K926" s="23">
        <v>-58.9</v>
      </c>
      <c r="L926" t="s">
        <v>24</v>
      </c>
      <c r="M926" t="s">
        <v>25</v>
      </c>
    </row>
    <row r="927" spans="1:14" hidden="1" x14ac:dyDescent="0.25">
      <c r="A927" s="5">
        <v>45870</v>
      </c>
      <c r="B927" t="s">
        <v>20</v>
      </c>
      <c r="C927" t="s">
        <v>573</v>
      </c>
      <c r="D927" t="s">
        <v>382</v>
      </c>
      <c r="E927" t="str">
        <f t="shared" si="15"/>
        <v>PES</v>
      </c>
      <c r="F927" t="s">
        <v>23</v>
      </c>
      <c r="G927" t="s">
        <v>23</v>
      </c>
      <c r="J927" t="s">
        <v>143</v>
      </c>
      <c r="K927" s="23">
        <v>-59.9</v>
      </c>
      <c r="L927" t="s">
        <v>24</v>
      </c>
      <c r="M927" t="s">
        <v>25</v>
      </c>
    </row>
    <row r="928" spans="1:14" hidden="1" x14ac:dyDescent="0.25">
      <c r="A928" s="5">
        <v>45870</v>
      </c>
      <c r="B928" t="s">
        <v>568</v>
      </c>
      <c r="C928" t="s">
        <v>61</v>
      </c>
      <c r="D928" t="s">
        <v>62</v>
      </c>
      <c r="E928" t="str">
        <f t="shared" si="15"/>
        <v>INV</v>
      </c>
      <c r="F928" t="s">
        <v>63</v>
      </c>
      <c r="G928" t="s">
        <v>63</v>
      </c>
      <c r="J928" t="s">
        <v>17</v>
      </c>
      <c r="K928" s="23">
        <v>-1750</v>
      </c>
      <c r="L928" t="s">
        <v>24</v>
      </c>
      <c r="M928" t="s">
        <v>25</v>
      </c>
    </row>
    <row r="929" spans="1:13" hidden="1" x14ac:dyDescent="0.25">
      <c r="A929" s="5">
        <v>45870</v>
      </c>
      <c r="B929" t="s">
        <v>569</v>
      </c>
      <c r="C929" t="s">
        <v>745</v>
      </c>
      <c r="D929" t="s">
        <v>56</v>
      </c>
      <c r="E929" t="str">
        <f t="shared" si="15"/>
        <v>Honorários</v>
      </c>
      <c r="F929" t="s">
        <v>746</v>
      </c>
      <c r="G929" t="s">
        <v>746</v>
      </c>
      <c r="I929" t="s">
        <v>747</v>
      </c>
      <c r="J929" t="s">
        <v>143</v>
      </c>
      <c r="K929" s="23">
        <v>759</v>
      </c>
      <c r="L929" t="s">
        <v>18</v>
      </c>
      <c r="M929" t="s">
        <v>19</v>
      </c>
    </row>
    <row r="930" spans="1:13" hidden="1" x14ac:dyDescent="0.25">
      <c r="A930" s="5">
        <v>45870</v>
      </c>
      <c r="B930" t="s">
        <v>33</v>
      </c>
      <c r="C930" t="s">
        <v>677</v>
      </c>
      <c r="D930" t="s">
        <v>15</v>
      </c>
      <c r="E930" t="str">
        <f t="shared" si="15"/>
        <v>ADM</v>
      </c>
      <c r="F930" t="s">
        <v>23</v>
      </c>
      <c r="G930" t="s">
        <v>23</v>
      </c>
      <c r="J930" t="s">
        <v>143</v>
      </c>
      <c r="K930" s="23">
        <v>-224.99</v>
      </c>
      <c r="L930" t="s">
        <v>24</v>
      </c>
      <c r="M930" t="s">
        <v>25</v>
      </c>
    </row>
    <row r="931" spans="1:13" hidden="1" x14ac:dyDescent="0.25">
      <c r="A931" s="5">
        <v>45870</v>
      </c>
      <c r="B931" t="s">
        <v>569</v>
      </c>
      <c r="C931" t="s">
        <v>795</v>
      </c>
      <c r="D931" t="s">
        <v>56</v>
      </c>
      <c r="E931" t="str">
        <f t="shared" si="15"/>
        <v>Honorários</v>
      </c>
      <c r="F931" t="s">
        <v>637</v>
      </c>
      <c r="G931" t="s">
        <v>637</v>
      </c>
      <c r="I931" t="s">
        <v>796</v>
      </c>
      <c r="J931" t="s">
        <v>143</v>
      </c>
      <c r="K931" s="23">
        <v>4554.28</v>
      </c>
      <c r="L931" t="s">
        <v>18</v>
      </c>
      <c r="M931" t="s">
        <v>19</v>
      </c>
    </row>
    <row r="932" spans="1:13" hidden="1" x14ac:dyDescent="0.25">
      <c r="A932" s="5">
        <v>45870</v>
      </c>
      <c r="B932" t="s">
        <v>20</v>
      </c>
      <c r="C932" t="s">
        <v>713</v>
      </c>
      <c r="D932" t="s">
        <v>89</v>
      </c>
      <c r="E932" t="str">
        <f t="shared" si="15"/>
        <v>ADM</v>
      </c>
      <c r="F932" t="s">
        <v>788</v>
      </c>
      <c r="G932" t="s">
        <v>788</v>
      </c>
      <c r="J932" t="s">
        <v>143</v>
      </c>
      <c r="K932" s="23">
        <v>-120</v>
      </c>
      <c r="L932" t="s">
        <v>24</v>
      </c>
      <c r="M932" t="s">
        <v>25</v>
      </c>
    </row>
    <row r="933" spans="1:13" hidden="1" x14ac:dyDescent="0.25">
      <c r="A933" s="5">
        <v>45870</v>
      </c>
      <c r="B933" t="s">
        <v>568</v>
      </c>
      <c r="C933" t="s">
        <v>797</v>
      </c>
      <c r="D933" t="s">
        <v>149</v>
      </c>
      <c r="E933" t="str">
        <f t="shared" si="15"/>
        <v>ADM</v>
      </c>
      <c r="F933" t="s">
        <v>798</v>
      </c>
      <c r="G933" t="s">
        <v>798</v>
      </c>
      <c r="J933" t="s">
        <v>143</v>
      </c>
      <c r="K933" s="23">
        <v>-4000</v>
      </c>
      <c r="L933" t="s">
        <v>24</v>
      </c>
      <c r="M933" t="s">
        <v>25</v>
      </c>
    </row>
    <row r="934" spans="1:13" hidden="1" x14ac:dyDescent="0.25">
      <c r="A934" s="5">
        <v>45870</v>
      </c>
      <c r="B934" t="s">
        <v>569</v>
      </c>
      <c r="C934" t="s">
        <v>799</v>
      </c>
      <c r="D934" t="s">
        <v>99</v>
      </c>
      <c r="E934" t="str">
        <f t="shared" si="15"/>
        <v>ADM</v>
      </c>
      <c r="F934" t="s">
        <v>800</v>
      </c>
      <c r="G934" t="s">
        <v>800</v>
      </c>
      <c r="J934" t="s">
        <v>143</v>
      </c>
      <c r="K934" s="23">
        <v>-200</v>
      </c>
      <c r="L934" t="s">
        <v>24</v>
      </c>
      <c r="M934" t="s">
        <v>25</v>
      </c>
    </row>
    <row r="935" spans="1:13" hidden="1" x14ac:dyDescent="0.25">
      <c r="A935" s="5">
        <v>45870</v>
      </c>
      <c r="B935" t="s">
        <v>20</v>
      </c>
      <c r="C935" t="s">
        <v>387</v>
      </c>
      <c r="D935" t="s">
        <v>28</v>
      </c>
      <c r="E935" t="str">
        <f t="shared" si="15"/>
        <v>ADM</v>
      </c>
      <c r="F935" t="s">
        <v>23</v>
      </c>
      <c r="G935" t="s">
        <v>23</v>
      </c>
      <c r="J935" t="s">
        <v>143</v>
      </c>
      <c r="K935" s="23">
        <v>-29.46</v>
      </c>
      <c r="L935" t="s">
        <v>24</v>
      </c>
      <c r="M935" t="s">
        <v>25</v>
      </c>
    </row>
    <row r="936" spans="1:13" hidden="1" x14ac:dyDescent="0.25">
      <c r="A936" s="5">
        <v>45870</v>
      </c>
      <c r="B936" t="s">
        <v>569</v>
      </c>
      <c r="C936" t="s">
        <v>801</v>
      </c>
      <c r="D936" t="s">
        <v>99</v>
      </c>
      <c r="E936" t="str">
        <f t="shared" si="15"/>
        <v>ADM</v>
      </c>
      <c r="F936" t="s">
        <v>100</v>
      </c>
      <c r="G936" t="s">
        <v>100</v>
      </c>
      <c r="J936" t="s">
        <v>143</v>
      </c>
      <c r="K936" s="23">
        <v>-170</v>
      </c>
      <c r="L936" t="s">
        <v>24</v>
      </c>
      <c r="M936" t="s">
        <v>25</v>
      </c>
    </row>
    <row r="937" spans="1:13" hidden="1" x14ac:dyDescent="0.25">
      <c r="A937" s="5">
        <v>45870</v>
      </c>
      <c r="B937" t="s">
        <v>33</v>
      </c>
      <c r="C937" t="s">
        <v>676</v>
      </c>
      <c r="D937" t="s">
        <v>149</v>
      </c>
      <c r="E937" t="str">
        <f t="shared" si="15"/>
        <v>ADM</v>
      </c>
      <c r="F937" t="s">
        <v>23</v>
      </c>
      <c r="G937" t="s">
        <v>23</v>
      </c>
      <c r="J937" t="s">
        <v>143</v>
      </c>
      <c r="K937" s="23">
        <v>-419.68</v>
      </c>
      <c r="L937" t="s">
        <v>24</v>
      </c>
      <c r="M937" t="s">
        <v>25</v>
      </c>
    </row>
    <row r="938" spans="1:13" hidden="1" x14ac:dyDescent="0.25">
      <c r="A938" s="5">
        <v>45870</v>
      </c>
      <c r="B938" t="s">
        <v>20</v>
      </c>
      <c r="C938" t="s">
        <v>41</v>
      </c>
      <c r="D938" t="s">
        <v>30</v>
      </c>
      <c r="E938" t="str">
        <f t="shared" si="15"/>
        <v>ADM</v>
      </c>
      <c r="F938" t="s">
        <v>23</v>
      </c>
      <c r="G938" t="s">
        <v>23</v>
      </c>
      <c r="J938" t="s">
        <v>17</v>
      </c>
      <c r="K938" s="23">
        <v>-49.99</v>
      </c>
      <c r="L938" t="s">
        <v>24</v>
      </c>
      <c r="M938" t="s">
        <v>25</v>
      </c>
    </row>
    <row r="939" spans="1:13" hidden="1" x14ac:dyDescent="0.25">
      <c r="A939" s="5">
        <v>45870</v>
      </c>
      <c r="B939" t="s">
        <v>20</v>
      </c>
      <c r="C939" t="s">
        <v>802</v>
      </c>
      <c r="D939" t="s">
        <v>28</v>
      </c>
      <c r="E939" t="str">
        <f t="shared" si="15"/>
        <v>ADM</v>
      </c>
      <c r="F939" t="s">
        <v>788</v>
      </c>
      <c r="G939" t="s">
        <v>788</v>
      </c>
      <c r="J939" t="s">
        <v>143</v>
      </c>
      <c r="K939" s="23">
        <v>-55.04</v>
      </c>
      <c r="L939" t="s">
        <v>24</v>
      </c>
      <c r="M939" t="s">
        <v>25</v>
      </c>
    </row>
    <row r="940" spans="1:13" hidden="1" x14ac:dyDescent="0.25">
      <c r="A940" s="5">
        <v>45870</v>
      </c>
      <c r="B940" t="s">
        <v>33</v>
      </c>
      <c r="C940" t="s">
        <v>676</v>
      </c>
      <c r="D940" t="s">
        <v>149</v>
      </c>
      <c r="E940" t="str">
        <f t="shared" si="15"/>
        <v>ADM</v>
      </c>
      <c r="F940" t="s">
        <v>23</v>
      </c>
      <c r="G940" t="s">
        <v>23</v>
      </c>
      <c r="J940" t="s">
        <v>143</v>
      </c>
      <c r="K940" s="23">
        <v>-300</v>
      </c>
      <c r="L940" t="s">
        <v>24</v>
      </c>
      <c r="M940" t="s">
        <v>25</v>
      </c>
    </row>
    <row r="941" spans="1:13" hidden="1" x14ac:dyDescent="0.25">
      <c r="A941" s="5">
        <v>45870</v>
      </c>
      <c r="B941" t="s">
        <v>20</v>
      </c>
      <c r="C941" t="s">
        <v>40</v>
      </c>
      <c r="D941" t="s">
        <v>30</v>
      </c>
      <c r="E941" t="str">
        <f t="shared" si="15"/>
        <v>ADM</v>
      </c>
      <c r="F941" t="s">
        <v>23</v>
      </c>
      <c r="G941" t="s">
        <v>23</v>
      </c>
      <c r="J941" t="s">
        <v>17</v>
      </c>
      <c r="K941" s="23">
        <v>-19.899999999999999</v>
      </c>
      <c r="L941" t="s">
        <v>24</v>
      </c>
      <c r="M941" t="s">
        <v>25</v>
      </c>
    </row>
    <row r="942" spans="1:13" hidden="1" x14ac:dyDescent="0.25">
      <c r="A942" s="5">
        <v>45870</v>
      </c>
      <c r="B942" t="s">
        <v>20</v>
      </c>
      <c r="C942" t="s">
        <v>284</v>
      </c>
      <c r="D942" t="s">
        <v>39</v>
      </c>
      <c r="E942" t="str">
        <f t="shared" si="15"/>
        <v>INV</v>
      </c>
      <c r="F942" t="s">
        <v>23</v>
      </c>
      <c r="G942" t="s">
        <v>23</v>
      </c>
      <c r="H942" t="s">
        <v>285</v>
      </c>
      <c r="J942" t="s">
        <v>143</v>
      </c>
      <c r="K942" s="23">
        <v>-333.24</v>
      </c>
      <c r="L942" t="s">
        <v>24</v>
      </c>
      <c r="M942" t="s">
        <v>25</v>
      </c>
    </row>
    <row r="943" spans="1:13" hidden="1" x14ac:dyDescent="0.25">
      <c r="A943" s="5">
        <v>45870</v>
      </c>
      <c r="B943" t="s">
        <v>20</v>
      </c>
      <c r="C943" t="s">
        <v>41</v>
      </c>
      <c r="D943" t="s">
        <v>30</v>
      </c>
      <c r="E943" t="str">
        <f t="shared" si="15"/>
        <v>ADM</v>
      </c>
      <c r="F943" t="s">
        <v>23</v>
      </c>
      <c r="G943" t="s">
        <v>23</v>
      </c>
      <c r="J943" t="s">
        <v>17</v>
      </c>
      <c r="K943" s="23">
        <v>-14.99</v>
      </c>
      <c r="L943" t="s">
        <v>24</v>
      </c>
      <c r="M943" t="s">
        <v>25</v>
      </c>
    </row>
    <row r="944" spans="1:13" hidden="1" x14ac:dyDescent="0.25">
      <c r="A944" s="5">
        <v>45870</v>
      </c>
      <c r="B944" t="s">
        <v>20</v>
      </c>
      <c r="C944" t="s">
        <v>32</v>
      </c>
      <c r="D944" t="s">
        <v>30</v>
      </c>
      <c r="E944" t="str">
        <f t="shared" si="15"/>
        <v>ADM</v>
      </c>
      <c r="F944" t="s">
        <v>23</v>
      </c>
      <c r="G944" t="s">
        <v>23</v>
      </c>
      <c r="J944" t="s">
        <v>17</v>
      </c>
      <c r="K944" s="23">
        <v>-58.9</v>
      </c>
      <c r="L944" t="s">
        <v>24</v>
      </c>
      <c r="M944" t="s">
        <v>25</v>
      </c>
    </row>
    <row r="945" spans="1:13" hidden="1" x14ac:dyDescent="0.25">
      <c r="A945" s="5">
        <v>45870</v>
      </c>
      <c r="B945" t="s">
        <v>33</v>
      </c>
      <c r="C945" t="s">
        <v>671</v>
      </c>
      <c r="D945" t="s">
        <v>15</v>
      </c>
      <c r="E945" t="str">
        <f t="shared" si="15"/>
        <v>ADM</v>
      </c>
      <c r="F945" t="s">
        <v>23</v>
      </c>
      <c r="G945" t="s">
        <v>23</v>
      </c>
      <c r="J945" t="s">
        <v>143</v>
      </c>
      <c r="K945" s="23">
        <v>1638.72</v>
      </c>
      <c r="L945" t="s">
        <v>18</v>
      </c>
      <c r="M945" t="s">
        <v>19</v>
      </c>
    </row>
    <row r="946" spans="1:13" hidden="1" x14ac:dyDescent="0.25">
      <c r="A946" s="5">
        <v>45870</v>
      </c>
      <c r="B946" t="s">
        <v>20</v>
      </c>
      <c r="C946" t="s">
        <v>45</v>
      </c>
      <c r="D946" t="s">
        <v>15</v>
      </c>
      <c r="E946" t="str">
        <f t="shared" si="15"/>
        <v>ADM</v>
      </c>
      <c r="F946" t="s">
        <v>23</v>
      </c>
      <c r="G946" t="s">
        <v>23</v>
      </c>
      <c r="J946" t="s">
        <v>17</v>
      </c>
      <c r="K946" s="23">
        <v>1450.96</v>
      </c>
      <c r="L946" t="s">
        <v>18</v>
      </c>
      <c r="M946" t="s">
        <v>19</v>
      </c>
    </row>
    <row r="947" spans="1:13" hidden="1" x14ac:dyDescent="0.25">
      <c r="A947" s="5">
        <v>45870</v>
      </c>
      <c r="B947" t="s">
        <v>33</v>
      </c>
      <c r="C947" t="s">
        <v>803</v>
      </c>
      <c r="D947" t="s">
        <v>508</v>
      </c>
      <c r="E947" t="str">
        <f t="shared" si="15"/>
        <v>ADM</v>
      </c>
      <c r="F947" t="s">
        <v>23</v>
      </c>
      <c r="G947" t="s">
        <v>23</v>
      </c>
      <c r="J947" t="s">
        <v>143</v>
      </c>
      <c r="K947" s="23">
        <v>-300.05</v>
      </c>
      <c r="L947" t="s">
        <v>24</v>
      </c>
      <c r="M947" t="s">
        <v>25</v>
      </c>
    </row>
    <row r="948" spans="1:13" hidden="1" x14ac:dyDescent="0.25">
      <c r="A948" s="5">
        <v>45870</v>
      </c>
      <c r="B948" t="s">
        <v>20</v>
      </c>
      <c r="C948" t="s">
        <v>46</v>
      </c>
      <c r="D948" t="s">
        <v>30</v>
      </c>
      <c r="E948" t="str">
        <f t="shared" si="15"/>
        <v>ADM</v>
      </c>
      <c r="F948" t="s">
        <v>23</v>
      </c>
      <c r="G948" t="s">
        <v>23</v>
      </c>
      <c r="J948" t="s">
        <v>17</v>
      </c>
      <c r="K948" s="23">
        <v>-119.9</v>
      </c>
      <c r="L948" t="s">
        <v>24</v>
      </c>
      <c r="M948" t="s">
        <v>25</v>
      </c>
    </row>
    <row r="949" spans="1:13" hidden="1" x14ac:dyDescent="0.25">
      <c r="A949" s="5">
        <v>45870</v>
      </c>
      <c r="B949" t="s">
        <v>20</v>
      </c>
      <c r="C949" t="s">
        <v>804</v>
      </c>
      <c r="D949" t="s">
        <v>39</v>
      </c>
      <c r="E949" t="str">
        <f t="shared" si="15"/>
        <v>INV</v>
      </c>
      <c r="F949" t="s">
        <v>23</v>
      </c>
      <c r="G949" t="s">
        <v>23</v>
      </c>
      <c r="J949" t="s">
        <v>143</v>
      </c>
      <c r="K949" s="23">
        <v>-316</v>
      </c>
      <c r="L949" t="s">
        <v>24</v>
      </c>
      <c r="M949" t="s">
        <v>25</v>
      </c>
    </row>
    <row r="950" spans="1:13" hidden="1" x14ac:dyDescent="0.25">
      <c r="A950" s="5">
        <v>45870</v>
      </c>
      <c r="B950" t="s">
        <v>568</v>
      </c>
      <c r="C950" t="s">
        <v>51</v>
      </c>
      <c r="D950" t="s">
        <v>52</v>
      </c>
      <c r="E950" t="str">
        <f t="shared" si="15"/>
        <v>ADM</v>
      </c>
      <c r="F950" t="s">
        <v>53</v>
      </c>
      <c r="G950" t="s">
        <v>53</v>
      </c>
      <c r="J950" t="s">
        <v>17</v>
      </c>
      <c r="K950" s="23">
        <v>-1518</v>
      </c>
      <c r="L950" t="s">
        <v>24</v>
      </c>
      <c r="M950" t="s">
        <v>25</v>
      </c>
    </row>
    <row r="951" spans="1:13" hidden="1" x14ac:dyDescent="0.25">
      <c r="A951" s="5">
        <v>45870</v>
      </c>
      <c r="B951" t="s">
        <v>569</v>
      </c>
      <c r="C951" t="s">
        <v>805</v>
      </c>
      <c r="D951" t="s">
        <v>56</v>
      </c>
      <c r="E951" t="str">
        <f t="shared" si="15"/>
        <v>Honorários</v>
      </c>
      <c r="F951" t="s">
        <v>806</v>
      </c>
      <c r="G951" t="s">
        <v>806</v>
      </c>
      <c r="I951" t="s">
        <v>75</v>
      </c>
      <c r="J951" t="s">
        <v>143</v>
      </c>
      <c r="K951" s="23">
        <v>2476.6999999999998</v>
      </c>
      <c r="L951" t="s">
        <v>18</v>
      </c>
      <c r="M951" t="s">
        <v>19</v>
      </c>
    </row>
    <row r="952" spans="1:13" hidden="1" x14ac:dyDescent="0.25">
      <c r="A952" s="5">
        <v>45870</v>
      </c>
      <c r="B952" t="s">
        <v>20</v>
      </c>
      <c r="C952" t="s">
        <v>807</v>
      </c>
      <c r="D952" t="s">
        <v>28</v>
      </c>
      <c r="E952" t="str">
        <f t="shared" si="15"/>
        <v>ADM</v>
      </c>
      <c r="F952" t="s">
        <v>23</v>
      </c>
      <c r="G952" t="s">
        <v>23</v>
      </c>
      <c r="J952" t="s">
        <v>143</v>
      </c>
      <c r="K952" s="23">
        <v>-35.94</v>
      </c>
      <c r="L952" t="s">
        <v>24</v>
      </c>
      <c r="M952" t="s">
        <v>25</v>
      </c>
    </row>
    <row r="953" spans="1:13" hidden="1" x14ac:dyDescent="0.25">
      <c r="A953" s="5">
        <v>45870</v>
      </c>
      <c r="B953" t="s">
        <v>20</v>
      </c>
      <c r="C953" t="s">
        <v>808</v>
      </c>
      <c r="D953" s="17" t="s">
        <v>72</v>
      </c>
      <c r="E953" t="str">
        <f t="shared" si="15"/>
        <v>FIN</v>
      </c>
      <c r="F953" t="s">
        <v>788</v>
      </c>
      <c r="G953" t="s">
        <v>788</v>
      </c>
      <c r="J953" t="s">
        <v>143</v>
      </c>
      <c r="K953" s="23">
        <v>-18.75</v>
      </c>
      <c r="L953" t="s">
        <v>24</v>
      </c>
      <c r="M953" t="s">
        <v>25</v>
      </c>
    </row>
    <row r="954" spans="1:13" hidden="1" x14ac:dyDescent="0.25">
      <c r="A954" s="5">
        <v>45870</v>
      </c>
      <c r="B954" t="s">
        <v>20</v>
      </c>
      <c r="C954" t="s">
        <v>809</v>
      </c>
      <c r="D954" s="17" t="s">
        <v>72</v>
      </c>
      <c r="E954" t="str">
        <f t="shared" si="15"/>
        <v>FIN</v>
      </c>
      <c r="F954" t="s">
        <v>788</v>
      </c>
      <c r="G954" t="s">
        <v>788</v>
      </c>
      <c r="J954" t="s">
        <v>143</v>
      </c>
      <c r="K954" s="23">
        <v>-18.75</v>
      </c>
      <c r="L954" t="s">
        <v>24</v>
      </c>
      <c r="M954" t="s">
        <v>25</v>
      </c>
    </row>
    <row r="955" spans="1:13" hidden="1" x14ac:dyDescent="0.25">
      <c r="A955" s="5">
        <v>45873</v>
      </c>
      <c r="B955" t="s">
        <v>569</v>
      </c>
      <c r="C955" t="s">
        <v>810</v>
      </c>
      <c r="D955" t="s">
        <v>56</v>
      </c>
      <c r="E955" t="str">
        <f t="shared" si="15"/>
        <v>Honorários</v>
      </c>
      <c r="F955" t="s">
        <v>726</v>
      </c>
      <c r="G955" t="s">
        <v>726</v>
      </c>
      <c r="I955" t="s">
        <v>727</v>
      </c>
      <c r="J955" t="s">
        <v>143</v>
      </c>
      <c r="K955" s="23">
        <v>550</v>
      </c>
      <c r="L955" t="s">
        <v>18</v>
      </c>
      <c r="M955" t="s">
        <v>19</v>
      </c>
    </row>
    <row r="956" spans="1:13" hidden="1" x14ac:dyDescent="0.25">
      <c r="A956" s="5">
        <v>45873</v>
      </c>
      <c r="B956" t="s">
        <v>569</v>
      </c>
      <c r="C956" t="s">
        <v>716</v>
      </c>
      <c r="D956" t="s">
        <v>56</v>
      </c>
      <c r="E956" t="str">
        <f t="shared" si="15"/>
        <v>Honorários</v>
      </c>
      <c r="F956" t="s">
        <v>696</v>
      </c>
      <c r="G956" t="s">
        <v>696</v>
      </c>
      <c r="I956" t="s">
        <v>196</v>
      </c>
      <c r="J956" t="s">
        <v>143</v>
      </c>
      <c r="K956" s="23">
        <v>1138.5</v>
      </c>
      <c r="L956" t="s">
        <v>18</v>
      </c>
      <c r="M956" t="s">
        <v>19</v>
      </c>
    </row>
    <row r="957" spans="1:13" hidden="1" x14ac:dyDescent="0.25">
      <c r="A957" s="5">
        <v>45873</v>
      </c>
      <c r="B957" t="s">
        <v>569</v>
      </c>
      <c r="C957" t="s">
        <v>799</v>
      </c>
      <c r="D957" t="s">
        <v>99</v>
      </c>
      <c r="E957" t="str">
        <f t="shared" si="15"/>
        <v>ADM</v>
      </c>
      <c r="F957" t="s">
        <v>811</v>
      </c>
      <c r="G957" t="s">
        <v>811</v>
      </c>
      <c r="J957" t="s">
        <v>143</v>
      </c>
      <c r="K957" s="23">
        <v>-450</v>
      </c>
      <c r="L957" t="s">
        <v>24</v>
      </c>
      <c r="M957" t="s">
        <v>25</v>
      </c>
    </row>
    <row r="958" spans="1:13" hidden="1" x14ac:dyDescent="0.25">
      <c r="A958" s="5">
        <v>45873</v>
      </c>
      <c r="B958" t="s">
        <v>569</v>
      </c>
      <c r="C958" t="s">
        <v>578</v>
      </c>
      <c r="D958" t="s">
        <v>56</v>
      </c>
      <c r="E958" t="str">
        <f t="shared" si="15"/>
        <v>Honorários</v>
      </c>
      <c r="F958" t="s">
        <v>785</v>
      </c>
      <c r="G958" t="s">
        <v>785</v>
      </c>
      <c r="I958" t="s">
        <v>75</v>
      </c>
      <c r="J958" t="s">
        <v>143</v>
      </c>
      <c r="K958" s="23">
        <v>623</v>
      </c>
      <c r="L958" t="s">
        <v>18</v>
      </c>
      <c r="M958" t="s">
        <v>19</v>
      </c>
    </row>
    <row r="959" spans="1:13" hidden="1" x14ac:dyDescent="0.25">
      <c r="A959" s="5">
        <v>45873</v>
      </c>
      <c r="B959" t="s">
        <v>569</v>
      </c>
      <c r="C959" t="s">
        <v>729</v>
      </c>
      <c r="D959" t="s">
        <v>56</v>
      </c>
      <c r="E959" t="str">
        <f t="shared" si="15"/>
        <v>Honorários</v>
      </c>
      <c r="F959" t="s">
        <v>721</v>
      </c>
      <c r="G959" t="s">
        <v>721</v>
      </c>
      <c r="I959" t="s">
        <v>812</v>
      </c>
      <c r="J959" t="s">
        <v>143</v>
      </c>
      <c r="K959" s="23">
        <v>563.5</v>
      </c>
      <c r="L959" t="s">
        <v>18</v>
      </c>
      <c r="M959" t="s">
        <v>19</v>
      </c>
    </row>
    <row r="960" spans="1:13" hidden="1" x14ac:dyDescent="0.25">
      <c r="A960" s="5">
        <v>45873</v>
      </c>
      <c r="B960" t="s">
        <v>569</v>
      </c>
      <c r="C960" t="s">
        <v>813</v>
      </c>
      <c r="D960" t="s">
        <v>56</v>
      </c>
      <c r="E960" t="str">
        <f t="shared" si="15"/>
        <v>Honorários</v>
      </c>
      <c r="F960" t="s">
        <v>749</v>
      </c>
      <c r="G960" t="s">
        <v>749</v>
      </c>
      <c r="I960" t="s">
        <v>93</v>
      </c>
      <c r="J960" t="s">
        <v>143</v>
      </c>
      <c r="K960" s="23">
        <v>554</v>
      </c>
      <c r="L960" t="s">
        <v>18</v>
      </c>
      <c r="M960" t="s">
        <v>19</v>
      </c>
    </row>
    <row r="961" spans="1:13" hidden="1" x14ac:dyDescent="0.25">
      <c r="A961" s="5">
        <v>45874</v>
      </c>
      <c r="B961" t="s">
        <v>568</v>
      </c>
      <c r="C961" t="s">
        <v>394</v>
      </c>
      <c r="D961" t="s">
        <v>96</v>
      </c>
      <c r="E961" t="str">
        <f t="shared" si="15"/>
        <v>ADM</v>
      </c>
      <c r="F961" t="s">
        <v>97</v>
      </c>
      <c r="G961" t="s">
        <v>97</v>
      </c>
      <c r="J961" t="s">
        <v>17</v>
      </c>
      <c r="K961" s="23">
        <v>-64.900000000000006</v>
      </c>
      <c r="L961" t="s">
        <v>24</v>
      </c>
      <c r="M961" t="s">
        <v>25</v>
      </c>
    </row>
    <row r="962" spans="1:13" hidden="1" x14ac:dyDescent="0.25">
      <c r="A962" s="5">
        <v>45874</v>
      </c>
      <c r="B962" t="s">
        <v>568</v>
      </c>
      <c r="C962" t="s">
        <v>392</v>
      </c>
      <c r="D962" t="s">
        <v>96</v>
      </c>
      <c r="E962" t="str">
        <f t="shared" si="15"/>
        <v>ADM</v>
      </c>
      <c r="F962" t="s">
        <v>97</v>
      </c>
      <c r="G962" t="s">
        <v>97</v>
      </c>
      <c r="J962" t="s">
        <v>17</v>
      </c>
      <c r="K962" s="23">
        <v>-64.900000000000006</v>
      </c>
      <c r="L962" t="s">
        <v>24</v>
      </c>
      <c r="M962" t="s">
        <v>25</v>
      </c>
    </row>
    <row r="963" spans="1:13" hidden="1" x14ac:dyDescent="0.25">
      <c r="A963" s="5">
        <v>45874</v>
      </c>
      <c r="B963" t="s">
        <v>568</v>
      </c>
      <c r="C963" t="s">
        <v>814</v>
      </c>
      <c r="D963" t="s">
        <v>815</v>
      </c>
      <c r="E963" t="str">
        <f>IF(ISERROR(FIND("-",D963,1)),D963,LEFT(D963,3))</f>
        <v>Transferência</v>
      </c>
      <c r="F963" t="s">
        <v>568</v>
      </c>
      <c r="G963" t="s">
        <v>568</v>
      </c>
      <c r="J963" t="s">
        <v>17</v>
      </c>
      <c r="K963" s="23">
        <v>2476.6999999999998</v>
      </c>
      <c r="L963" t="s">
        <v>18</v>
      </c>
      <c r="M963" t="s">
        <v>19</v>
      </c>
    </row>
    <row r="964" spans="1:13" hidden="1" x14ac:dyDescent="0.25">
      <c r="A964" s="5">
        <v>45874</v>
      </c>
      <c r="B964" t="s">
        <v>568</v>
      </c>
      <c r="C964" t="s">
        <v>389</v>
      </c>
      <c r="D964" t="s">
        <v>96</v>
      </c>
      <c r="E964" t="str">
        <f t="shared" si="15"/>
        <v>ADM</v>
      </c>
      <c r="F964" t="s">
        <v>97</v>
      </c>
      <c r="G964" t="s">
        <v>97</v>
      </c>
      <c r="J964" t="s">
        <v>17</v>
      </c>
      <c r="K964" s="23">
        <v>-1450.77</v>
      </c>
      <c r="L964" t="s">
        <v>24</v>
      </c>
      <c r="M964" t="s">
        <v>25</v>
      </c>
    </row>
    <row r="965" spans="1:13" hidden="1" x14ac:dyDescent="0.25">
      <c r="A965" s="5">
        <v>45874</v>
      </c>
      <c r="B965" t="s">
        <v>568</v>
      </c>
      <c r="C965" t="s">
        <v>393</v>
      </c>
      <c r="D965" t="s">
        <v>96</v>
      </c>
      <c r="E965" t="str">
        <f t="shared" si="15"/>
        <v>ADM</v>
      </c>
      <c r="F965" t="s">
        <v>97</v>
      </c>
      <c r="G965" t="s">
        <v>97</v>
      </c>
      <c r="J965" t="s">
        <v>17</v>
      </c>
      <c r="K965" s="23">
        <v>-64.900000000000006</v>
      </c>
      <c r="L965" t="s">
        <v>24</v>
      </c>
      <c r="M965" t="s">
        <v>25</v>
      </c>
    </row>
    <row r="966" spans="1:13" hidden="1" x14ac:dyDescent="0.25">
      <c r="A966" s="5">
        <v>45874</v>
      </c>
      <c r="B966" t="s">
        <v>568</v>
      </c>
      <c r="C966" t="s">
        <v>391</v>
      </c>
      <c r="D966" t="s">
        <v>96</v>
      </c>
      <c r="E966" t="str">
        <f t="shared" si="15"/>
        <v>ADM</v>
      </c>
      <c r="F966" t="s">
        <v>97</v>
      </c>
      <c r="G966" t="s">
        <v>97</v>
      </c>
      <c r="J966" t="s">
        <v>17</v>
      </c>
      <c r="K966" s="23">
        <v>-64.900000000000006</v>
      </c>
      <c r="L966" t="s">
        <v>24</v>
      </c>
      <c r="M966" t="s">
        <v>25</v>
      </c>
    </row>
    <row r="967" spans="1:13" hidden="1" x14ac:dyDescent="0.25">
      <c r="A967" s="5">
        <v>45874</v>
      </c>
      <c r="B967" t="s">
        <v>568</v>
      </c>
      <c r="C967" t="s">
        <v>390</v>
      </c>
      <c r="D967" t="s">
        <v>96</v>
      </c>
      <c r="E967" t="str">
        <f t="shared" ref="E967:E1030" si="16">IF(OR(D967="Honorários",D967="Despesa do cliente"),D967,LEFT(D967,3))</f>
        <v>ADM</v>
      </c>
      <c r="F967" t="s">
        <v>97</v>
      </c>
      <c r="G967" t="s">
        <v>97</v>
      </c>
      <c r="J967" t="s">
        <v>17</v>
      </c>
      <c r="K967" s="23">
        <v>-64.900000000000006</v>
      </c>
      <c r="L967" t="s">
        <v>24</v>
      </c>
      <c r="M967" t="s">
        <v>25</v>
      </c>
    </row>
    <row r="968" spans="1:13" hidden="1" x14ac:dyDescent="0.25">
      <c r="A968" s="5">
        <v>45874</v>
      </c>
      <c r="B968" t="s">
        <v>568</v>
      </c>
      <c r="C968" t="s">
        <v>388</v>
      </c>
      <c r="D968" t="s">
        <v>96</v>
      </c>
      <c r="E968" t="str">
        <f t="shared" si="16"/>
        <v>ADM</v>
      </c>
      <c r="F968" t="s">
        <v>97</v>
      </c>
      <c r="G968" t="s">
        <v>97</v>
      </c>
      <c r="J968" t="s">
        <v>17</v>
      </c>
      <c r="K968" s="23">
        <v>-1450.19</v>
      </c>
      <c r="L968" t="s">
        <v>24</v>
      </c>
      <c r="M968" t="s">
        <v>25</v>
      </c>
    </row>
    <row r="969" spans="1:13" hidden="1" x14ac:dyDescent="0.25">
      <c r="A969" s="5">
        <v>45874</v>
      </c>
      <c r="B969" t="s">
        <v>569</v>
      </c>
      <c r="C969" t="s">
        <v>816</v>
      </c>
      <c r="D969" t="s">
        <v>300</v>
      </c>
      <c r="E969" t="str">
        <f t="shared" si="16"/>
        <v>VAR</v>
      </c>
      <c r="F969" t="s">
        <v>637</v>
      </c>
      <c r="G969" t="s">
        <v>637</v>
      </c>
      <c r="I969" t="s">
        <v>796</v>
      </c>
      <c r="J969" t="s">
        <v>143</v>
      </c>
      <c r="K969" s="23">
        <v>-4554.28</v>
      </c>
      <c r="L969" t="s">
        <v>24</v>
      </c>
      <c r="M969" t="s">
        <v>25</v>
      </c>
    </row>
    <row r="970" spans="1:13" hidden="1" x14ac:dyDescent="0.25">
      <c r="A970" s="5">
        <v>45874</v>
      </c>
      <c r="B970" t="s">
        <v>568</v>
      </c>
      <c r="C970" t="s">
        <v>101</v>
      </c>
      <c r="D970" t="s">
        <v>15</v>
      </c>
      <c r="E970" t="str">
        <f t="shared" si="16"/>
        <v>ADM</v>
      </c>
      <c r="F970" t="s">
        <v>23</v>
      </c>
      <c r="G970" t="s">
        <v>23</v>
      </c>
      <c r="J970" t="s">
        <v>17</v>
      </c>
      <c r="K970" s="23">
        <v>-1450.96</v>
      </c>
      <c r="L970" t="s">
        <v>24</v>
      </c>
      <c r="M970" t="s">
        <v>25</v>
      </c>
    </row>
    <row r="971" spans="1:13" hidden="1" x14ac:dyDescent="0.25">
      <c r="A971" s="5">
        <v>45874</v>
      </c>
      <c r="B971" t="s">
        <v>569</v>
      </c>
      <c r="C971" t="s">
        <v>814</v>
      </c>
      <c r="D971" t="s">
        <v>815</v>
      </c>
      <c r="E971" t="str">
        <f>IF(ISERROR(FIND("-",D971,1)),D971,LEFT(D971,3))</f>
        <v>Transferência</v>
      </c>
      <c r="F971" t="s">
        <v>569</v>
      </c>
      <c r="G971" t="s">
        <v>569</v>
      </c>
      <c r="J971" t="s">
        <v>17</v>
      </c>
      <c r="K971" s="23">
        <v>-2476.6999999999998</v>
      </c>
      <c r="L971" t="s">
        <v>24</v>
      </c>
      <c r="M971" t="s">
        <v>25</v>
      </c>
    </row>
    <row r="972" spans="1:13" hidden="1" x14ac:dyDescent="0.25">
      <c r="A972" s="5">
        <v>45875</v>
      </c>
      <c r="B972" t="s">
        <v>568</v>
      </c>
      <c r="C972" t="s">
        <v>118</v>
      </c>
      <c r="D972" t="s">
        <v>113</v>
      </c>
      <c r="E972" t="str">
        <f t="shared" si="16"/>
        <v>ADM</v>
      </c>
      <c r="F972" t="s">
        <v>114</v>
      </c>
      <c r="G972" t="s">
        <v>114</v>
      </c>
      <c r="J972" t="s">
        <v>17</v>
      </c>
      <c r="K972" s="23">
        <v>-137.37</v>
      </c>
      <c r="L972" t="s">
        <v>24</v>
      </c>
      <c r="M972" t="s">
        <v>25</v>
      </c>
    </row>
    <row r="973" spans="1:13" hidden="1" x14ac:dyDescent="0.25">
      <c r="A973" s="5">
        <v>45875</v>
      </c>
      <c r="B973" t="s">
        <v>569</v>
      </c>
      <c r="C973" t="s">
        <v>667</v>
      </c>
      <c r="D973" t="s">
        <v>56</v>
      </c>
      <c r="E973" t="str">
        <f t="shared" si="16"/>
        <v>Honorários</v>
      </c>
      <c r="F973" t="s">
        <v>609</v>
      </c>
      <c r="G973" t="s">
        <v>609</v>
      </c>
      <c r="I973" t="s">
        <v>75</v>
      </c>
      <c r="J973" t="s">
        <v>143</v>
      </c>
      <c r="K973" s="23">
        <v>1007</v>
      </c>
      <c r="L973" t="s">
        <v>18</v>
      </c>
      <c r="M973" t="s">
        <v>19</v>
      </c>
    </row>
    <row r="974" spans="1:13" hidden="1" x14ac:dyDescent="0.25">
      <c r="A974" s="5">
        <v>45876</v>
      </c>
      <c r="B974" t="s">
        <v>569</v>
      </c>
      <c r="C974" t="s">
        <v>817</v>
      </c>
      <c r="D974" t="s">
        <v>77</v>
      </c>
      <c r="E974" t="str">
        <f t="shared" si="16"/>
        <v>Despesa do cliente</v>
      </c>
      <c r="F974" t="s">
        <v>818</v>
      </c>
      <c r="G974" t="s">
        <v>818</v>
      </c>
      <c r="I974" t="s">
        <v>93</v>
      </c>
      <c r="J974" t="s">
        <v>17</v>
      </c>
      <c r="K974" s="23">
        <v>-21.73</v>
      </c>
      <c r="L974" t="s">
        <v>24</v>
      </c>
      <c r="M974" t="s">
        <v>25</v>
      </c>
    </row>
    <row r="975" spans="1:13" hidden="1" x14ac:dyDescent="0.25">
      <c r="A975" s="5">
        <v>45876</v>
      </c>
      <c r="B975" t="s">
        <v>569</v>
      </c>
      <c r="C975" t="s">
        <v>819</v>
      </c>
      <c r="D975" t="s">
        <v>77</v>
      </c>
      <c r="E975" t="str">
        <f t="shared" si="16"/>
        <v>Despesa do cliente</v>
      </c>
      <c r="F975" t="s">
        <v>820</v>
      </c>
      <c r="G975" t="s">
        <v>820</v>
      </c>
      <c r="I975" t="s">
        <v>821</v>
      </c>
      <c r="J975" t="s">
        <v>17</v>
      </c>
      <c r="K975" s="23">
        <v>-21.73</v>
      </c>
      <c r="L975" t="s">
        <v>24</v>
      </c>
      <c r="M975" t="s">
        <v>25</v>
      </c>
    </row>
    <row r="976" spans="1:13" hidden="1" x14ac:dyDescent="0.25">
      <c r="A976" s="5">
        <v>45876</v>
      </c>
      <c r="B976" t="s">
        <v>568</v>
      </c>
      <c r="C976" t="s">
        <v>822</v>
      </c>
      <c r="D976" t="s">
        <v>89</v>
      </c>
      <c r="E976" t="str">
        <f t="shared" si="16"/>
        <v>ADM</v>
      </c>
      <c r="F976" t="s">
        <v>546</v>
      </c>
      <c r="G976" t="s">
        <v>546</v>
      </c>
      <c r="J976" t="s">
        <v>143</v>
      </c>
      <c r="K976" s="23">
        <v>-369.65</v>
      </c>
      <c r="L976" t="s">
        <v>24</v>
      </c>
      <c r="M976" t="s">
        <v>25</v>
      </c>
    </row>
    <row r="977" spans="1:13" hidden="1" x14ac:dyDescent="0.25">
      <c r="A977" s="5">
        <v>45876</v>
      </c>
      <c r="B977" t="s">
        <v>569</v>
      </c>
      <c r="C977" t="s">
        <v>823</v>
      </c>
      <c r="D977" t="s">
        <v>77</v>
      </c>
      <c r="E977" t="str">
        <f t="shared" si="16"/>
        <v>Despesa do cliente</v>
      </c>
      <c r="F977" t="s">
        <v>824</v>
      </c>
      <c r="G977" t="s">
        <v>824</v>
      </c>
      <c r="I977" t="s">
        <v>82</v>
      </c>
      <c r="J977" t="s">
        <v>17</v>
      </c>
      <c r="K977" s="23">
        <v>-21.73</v>
      </c>
      <c r="L977" t="s">
        <v>24</v>
      </c>
      <c r="M977" t="s">
        <v>25</v>
      </c>
    </row>
    <row r="978" spans="1:13" hidden="1" x14ac:dyDescent="0.25">
      <c r="A978" s="5">
        <v>45876</v>
      </c>
      <c r="B978" t="s">
        <v>569</v>
      </c>
      <c r="C978" t="s">
        <v>823</v>
      </c>
      <c r="D978" t="s">
        <v>77</v>
      </c>
      <c r="E978" t="str">
        <f t="shared" si="16"/>
        <v>Despesa do cliente</v>
      </c>
      <c r="F978" t="s">
        <v>825</v>
      </c>
      <c r="G978" t="s">
        <v>825</v>
      </c>
      <c r="I978" t="s">
        <v>93</v>
      </c>
      <c r="J978" t="s">
        <v>17</v>
      </c>
      <c r="K978" s="23">
        <v>-21.73</v>
      </c>
      <c r="L978" t="s">
        <v>24</v>
      </c>
      <c r="M978" t="s">
        <v>25</v>
      </c>
    </row>
    <row r="979" spans="1:13" hidden="1" x14ac:dyDescent="0.25">
      <c r="A979" s="5">
        <v>45876</v>
      </c>
      <c r="B979" t="s">
        <v>569</v>
      </c>
      <c r="C979" t="s">
        <v>823</v>
      </c>
      <c r="D979" t="s">
        <v>77</v>
      </c>
      <c r="E979" t="str">
        <f t="shared" si="16"/>
        <v>Despesa do cliente</v>
      </c>
      <c r="F979" t="s">
        <v>826</v>
      </c>
      <c r="G979" t="s">
        <v>826</v>
      </c>
      <c r="I979" t="s">
        <v>827</v>
      </c>
      <c r="J979" t="s">
        <v>17</v>
      </c>
      <c r="K979" s="23">
        <v>-21.73</v>
      </c>
      <c r="L979" t="s">
        <v>24</v>
      </c>
      <c r="M979" t="s">
        <v>25</v>
      </c>
    </row>
    <row r="980" spans="1:13" hidden="1" x14ac:dyDescent="0.25">
      <c r="A980" s="5">
        <v>45876</v>
      </c>
      <c r="B980" t="s">
        <v>569</v>
      </c>
      <c r="C980" t="s">
        <v>828</v>
      </c>
      <c r="D980" t="s">
        <v>77</v>
      </c>
      <c r="E980" t="str">
        <f t="shared" si="16"/>
        <v>Despesa do cliente</v>
      </c>
      <c r="F980" t="s">
        <v>829</v>
      </c>
      <c r="G980" t="s">
        <v>829</v>
      </c>
      <c r="I980" t="s">
        <v>605</v>
      </c>
      <c r="J980" t="s">
        <v>17</v>
      </c>
      <c r="K980" s="23">
        <v>-21.73</v>
      </c>
      <c r="L980" t="s">
        <v>24</v>
      </c>
      <c r="M980" t="s">
        <v>25</v>
      </c>
    </row>
    <row r="981" spans="1:13" hidden="1" x14ac:dyDescent="0.25">
      <c r="A981" s="5">
        <v>45877</v>
      </c>
      <c r="B981" t="s">
        <v>569</v>
      </c>
      <c r="C981" t="s">
        <v>830</v>
      </c>
      <c r="D981" t="s">
        <v>1488</v>
      </c>
      <c r="E981" t="str">
        <f t="shared" si="16"/>
        <v>PES</v>
      </c>
      <c r="F981" t="s">
        <v>831</v>
      </c>
      <c r="G981" t="s">
        <v>831</v>
      </c>
      <c r="J981" t="s">
        <v>143</v>
      </c>
      <c r="K981" s="23">
        <v>-48</v>
      </c>
      <c r="L981" t="s">
        <v>24</v>
      </c>
      <c r="M981" t="s">
        <v>25</v>
      </c>
    </row>
    <row r="982" spans="1:13" hidden="1" x14ac:dyDescent="0.25">
      <c r="A982" s="5">
        <v>45877</v>
      </c>
      <c r="B982" t="s">
        <v>569</v>
      </c>
      <c r="C982" t="s">
        <v>832</v>
      </c>
      <c r="D982" t="s">
        <v>815</v>
      </c>
      <c r="E982" t="str">
        <f>IF(ISERROR(FIND("-",D982,1)),D982,LEFT(D982,3))</f>
        <v>Transferência</v>
      </c>
      <c r="F982" t="s">
        <v>569</v>
      </c>
      <c r="G982" t="s">
        <v>569</v>
      </c>
      <c r="J982" t="s">
        <v>17</v>
      </c>
      <c r="K982" s="23">
        <v>-759</v>
      </c>
      <c r="L982" t="s">
        <v>24</v>
      </c>
      <c r="M982" t="s">
        <v>25</v>
      </c>
    </row>
    <row r="983" spans="1:13" hidden="1" x14ac:dyDescent="0.25">
      <c r="A983" s="5">
        <v>45877</v>
      </c>
      <c r="B983" t="s">
        <v>568</v>
      </c>
      <c r="C983" t="s">
        <v>437</v>
      </c>
      <c r="D983" t="s">
        <v>113</v>
      </c>
      <c r="E983" t="str">
        <f t="shared" si="16"/>
        <v>ADM</v>
      </c>
      <c r="F983" t="s">
        <v>438</v>
      </c>
      <c r="G983" t="s">
        <v>438</v>
      </c>
      <c r="J983" t="s">
        <v>17</v>
      </c>
      <c r="K983" s="23">
        <v>-260.58</v>
      </c>
      <c r="L983" t="s">
        <v>24</v>
      </c>
      <c r="M983" t="s">
        <v>25</v>
      </c>
    </row>
    <row r="984" spans="1:13" hidden="1" x14ac:dyDescent="0.25">
      <c r="A984" s="5">
        <v>45877</v>
      </c>
      <c r="B984" t="s">
        <v>568</v>
      </c>
      <c r="C984" t="s">
        <v>219</v>
      </c>
      <c r="D984" t="s">
        <v>103</v>
      </c>
      <c r="E984" t="str">
        <f t="shared" si="16"/>
        <v>ADM</v>
      </c>
      <c r="F984" t="s">
        <v>104</v>
      </c>
      <c r="G984" t="s">
        <v>104</v>
      </c>
      <c r="J984" t="s">
        <v>17</v>
      </c>
      <c r="K984" s="23">
        <v>-130</v>
      </c>
      <c r="L984" t="s">
        <v>24</v>
      </c>
      <c r="M984" t="s">
        <v>25</v>
      </c>
    </row>
    <row r="985" spans="1:13" hidden="1" x14ac:dyDescent="0.25">
      <c r="A985" s="5">
        <v>45877</v>
      </c>
      <c r="B985" t="s">
        <v>568</v>
      </c>
      <c r="C985" t="s">
        <v>754</v>
      </c>
      <c r="D985" t="s">
        <v>56</v>
      </c>
      <c r="E985" t="str">
        <f t="shared" si="16"/>
        <v>Honorários</v>
      </c>
      <c r="F985" t="s">
        <v>739</v>
      </c>
      <c r="G985" t="s">
        <v>739</v>
      </c>
      <c r="I985" t="s">
        <v>740</v>
      </c>
      <c r="J985" t="s">
        <v>143</v>
      </c>
      <c r="K985" s="23">
        <v>577.74</v>
      </c>
      <c r="L985" t="s">
        <v>18</v>
      </c>
      <c r="M985" t="s">
        <v>19</v>
      </c>
    </row>
    <row r="986" spans="1:13" hidden="1" x14ac:dyDescent="0.25">
      <c r="A986" s="5">
        <v>45877</v>
      </c>
      <c r="B986" t="s">
        <v>568</v>
      </c>
      <c r="C986" t="s">
        <v>832</v>
      </c>
      <c r="D986" t="s">
        <v>815</v>
      </c>
      <c r="E986" t="str">
        <f>IF(ISERROR(FIND("-",D986,1)),D986,LEFT(D986,3))</f>
        <v>Transferência</v>
      </c>
      <c r="F986" t="s">
        <v>568</v>
      </c>
      <c r="G986" t="s">
        <v>568</v>
      </c>
      <c r="J986" t="s">
        <v>17</v>
      </c>
      <c r="K986" s="23">
        <v>759</v>
      </c>
      <c r="L986" t="s">
        <v>18</v>
      </c>
      <c r="M986" t="s">
        <v>19</v>
      </c>
    </row>
    <row r="987" spans="1:13" hidden="1" x14ac:dyDescent="0.25">
      <c r="A987" s="5">
        <v>45877</v>
      </c>
      <c r="B987" t="s">
        <v>569</v>
      </c>
      <c r="C987" t="s">
        <v>833</v>
      </c>
      <c r="D987" t="s">
        <v>56</v>
      </c>
      <c r="E987" t="str">
        <f t="shared" si="16"/>
        <v>Honorários</v>
      </c>
      <c r="F987" t="s">
        <v>756</v>
      </c>
      <c r="G987" t="s">
        <v>756</v>
      </c>
      <c r="I987" t="s">
        <v>757</v>
      </c>
      <c r="J987" t="s">
        <v>143</v>
      </c>
      <c r="K987" s="23">
        <v>1454</v>
      </c>
      <c r="L987" t="s">
        <v>18</v>
      </c>
      <c r="M987" t="s">
        <v>19</v>
      </c>
    </row>
    <row r="988" spans="1:13" hidden="1" x14ac:dyDescent="0.25">
      <c r="A988" s="5">
        <v>45877</v>
      </c>
      <c r="B988" t="s">
        <v>569</v>
      </c>
      <c r="C988" t="s">
        <v>834</v>
      </c>
      <c r="D988" t="s">
        <v>198</v>
      </c>
      <c r="E988" t="str">
        <f t="shared" si="16"/>
        <v>PES</v>
      </c>
      <c r="F988" t="s">
        <v>208</v>
      </c>
      <c r="G988" t="s">
        <v>208</v>
      </c>
      <c r="J988" t="s">
        <v>143</v>
      </c>
      <c r="K988" s="23">
        <v>-700</v>
      </c>
      <c r="L988" t="s">
        <v>24</v>
      </c>
      <c r="M988" t="s">
        <v>25</v>
      </c>
    </row>
    <row r="989" spans="1:13" hidden="1" x14ac:dyDescent="0.25">
      <c r="A989" s="5">
        <v>45877</v>
      </c>
      <c r="B989" t="s">
        <v>569</v>
      </c>
      <c r="C989" t="s">
        <v>178</v>
      </c>
      <c r="D989" t="s">
        <v>56</v>
      </c>
      <c r="E989" t="str">
        <f t="shared" si="16"/>
        <v>Honorários</v>
      </c>
      <c r="F989" t="s">
        <v>179</v>
      </c>
      <c r="G989" t="s">
        <v>179</v>
      </c>
      <c r="I989" t="s">
        <v>180</v>
      </c>
      <c r="J989" t="s">
        <v>17</v>
      </c>
      <c r="K989" s="23">
        <v>150</v>
      </c>
      <c r="L989" t="s">
        <v>18</v>
      </c>
      <c r="M989" t="s">
        <v>19</v>
      </c>
    </row>
    <row r="990" spans="1:13" hidden="1" x14ac:dyDescent="0.25">
      <c r="A990" s="5">
        <v>45877</v>
      </c>
      <c r="B990" t="s">
        <v>568</v>
      </c>
      <c r="C990" t="s">
        <v>439</v>
      </c>
      <c r="D990" t="s">
        <v>113</v>
      </c>
      <c r="E990" t="str">
        <f t="shared" si="16"/>
        <v>ADM</v>
      </c>
      <c r="F990" t="s">
        <v>438</v>
      </c>
      <c r="G990" t="s">
        <v>438</v>
      </c>
      <c r="J990" t="s">
        <v>17</v>
      </c>
      <c r="K990" s="23">
        <v>-130.53</v>
      </c>
      <c r="L990" t="s">
        <v>24</v>
      </c>
      <c r="M990" t="s">
        <v>25</v>
      </c>
    </row>
    <row r="991" spans="1:13" hidden="1" x14ac:dyDescent="0.25">
      <c r="A991" s="5">
        <v>45880</v>
      </c>
      <c r="B991" t="s">
        <v>569</v>
      </c>
      <c r="C991" t="s">
        <v>598</v>
      </c>
      <c r="D991" t="s">
        <v>56</v>
      </c>
      <c r="E991" t="str">
        <f t="shared" si="16"/>
        <v>Honorários</v>
      </c>
      <c r="F991" t="s">
        <v>513</v>
      </c>
      <c r="G991" t="s">
        <v>513</v>
      </c>
      <c r="I991" t="s">
        <v>75</v>
      </c>
      <c r="J991" t="s">
        <v>143</v>
      </c>
      <c r="K991" s="23">
        <v>455.4</v>
      </c>
      <c r="L991" t="s">
        <v>18</v>
      </c>
      <c r="M991" t="s">
        <v>19</v>
      </c>
    </row>
    <row r="992" spans="1:13" hidden="1" x14ac:dyDescent="0.25">
      <c r="A992" s="5">
        <v>45880</v>
      </c>
      <c r="B992" t="s">
        <v>568</v>
      </c>
      <c r="C992" t="s">
        <v>835</v>
      </c>
      <c r="D992" t="s">
        <v>15</v>
      </c>
      <c r="E992" t="str">
        <f t="shared" si="16"/>
        <v>ADM</v>
      </c>
      <c r="F992" t="s">
        <v>23</v>
      </c>
      <c r="G992" t="s">
        <v>23</v>
      </c>
      <c r="J992" t="s">
        <v>143</v>
      </c>
      <c r="K992" s="23">
        <v>-1638.72</v>
      </c>
      <c r="L992" t="s">
        <v>24</v>
      </c>
      <c r="M992" t="s">
        <v>25</v>
      </c>
    </row>
    <row r="993" spans="1:13" hidden="1" x14ac:dyDescent="0.25">
      <c r="A993" s="5">
        <v>45880</v>
      </c>
      <c r="B993" t="s">
        <v>569</v>
      </c>
      <c r="C993" t="s">
        <v>598</v>
      </c>
      <c r="D993" t="s">
        <v>56</v>
      </c>
      <c r="E993" t="str">
        <f t="shared" si="16"/>
        <v>Honorários</v>
      </c>
      <c r="F993" t="s">
        <v>513</v>
      </c>
      <c r="G993" t="s">
        <v>513</v>
      </c>
      <c r="I993" t="s">
        <v>75</v>
      </c>
      <c r="J993" t="s">
        <v>143</v>
      </c>
      <c r="K993" s="23">
        <v>455.4</v>
      </c>
      <c r="L993" t="s">
        <v>18</v>
      </c>
      <c r="M993" t="s">
        <v>19</v>
      </c>
    </row>
    <row r="994" spans="1:13" hidden="1" x14ac:dyDescent="0.25">
      <c r="A994" s="5">
        <v>45880</v>
      </c>
      <c r="B994" t="s">
        <v>569</v>
      </c>
      <c r="C994" t="s">
        <v>119</v>
      </c>
      <c r="D994" t="s">
        <v>72</v>
      </c>
      <c r="E994" t="str">
        <f t="shared" si="16"/>
        <v>FIN</v>
      </c>
      <c r="F994" t="s">
        <v>120</v>
      </c>
      <c r="G994" t="s">
        <v>120</v>
      </c>
      <c r="J994" t="s">
        <v>17</v>
      </c>
      <c r="K994" s="23">
        <v>-15</v>
      </c>
      <c r="L994" t="s">
        <v>24</v>
      </c>
      <c r="M994" t="s">
        <v>25</v>
      </c>
    </row>
    <row r="995" spans="1:13" hidden="1" x14ac:dyDescent="0.25">
      <c r="A995" s="5">
        <v>45880</v>
      </c>
      <c r="B995" t="s">
        <v>569</v>
      </c>
      <c r="C995" t="s">
        <v>836</v>
      </c>
      <c r="D995" t="s">
        <v>56</v>
      </c>
      <c r="E995" t="str">
        <f t="shared" si="16"/>
        <v>Honorários</v>
      </c>
      <c r="F995" t="s">
        <v>837</v>
      </c>
      <c r="G995" t="s">
        <v>837</v>
      </c>
      <c r="I995" t="s">
        <v>838</v>
      </c>
      <c r="J995" t="s">
        <v>143</v>
      </c>
      <c r="K995" s="23">
        <v>1000</v>
      </c>
      <c r="L995" t="s">
        <v>18</v>
      </c>
      <c r="M995" t="s">
        <v>19</v>
      </c>
    </row>
    <row r="996" spans="1:13" hidden="1" x14ac:dyDescent="0.25">
      <c r="A996" s="5">
        <v>45880</v>
      </c>
      <c r="B996" t="s">
        <v>568</v>
      </c>
      <c r="C996" t="s">
        <v>127</v>
      </c>
      <c r="D996" t="s">
        <v>128</v>
      </c>
      <c r="E996" t="str">
        <f t="shared" si="16"/>
        <v>PES</v>
      </c>
      <c r="F996" t="s">
        <v>129</v>
      </c>
      <c r="G996" t="s">
        <v>129</v>
      </c>
      <c r="J996" t="s">
        <v>17</v>
      </c>
      <c r="K996" s="23">
        <v>-106.73</v>
      </c>
      <c r="L996" t="s">
        <v>24</v>
      </c>
      <c r="M996" t="s">
        <v>25</v>
      </c>
    </row>
    <row r="997" spans="1:13" hidden="1" x14ac:dyDescent="0.25">
      <c r="A997" s="5">
        <v>45881</v>
      </c>
      <c r="B997" t="s">
        <v>569</v>
      </c>
      <c r="C997" t="s">
        <v>839</v>
      </c>
      <c r="D997" t="s">
        <v>308</v>
      </c>
      <c r="E997" t="str">
        <f t="shared" si="16"/>
        <v>T&amp;O</v>
      </c>
      <c r="F997" t="s">
        <v>303</v>
      </c>
      <c r="G997" t="s">
        <v>303</v>
      </c>
      <c r="J997" t="s">
        <v>143</v>
      </c>
      <c r="K997" s="23">
        <v>-129.69999999999999</v>
      </c>
      <c r="L997" t="s">
        <v>24</v>
      </c>
      <c r="M997" t="s">
        <v>25</v>
      </c>
    </row>
    <row r="998" spans="1:13" hidden="1" x14ac:dyDescent="0.25">
      <c r="A998" s="5">
        <v>45881</v>
      </c>
      <c r="B998" t="s">
        <v>569</v>
      </c>
      <c r="C998" t="s">
        <v>840</v>
      </c>
      <c r="D998" t="s">
        <v>56</v>
      </c>
      <c r="E998" t="str">
        <f t="shared" si="16"/>
        <v>Honorários</v>
      </c>
      <c r="F998" t="s">
        <v>841</v>
      </c>
      <c r="G998" t="s">
        <v>841</v>
      </c>
      <c r="I998" t="s">
        <v>842</v>
      </c>
      <c r="J998" t="s">
        <v>143</v>
      </c>
      <c r="K998" s="23">
        <v>795.55</v>
      </c>
      <c r="L998" t="s">
        <v>18</v>
      </c>
      <c r="M998" t="s">
        <v>19</v>
      </c>
    </row>
    <row r="999" spans="1:13" hidden="1" x14ac:dyDescent="0.25">
      <c r="A999" s="5">
        <v>45881</v>
      </c>
      <c r="B999" t="s">
        <v>569</v>
      </c>
      <c r="C999" t="s">
        <v>843</v>
      </c>
      <c r="D999" t="s">
        <v>56</v>
      </c>
      <c r="E999" t="str">
        <f t="shared" si="16"/>
        <v>Honorários</v>
      </c>
      <c r="F999" t="s">
        <v>483</v>
      </c>
      <c r="G999" t="s">
        <v>483</v>
      </c>
      <c r="I999" t="s">
        <v>93</v>
      </c>
      <c r="J999" t="s">
        <v>143</v>
      </c>
      <c r="K999" s="23">
        <v>1000</v>
      </c>
      <c r="L999" t="s">
        <v>18</v>
      </c>
      <c r="M999" t="s">
        <v>19</v>
      </c>
    </row>
    <row r="1000" spans="1:13" hidden="1" x14ac:dyDescent="0.25">
      <c r="A1000" s="5">
        <v>45881</v>
      </c>
      <c r="B1000" t="s">
        <v>569</v>
      </c>
      <c r="C1000" t="s">
        <v>844</v>
      </c>
      <c r="D1000" t="s">
        <v>103</v>
      </c>
      <c r="E1000" t="str">
        <f t="shared" si="16"/>
        <v>ADM</v>
      </c>
      <c r="F1000" t="s">
        <v>845</v>
      </c>
      <c r="G1000" t="s">
        <v>845</v>
      </c>
      <c r="J1000" t="s">
        <v>143</v>
      </c>
      <c r="K1000" s="23">
        <v>-150</v>
      </c>
      <c r="L1000" t="s">
        <v>24</v>
      </c>
      <c r="M1000" t="s">
        <v>25</v>
      </c>
    </row>
    <row r="1001" spans="1:13" hidden="1" x14ac:dyDescent="0.25">
      <c r="A1001" s="5">
        <v>45881</v>
      </c>
      <c r="B1001" t="s">
        <v>569</v>
      </c>
      <c r="C1001" t="s">
        <v>775</v>
      </c>
      <c r="D1001" t="s">
        <v>56</v>
      </c>
      <c r="E1001" t="str">
        <f t="shared" si="16"/>
        <v>Honorários</v>
      </c>
      <c r="F1001" t="s">
        <v>776</v>
      </c>
      <c r="G1001" t="s">
        <v>776</v>
      </c>
      <c r="I1001" t="s">
        <v>777</v>
      </c>
      <c r="J1001" t="s">
        <v>143</v>
      </c>
      <c r="K1001" s="23">
        <v>168</v>
      </c>
      <c r="L1001" t="s">
        <v>18</v>
      </c>
      <c r="M1001" t="s">
        <v>19</v>
      </c>
    </row>
    <row r="1002" spans="1:13" hidden="1" x14ac:dyDescent="0.25">
      <c r="A1002" s="5">
        <v>45881</v>
      </c>
      <c r="B1002" t="s">
        <v>569</v>
      </c>
      <c r="C1002" t="s">
        <v>846</v>
      </c>
      <c r="D1002" t="s">
        <v>30</v>
      </c>
      <c r="E1002" t="str">
        <f t="shared" si="16"/>
        <v>ADM</v>
      </c>
      <c r="F1002" t="s">
        <v>847</v>
      </c>
      <c r="G1002" t="s">
        <v>847</v>
      </c>
      <c r="J1002" t="s">
        <v>143</v>
      </c>
      <c r="K1002" s="23">
        <v>-499.53</v>
      </c>
      <c r="L1002" t="s">
        <v>24</v>
      </c>
      <c r="M1002" t="s">
        <v>25</v>
      </c>
    </row>
    <row r="1003" spans="1:13" hidden="1" x14ac:dyDescent="0.25">
      <c r="A1003" s="5">
        <v>45881</v>
      </c>
      <c r="B1003" t="s">
        <v>569</v>
      </c>
      <c r="C1003" t="s">
        <v>578</v>
      </c>
      <c r="D1003" t="s">
        <v>56</v>
      </c>
      <c r="E1003" t="str">
        <f t="shared" si="16"/>
        <v>Honorários</v>
      </c>
      <c r="F1003" t="s">
        <v>322</v>
      </c>
      <c r="G1003" t="s">
        <v>322</v>
      </c>
      <c r="I1003" t="s">
        <v>323</v>
      </c>
      <c r="J1003" t="s">
        <v>143</v>
      </c>
      <c r="K1003" s="23">
        <v>1268.0999999999999</v>
      </c>
      <c r="L1003" t="s">
        <v>18</v>
      </c>
      <c r="M1003" t="s">
        <v>19</v>
      </c>
    </row>
    <row r="1004" spans="1:13" hidden="1" x14ac:dyDescent="0.25">
      <c r="A1004" s="5">
        <v>45882</v>
      </c>
      <c r="B1004" t="s">
        <v>568</v>
      </c>
      <c r="C1004" t="s">
        <v>848</v>
      </c>
      <c r="D1004" t="s">
        <v>849</v>
      </c>
      <c r="E1004" t="str">
        <f t="shared" si="16"/>
        <v>ADM</v>
      </c>
      <c r="F1004" t="s">
        <v>850</v>
      </c>
      <c r="G1004" t="s">
        <v>850</v>
      </c>
      <c r="J1004" t="s">
        <v>143</v>
      </c>
      <c r="K1004" s="23">
        <v>-1105.68</v>
      </c>
      <c r="L1004" t="s">
        <v>24</v>
      </c>
      <c r="M1004" t="s">
        <v>25</v>
      </c>
    </row>
    <row r="1005" spans="1:13" hidden="1" x14ac:dyDescent="0.25">
      <c r="A1005" s="5">
        <v>45882</v>
      </c>
      <c r="B1005" t="s">
        <v>569</v>
      </c>
      <c r="C1005" t="s">
        <v>851</v>
      </c>
      <c r="D1005" t="s">
        <v>215</v>
      </c>
      <c r="E1005" t="str">
        <f t="shared" si="16"/>
        <v>COM</v>
      </c>
      <c r="F1005" t="s">
        <v>852</v>
      </c>
      <c r="G1005" t="s">
        <v>852</v>
      </c>
      <c r="J1005" t="s">
        <v>143</v>
      </c>
      <c r="K1005" s="23">
        <v>-210</v>
      </c>
      <c r="L1005" t="s">
        <v>24</v>
      </c>
      <c r="M1005" t="s">
        <v>25</v>
      </c>
    </row>
    <row r="1006" spans="1:13" hidden="1" x14ac:dyDescent="0.25">
      <c r="A1006" s="5">
        <v>45882</v>
      </c>
      <c r="B1006" t="s">
        <v>569</v>
      </c>
      <c r="C1006" t="s">
        <v>853</v>
      </c>
      <c r="D1006" t="s">
        <v>300</v>
      </c>
      <c r="E1006" t="str">
        <f t="shared" si="16"/>
        <v>VAR</v>
      </c>
      <c r="F1006" t="s">
        <v>854</v>
      </c>
      <c r="G1006" t="s">
        <v>854</v>
      </c>
      <c r="I1006" t="s">
        <v>855</v>
      </c>
      <c r="J1006" t="s">
        <v>143</v>
      </c>
      <c r="K1006" s="23">
        <v>-300</v>
      </c>
      <c r="L1006" t="s">
        <v>24</v>
      </c>
      <c r="M1006" t="s">
        <v>25</v>
      </c>
    </row>
    <row r="1007" spans="1:13" hidden="1" x14ac:dyDescent="0.25">
      <c r="A1007" s="5">
        <v>45882</v>
      </c>
      <c r="B1007" t="s">
        <v>568</v>
      </c>
      <c r="C1007" t="s">
        <v>856</v>
      </c>
      <c r="D1007" t="s">
        <v>815</v>
      </c>
      <c r="E1007" t="str">
        <f t="shared" ref="E1007:E1008" si="17">IF(ISERROR(FIND("-",D1007,1)),D1007,LEFT(D1007,3))</f>
        <v>Transferência</v>
      </c>
      <c r="F1007" t="s">
        <v>568</v>
      </c>
      <c r="G1007" t="s">
        <v>568</v>
      </c>
      <c r="J1007" t="s">
        <v>143</v>
      </c>
      <c r="K1007" s="23">
        <v>3085.85</v>
      </c>
      <c r="L1007" t="s">
        <v>18</v>
      </c>
      <c r="M1007" t="s">
        <v>19</v>
      </c>
    </row>
    <row r="1008" spans="1:13" hidden="1" x14ac:dyDescent="0.25">
      <c r="A1008" s="5">
        <v>45882</v>
      </c>
      <c r="B1008" t="s">
        <v>569</v>
      </c>
      <c r="C1008" t="s">
        <v>856</v>
      </c>
      <c r="D1008" t="s">
        <v>815</v>
      </c>
      <c r="E1008" t="str">
        <f t="shared" si="17"/>
        <v>Transferência</v>
      </c>
      <c r="F1008" t="s">
        <v>569</v>
      </c>
      <c r="G1008" t="s">
        <v>569</v>
      </c>
      <c r="J1008" t="s">
        <v>143</v>
      </c>
      <c r="K1008" s="23">
        <v>-3085.85</v>
      </c>
      <c r="L1008" t="s">
        <v>24</v>
      </c>
      <c r="M1008" t="s">
        <v>25</v>
      </c>
    </row>
    <row r="1009" spans="1:13" hidden="1" x14ac:dyDescent="0.25">
      <c r="A1009" s="5">
        <v>45882</v>
      </c>
      <c r="B1009" t="s">
        <v>568</v>
      </c>
      <c r="C1009" t="s">
        <v>395</v>
      </c>
      <c r="D1009" t="s">
        <v>56</v>
      </c>
      <c r="E1009" t="str">
        <f t="shared" si="16"/>
        <v>Honorários</v>
      </c>
      <c r="F1009" t="s">
        <v>681</v>
      </c>
      <c r="G1009" t="s">
        <v>681</v>
      </c>
      <c r="I1009" t="s">
        <v>682</v>
      </c>
      <c r="J1009" t="s">
        <v>17</v>
      </c>
      <c r="K1009" s="23">
        <v>97.15</v>
      </c>
      <c r="L1009" t="s">
        <v>18</v>
      </c>
      <c r="M1009" t="s">
        <v>19</v>
      </c>
    </row>
    <row r="1010" spans="1:13" hidden="1" x14ac:dyDescent="0.25">
      <c r="A1010" s="5">
        <v>45883</v>
      </c>
      <c r="B1010" t="s">
        <v>569</v>
      </c>
      <c r="C1010" t="s">
        <v>857</v>
      </c>
      <c r="D1010" t="s">
        <v>28</v>
      </c>
      <c r="E1010" t="str">
        <f t="shared" si="16"/>
        <v>ADM</v>
      </c>
      <c r="F1010" t="s">
        <v>540</v>
      </c>
      <c r="G1010" t="s">
        <v>540</v>
      </c>
      <c r="J1010" t="s">
        <v>143</v>
      </c>
      <c r="K1010" s="23">
        <v>-92</v>
      </c>
      <c r="L1010" t="s">
        <v>24</v>
      </c>
      <c r="M1010" t="s">
        <v>25</v>
      </c>
    </row>
    <row r="1011" spans="1:13" hidden="1" x14ac:dyDescent="0.25">
      <c r="A1011" s="5">
        <v>45884</v>
      </c>
      <c r="B1011" t="s">
        <v>569</v>
      </c>
      <c r="C1011" t="s">
        <v>13</v>
      </c>
      <c r="D1011" t="s">
        <v>15</v>
      </c>
      <c r="E1011" t="str">
        <f t="shared" si="16"/>
        <v>ADM</v>
      </c>
      <c r="F1011" t="s">
        <v>16</v>
      </c>
      <c r="G1011" t="s">
        <v>16</v>
      </c>
      <c r="J1011" t="s">
        <v>17</v>
      </c>
      <c r="K1011" s="23">
        <v>-1022.8</v>
      </c>
      <c r="L1011" t="s">
        <v>24</v>
      </c>
      <c r="M1011" t="s">
        <v>25</v>
      </c>
    </row>
    <row r="1012" spans="1:13" hidden="1" x14ac:dyDescent="0.25">
      <c r="A1012" s="5">
        <v>45884</v>
      </c>
      <c r="B1012" t="s">
        <v>13</v>
      </c>
      <c r="C1012" t="s">
        <v>35</v>
      </c>
      <c r="D1012" t="s">
        <v>30</v>
      </c>
      <c r="E1012" t="str">
        <f t="shared" si="16"/>
        <v>ADM</v>
      </c>
      <c r="F1012" t="s">
        <v>16</v>
      </c>
      <c r="G1012" t="s">
        <v>16</v>
      </c>
      <c r="J1012" t="s">
        <v>17</v>
      </c>
      <c r="K1012" s="23">
        <v>-120.29</v>
      </c>
      <c r="L1012" t="s">
        <v>24</v>
      </c>
      <c r="M1012" t="s">
        <v>25</v>
      </c>
    </row>
    <row r="1013" spans="1:13" hidden="1" x14ac:dyDescent="0.25">
      <c r="A1013" s="5">
        <v>45884</v>
      </c>
      <c r="B1013" t="s">
        <v>13</v>
      </c>
      <c r="C1013" t="s">
        <v>14</v>
      </c>
      <c r="D1013" t="s">
        <v>15</v>
      </c>
      <c r="E1013" t="str">
        <f t="shared" si="16"/>
        <v>ADM</v>
      </c>
      <c r="F1013" t="s">
        <v>16</v>
      </c>
      <c r="G1013" t="s">
        <v>16</v>
      </c>
      <c r="J1013" t="s">
        <v>143</v>
      </c>
      <c r="K1013" s="23">
        <v>1022.8</v>
      </c>
      <c r="L1013" t="s">
        <v>18</v>
      </c>
      <c r="M1013" t="s">
        <v>19</v>
      </c>
    </row>
    <row r="1014" spans="1:13" hidden="1" x14ac:dyDescent="0.25">
      <c r="A1014" s="5">
        <v>45884</v>
      </c>
      <c r="B1014" t="s">
        <v>569</v>
      </c>
      <c r="C1014" t="s">
        <v>858</v>
      </c>
      <c r="D1014" t="s">
        <v>300</v>
      </c>
      <c r="E1014" t="str">
        <f t="shared" si="16"/>
        <v>VAR</v>
      </c>
      <c r="F1014" t="s">
        <v>645</v>
      </c>
      <c r="G1014" t="s">
        <v>645</v>
      </c>
      <c r="J1014" t="s">
        <v>143</v>
      </c>
      <c r="K1014" s="23">
        <v>-100</v>
      </c>
      <c r="L1014" t="s">
        <v>24</v>
      </c>
      <c r="M1014" t="s">
        <v>25</v>
      </c>
    </row>
    <row r="1015" spans="1:13" hidden="1" x14ac:dyDescent="0.25">
      <c r="A1015" s="5">
        <v>45884</v>
      </c>
      <c r="B1015" t="s">
        <v>569</v>
      </c>
      <c r="C1015" t="s">
        <v>859</v>
      </c>
      <c r="D1015" t="s">
        <v>626</v>
      </c>
      <c r="E1015" t="str">
        <f>IF(ISERROR(FIND("-",D1015,1)),D1015,LEFT(D1015,3))</f>
        <v>Reembolso</v>
      </c>
      <c r="F1015" t="s">
        <v>327</v>
      </c>
      <c r="G1015" t="s">
        <v>327</v>
      </c>
      <c r="J1015" t="s">
        <v>143</v>
      </c>
      <c r="K1015" s="23">
        <v>-108.62</v>
      </c>
      <c r="L1015" t="s">
        <v>24</v>
      </c>
      <c r="M1015" t="s">
        <v>25</v>
      </c>
    </row>
    <row r="1016" spans="1:13" hidden="1" x14ac:dyDescent="0.25">
      <c r="A1016" s="5">
        <v>45884</v>
      </c>
      <c r="B1016" t="s">
        <v>568</v>
      </c>
      <c r="C1016" t="s">
        <v>860</v>
      </c>
      <c r="D1016" t="s">
        <v>198</v>
      </c>
      <c r="E1016" t="str">
        <f t="shared" si="16"/>
        <v>PES</v>
      </c>
      <c r="F1016" t="s">
        <v>208</v>
      </c>
      <c r="G1016" t="s">
        <v>208</v>
      </c>
      <c r="J1016" t="s">
        <v>143</v>
      </c>
      <c r="K1016" s="23">
        <v>-1841.67</v>
      </c>
      <c r="L1016" t="s">
        <v>24</v>
      </c>
      <c r="M1016" t="s">
        <v>25</v>
      </c>
    </row>
    <row r="1017" spans="1:13" hidden="1" x14ac:dyDescent="0.25">
      <c r="A1017" s="5">
        <v>45884</v>
      </c>
      <c r="B1017" t="s">
        <v>569</v>
      </c>
      <c r="C1017" t="s">
        <v>550</v>
      </c>
      <c r="D1017" t="s">
        <v>611</v>
      </c>
      <c r="E1017" t="str">
        <f t="shared" si="16"/>
        <v>COM</v>
      </c>
      <c r="F1017" t="s">
        <v>861</v>
      </c>
      <c r="G1017" t="s">
        <v>861</v>
      </c>
      <c r="J1017" t="s">
        <v>143</v>
      </c>
      <c r="K1017" s="23">
        <v>-253.39</v>
      </c>
      <c r="L1017" t="s">
        <v>24</v>
      </c>
      <c r="M1017" t="s">
        <v>25</v>
      </c>
    </row>
    <row r="1018" spans="1:13" hidden="1" x14ac:dyDescent="0.25">
      <c r="A1018" s="5">
        <v>45884</v>
      </c>
      <c r="B1018" t="s">
        <v>13</v>
      </c>
      <c r="C1018" t="s">
        <v>47</v>
      </c>
      <c r="D1018" t="s">
        <v>30</v>
      </c>
      <c r="E1018" t="str">
        <f t="shared" si="16"/>
        <v>ADM</v>
      </c>
      <c r="F1018" t="s">
        <v>16</v>
      </c>
      <c r="G1018" t="s">
        <v>16</v>
      </c>
      <c r="J1018" t="s">
        <v>17</v>
      </c>
      <c r="K1018" s="23">
        <v>-249.21</v>
      </c>
      <c r="L1018" t="s">
        <v>24</v>
      </c>
      <c r="M1018" t="s">
        <v>25</v>
      </c>
    </row>
    <row r="1019" spans="1:13" hidden="1" x14ac:dyDescent="0.25">
      <c r="A1019" s="5">
        <v>45884</v>
      </c>
      <c r="B1019" t="s">
        <v>569</v>
      </c>
      <c r="C1019" t="s">
        <v>862</v>
      </c>
      <c r="D1019" t="s">
        <v>300</v>
      </c>
      <c r="E1019" t="str">
        <f t="shared" si="16"/>
        <v>VAR</v>
      </c>
      <c r="F1019" t="s">
        <v>863</v>
      </c>
      <c r="G1019" t="s">
        <v>863</v>
      </c>
      <c r="J1019" t="s">
        <v>143</v>
      </c>
      <c r="K1019" s="23">
        <v>-300</v>
      </c>
      <c r="L1019" t="s">
        <v>24</v>
      </c>
      <c r="M1019" t="s">
        <v>25</v>
      </c>
    </row>
    <row r="1020" spans="1:13" hidden="1" x14ac:dyDescent="0.25">
      <c r="A1020" s="5">
        <v>45884</v>
      </c>
      <c r="B1020" t="s">
        <v>569</v>
      </c>
      <c r="C1020" t="s">
        <v>584</v>
      </c>
      <c r="D1020" t="s">
        <v>99</v>
      </c>
      <c r="E1020" t="str">
        <f t="shared" si="16"/>
        <v>ADM</v>
      </c>
      <c r="F1020" t="s">
        <v>100</v>
      </c>
      <c r="G1020" t="s">
        <v>100</v>
      </c>
      <c r="J1020" t="s">
        <v>143</v>
      </c>
      <c r="K1020" s="23">
        <v>-340</v>
      </c>
      <c r="L1020" t="s">
        <v>24</v>
      </c>
      <c r="M1020" t="s">
        <v>25</v>
      </c>
    </row>
    <row r="1021" spans="1:13" hidden="1" x14ac:dyDescent="0.25">
      <c r="A1021" s="5">
        <v>45884</v>
      </c>
      <c r="B1021" t="s">
        <v>13</v>
      </c>
      <c r="C1021" t="s">
        <v>29</v>
      </c>
      <c r="D1021" t="s">
        <v>30</v>
      </c>
      <c r="E1021" t="str">
        <f t="shared" si="16"/>
        <v>ADM</v>
      </c>
      <c r="F1021" t="s">
        <v>16</v>
      </c>
      <c r="G1021" t="s">
        <v>16</v>
      </c>
      <c r="J1021" t="s">
        <v>17</v>
      </c>
      <c r="K1021" s="23">
        <v>-653.29999999999995</v>
      </c>
      <c r="L1021" t="s">
        <v>24</v>
      </c>
      <c r="M1021" t="s">
        <v>25</v>
      </c>
    </row>
    <row r="1022" spans="1:13" hidden="1" x14ac:dyDescent="0.25">
      <c r="A1022" s="5">
        <v>45884</v>
      </c>
      <c r="B1022" t="s">
        <v>569</v>
      </c>
      <c r="C1022" t="s">
        <v>864</v>
      </c>
      <c r="D1022" t="s">
        <v>308</v>
      </c>
      <c r="E1022" t="str">
        <f t="shared" si="16"/>
        <v>T&amp;O</v>
      </c>
      <c r="F1022" t="s">
        <v>309</v>
      </c>
      <c r="G1022" t="s">
        <v>309</v>
      </c>
      <c r="J1022" t="s">
        <v>143</v>
      </c>
      <c r="K1022" s="23">
        <v>-700</v>
      </c>
      <c r="L1022" t="s">
        <v>24</v>
      </c>
      <c r="M1022" t="s">
        <v>25</v>
      </c>
    </row>
    <row r="1023" spans="1:13" hidden="1" x14ac:dyDescent="0.25">
      <c r="A1023" s="5">
        <v>45887</v>
      </c>
      <c r="B1023" t="s">
        <v>568</v>
      </c>
      <c r="C1023" t="s">
        <v>865</v>
      </c>
      <c r="D1023" t="s">
        <v>56</v>
      </c>
      <c r="E1023" t="str">
        <f t="shared" si="16"/>
        <v>Honorários</v>
      </c>
      <c r="F1023" t="s">
        <v>866</v>
      </c>
      <c r="G1023" t="s">
        <v>866</v>
      </c>
      <c r="I1023" t="s">
        <v>93</v>
      </c>
      <c r="J1023" t="s">
        <v>143</v>
      </c>
      <c r="K1023" s="23">
        <v>3525.48</v>
      </c>
      <c r="L1023" t="s">
        <v>18</v>
      </c>
      <c r="M1023" t="s">
        <v>19</v>
      </c>
    </row>
    <row r="1024" spans="1:13" hidden="1" x14ac:dyDescent="0.25">
      <c r="A1024" s="5">
        <v>45887</v>
      </c>
      <c r="B1024" t="s">
        <v>568</v>
      </c>
      <c r="C1024" t="s">
        <v>758</v>
      </c>
      <c r="D1024" t="s">
        <v>56</v>
      </c>
      <c r="E1024" t="str">
        <f t="shared" si="16"/>
        <v>Honorários</v>
      </c>
      <c r="F1024" t="s">
        <v>867</v>
      </c>
      <c r="G1024" t="s">
        <v>867</v>
      </c>
      <c r="I1024" t="s">
        <v>58</v>
      </c>
      <c r="J1024" t="s">
        <v>143</v>
      </c>
      <c r="K1024" s="23">
        <v>4540.7</v>
      </c>
      <c r="L1024" t="s">
        <v>18</v>
      </c>
      <c r="M1024" t="s">
        <v>19</v>
      </c>
    </row>
    <row r="1025" spans="1:13" hidden="1" x14ac:dyDescent="0.25">
      <c r="A1025" s="5">
        <v>45887</v>
      </c>
      <c r="B1025" t="s">
        <v>568</v>
      </c>
      <c r="C1025" t="s">
        <v>868</v>
      </c>
      <c r="D1025" t="s">
        <v>149</v>
      </c>
      <c r="E1025" t="str">
        <f t="shared" si="16"/>
        <v>ADM</v>
      </c>
      <c r="F1025" t="s">
        <v>798</v>
      </c>
      <c r="G1025" t="s">
        <v>798</v>
      </c>
      <c r="J1025" t="s">
        <v>143</v>
      </c>
      <c r="K1025" s="23">
        <v>-3500</v>
      </c>
      <c r="L1025" t="s">
        <v>24</v>
      </c>
      <c r="M1025" t="s">
        <v>25</v>
      </c>
    </row>
    <row r="1026" spans="1:13" hidden="1" x14ac:dyDescent="0.25">
      <c r="A1026" s="5">
        <v>45887</v>
      </c>
      <c r="B1026" t="s">
        <v>568</v>
      </c>
      <c r="C1026" t="s">
        <v>869</v>
      </c>
      <c r="D1026" t="s">
        <v>56</v>
      </c>
      <c r="E1026" t="str">
        <f t="shared" si="16"/>
        <v>Honorários</v>
      </c>
      <c r="F1026" t="s">
        <v>348</v>
      </c>
      <c r="G1026" t="s">
        <v>348</v>
      </c>
      <c r="I1026" t="s">
        <v>349</v>
      </c>
      <c r="J1026" t="s">
        <v>143</v>
      </c>
      <c r="K1026" s="23">
        <v>22021.26</v>
      </c>
      <c r="L1026" t="s">
        <v>18</v>
      </c>
      <c r="M1026" t="s">
        <v>19</v>
      </c>
    </row>
    <row r="1027" spans="1:13" hidden="1" x14ac:dyDescent="0.25">
      <c r="A1027" s="5">
        <v>45887</v>
      </c>
      <c r="B1027" t="s">
        <v>569</v>
      </c>
      <c r="C1027" t="s">
        <v>56</v>
      </c>
      <c r="D1027" t="s">
        <v>56</v>
      </c>
      <c r="E1027" t="str">
        <f t="shared" si="16"/>
        <v>Honorários</v>
      </c>
      <c r="F1027" t="s">
        <v>414</v>
      </c>
      <c r="G1027" t="s">
        <v>414</v>
      </c>
      <c r="I1027" t="s">
        <v>75</v>
      </c>
      <c r="J1027" t="s">
        <v>143</v>
      </c>
      <c r="K1027" s="23">
        <v>1103.9100000000001</v>
      </c>
      <c r="L1027" t="s">
        <v>18</v>
      </c>
      <c r="M1027" t="s">
        <v>19</v>
      </c>
    </row>
    <row r="1028" spans="1:13" hidden="1" x14ac:dyDescent="0.25">
      <c r="A1028" s="5">
        <v>45888</v>
      </c>
      <c r="B1028" t="s">
        <v>569</v>
      </c>
      <c r="C1028" t="s">
        <v>805</v>
      </c>
      <c r="D1028" t="s">
        <v>56</v>
      </c>
      <c r="E1028" t="str">
        <f t="shared" si="16"/>
        <v>Honorários</v>
      </c>
      <c r="F1028" t="s">
        <v>870</v>
      </c>
      <c r="G1028" t="s">
        <v>870</v>
      </c>
      <c r="I1028" t="s">
        <v>605</v>
      </c>
      <c r="J1028" t="s">
        <v>143</v>
      </c>
      <c r="K1028" s="23">
        <v>1828.14</v>
      </c>
      <c r="L1028" t="s">
        <v>18</v>
      </c>
      <c r="M1028" t="s">
        <v>19</v>
      </c>
    </row>
    <row r="1029" spans="1:13" hidden="1" x14ac:dyDescent="0.25">
      <c r="A1029" s="5">
        <v>45889</v>
      </c>
      <c r="B1029" t="s">
        <v>568</v>
      </c>
      <c r="C1029" t="s">
        <v>165</v>
      </c>
      <c r="D1029" t="s">
        <v>166</v>
      </c>
      <c r="E1029" t="str">
        <f t="shared" si="16"/>
        <v>PES</v>
      </c>
      <c r="F1029" t="s">
        <v>537</v>
      </c>
      <c r="G1029" t="s">
        <v>537</v>
      </c>
      <c r="J1029" t="s">
        <v>17</v>
      </c>
      <c r="K1029" s="23">
        <v>-2392.46</v>
      </c>
      <c r="L1029" t="s">
        <v>24</v>
      </c>
      <c r="M1029" t="s">
        <v>25</v>
      </c>
    </row>
    <row r="1030" spans="1:13" hidden="1" x14ac:dyDescent="0.25">
      <c r="A1030" s="5">
        <v>45889</v>
      </c>
      <c r="B1030" t="s">
        <v>568</v>
      </c>
      <c r="C1030" t="s">
        <v>158</v>
      </c>
      <c r="D1030" t="s">
        <v>159</v>
      </c>
      <c r="E1030" t="str">
        <f t="shared" si="16"/>
        <v>PES</v>
      </c>
      <c r="F1030" t="s">
        <v>158</v>
      </c>
      <c r="G1030" t="s">
        <v>158</v>
      </c>
      <c r="J1030" t="s">
        <v>17</v>
      </c>
      <c r="K1030" s="23">
        <v>-507.43</v>
      </c>
      <c r="L1030" t="s">
        <v>24</v>
      </c>
      <c r="M1030" t="s">
        <v>25</v>
      </c>
    </row>
    <row r="1031" spans="1:13" hidden="1" x14ac:dyDescent="0.25">
      <c r="A1031" s="5">
        <v>45889</v>
      </c>
      <c r="B1031" t="s">
        <v>568</v>
      </c>
      <c r="C1031" t="s">
        <v>153</v>
      </c>
      <c r="D1031" t="s">
        <v>154</v>
      </c>
      <c r="E1031" t="str">
        <f t="shared" ref="E1031:E1069" si="18">IF(OR(D1031="Honorários",D1031="Despesa do cliente"),D1031,LEFT(D1031,3))</f>
        <v>ADM</v>
      </c>
      <c r="F1031" t="s">
        <v>155</v>
      </c>
      <c r="G1031" t="s">
        <v>155</v>
      </c>
      <c r="J1031" t="s">
        <v>17</v>
      </c>
      <c r="K1031" s="23">
        <v>-132.22999999999999</v>
      </c>
      <c r="L1031" t="s">
        <v>24</v>
      </c>
      <c r="M1031" t="s">
        <v>25</v>
      </c>
    </row>
    <row r="1032" spans="1:13" hidden="1" x14ac:dyDescent="0.25">
      <c r="A1032" s="5">
        <v>45889</v>
      </c>
      <c r="B1032" t="s">
        <v>569</v>
      </c>
      <c r="C1032" t="s">
        <v>871</v>
      </c>
      <c r="D1032" t="s">
        <v>56</v>
      </c>
      <c r="E1032" t="str">
        <f t="shared" si="18"/>
        <v>Honorários</v>
      </c>
      <c r="F1032" t="s">
        <v>872</v>
      </c>
      <c r="G1032" t="s">
        <v>872</v>
      </c>
      <c r="I1032" t="s">
        <v>75</v>
      </c>
      <c r="J1032" t="s">
        <v>143</v>
      </c>
      <c r="K1032" s="23">
        <v>1750</v>
      </c>
      <c r="L1032" t="s">
        <v>18</v>
      </c>
      <c r="M1032" t="s">
        <v>19</v>
      </c>
    </row>
    <row r="1033" spans="1:13" hidden="1" x14ac:dyDescent="0.25">
      <c r="A1033" s="5">
        <v>45889</v>
      </c>
      <c r="B1033" t="s">
        <v>568</v>
      </c>
      <c r="C1033" t="s">
        <v>873</v>
      </c>
      <c r="D1033" t="s">
        <v>56</v>
      </c>
      <c r="E1033" t="str">
        <f t="shared" si="18"/>
        <v>Honorários</v>
      </c>
      <c r="F1033" t="s">
        <v>752</v>
      </c>
      <c r="G1033" t="s">
        <v>752</v>
      </c>
      <c r="I1033" t="s">
        <v>753</v>
      </c>
      <c r="J1033" t="s">
        <v>143</v>
      </c>
      <c r="K1033" s="23">
        <v>462.7</v>
      </c>
      <c r="L1033" t="s">
        <v>18</v>
      </c>
      <c r="M1033" t="s">
        <v>19</v>
      </c>
    </row>
    <row r="1034" spans="1:13" hidden="1" x14ac:dyDescent="0.25">
      <c r="A1034" s="5">
        <v>45889</v>
      </c>
      <c r="B1034" t="s">
        <v>569</v>
      </c>
      <c r="C1034" t="s">
        <v>722</v>
      </c>
      <c r="D1034" t="s">
        <v>56</v>
      </c>
      <c r="E1034" t="str">
        <f t="shared" si="18"/>
        <v>Honorários</v>
      </c>
      <c r="F1034" t="s">
        <v>723</v>
      </c>
      <c r="G1034" t="s">
        <v>723</v>
      </c>
      <c r="I1034" t="s">
        <v>724</v>
      </c>
      <c r="J1034" t="s">
        <v>143</v>
      </c>
      <c r="K1034" s="23">
        <v>500</v>
      </c>
      <c r="L1034" t="s">
        <v>18</v>
      </c>
      <c r="M1034" t="s">
        <v>19</v>
      </c>
    </row>
    <row r="1035" spans="1:13" hidden="1" x14ac:dyDescent="0.25">
      <c r="A1035" s="5">
        <v>45889</v>
      </c>
      <c r="B1035" t="s">
        <v>569</v>
      </c>
      <c r="C1035" t="s">
        <v>874</v>
      </c>
      <c r="D1035" t="s">
        <v>300</v>
      </c>
      <c r="E1035" t="str">
        <f t="shared" si="18"/>
        <v>VAR</v>
      </c>
      <c r="F1035" t="s">
        <v>875</v>
      </c>
      <c r="G1035" t="s">
        <v>875</v>
      </c>
      <c r="J1035" t="s">
        <v>143</v>
      </c>
      <c r="K1035" s="23">
        <v>-600</v>
      </c>
      <c r="L1035" t="s">
        <v>24</v>
      </c>
      <c r="M1035" t="s">
        <v>25</v>
      </c>
    </row>
    <row r="1036" spans="1:13" hidden="1" x14ac:dyDescent="0.25">
      <c r="A1036" s="5">
        <v>45889</v>
      </c>
      <c r="B1036" t="s">
        <v>569</v>
      </c>
      <c r="C1036" t="s">
        <v>722</v>
      </c>
      <c r="D1036" t="s">
        <v>56</v>
      </c>
      <c r="E1036" t="str">
        <f t="shared" si="18"/>
        <v>Honorários</v>
      </c>
      <c r="F1036" t="s">
        <v>723</v>
      </c>
      <c r="G1036" t="s">
        <v>723</v>
      </c>
      <c r="I1036" t="s">
        <v>724</v>
      </c>
      <c r="J1036" t="s">
        <v>143</v>
      </c>
      <c r="K1036" s="23">
        <v>500</v>
      </c>
      <c r="L1036" t="s">
        <v>18</v>
      </c>
      <c r="M1036" t="s">
        <v>19</v>
      </c>
    </row>
    <row r="1037" spans="1:13" hidden="1" x14ac:dyDescent="0.25">
      <c r="A1037" s="5">
        <v>45889</v>
      </c>
      <c r="B1037" t="s">
        <v>569</v>
      </c>
      <c r="C1037" t="s">
        <v>411</v>
      </c>
      <c r="D1037" t="s">
        <v>56</v>
      </c>
      <c r="E1037" t="str">
        <f t="shared" si="18"/>
        <v>Honorários</v>
      </c>
      <c r="F1037" t="s">
        <v>412</v>
      </c>
      <c r="G1037" t="s">
        <v>412</v>
      </c>
      <c r="I1037" t="s">
        <v>196</v>
      </c>
      <c r="J1037" t="s">
        <v>143</v>
      </c>
      <c r="K1037" s="23">
        <v>300</v>
      </c>
      <c r="L1037" t="s">
        <v>18</v>
      </c>
      <c r="M1037" t="s">
        <v>19</v>
      </c>
    </row>
    <row r="1038" spans="1:13" hidden="1" x14ac:dyDescent="0.25">
      <c r="A1038" s="5">
        <v>45889</v>
      </c>
      <c r="B1038" t="s">
        <v>568</v>
      </c>
      <c r="C1038" t="s">
        <v>351</v>
      </c>
      <c r="D1038" t="s">
        <v>302</v>
      </c>
      <c r="E1038" t="str">
        <f t="shared" si="18"/>
        <v>ADM</v>
      </c>
      <c r="F1038" t="s">
        <v>303</v>
      </c>
      <c r="G1038" t="s">
        <v>303</v>
      </c>
      <c r="J1038" t="s">
        <v>143</v>
      </c>
      <c r="K1038" s="23">
        <v>-125.57</v>
      </c>
      <c r="L1038" t="s">
        <v>24</v>
      </c>
      <c r="M1038" t="s">
        <v>25</v>
      </c>
    </row>
    <row r="1039" spans="1:13" hidden="1" x14ac:dyDescent="0.25">
      <c r="A1039" s="5">
        <v>45889</v>
      </c>
      <c r="B1039" t="s">
        <v>568</v>
      </c>
      <c r="C1039" t="s">
        <v>151</v>
      </c>
      <c r="D1039" t="s">
        <v>152</v>
      </c>
      <c r="E1039" t="str">
        <f t="shared" si="18"/>
        <v>VAR</v>
      </c>
      <c r="F1039" t="s">
        <v>151</v>
      </c>
      <c r="G1039" t="s">
        <v>151</v>
      </c>
      <c r="J1039" t="s">
        <v>17</v>
      </c>
      <c r="K1039" s="23">
        <v>-1414.05</v>
      </c>
      <c r="L1039" t="s">
        <v>24</v>
      </c>
      <c r="M1039" t="s">
        <v>25</v>
      </c>
    </row>
    <row r="1040" spans="1:13" hidden="1" x14ac:dyDescent="0.25">
      <c r="A1040" s="5">
        <v>45890</v>
      </c>
      <c r="B1040" t="s">
        <v>569</v>
      </c>
      <c r="C1040" s="17" t="s">
        <v>876</v>
      </c>
      <c r="D1040" t="s">
        <v>56</v>
      </c>
      <c r="E1040" t="str">
        <f t="shared" si="18"/>
        <v>Honorários</v>
      </c>
      <c r="F1040" t="s">
        <v>825</v>
      </c>
      <c r="G1040" t="s">
        <v>825</v>
      </c>
      <c r="I1040" t="s">
        <v>93</v>
      </c>
      <c r="J1040" t="s">
        <v>143</v>
      </c>
      <c r="K1040" s="23">
        <v>53261.91</v>
      </c>
      <c r="L1040" t="s">
        <v>18</v>
      </c>
      <c r="M1040" t="s">
        <v>19</v>
      </c>
    </row>
    <row r="1041" spans="1:13" hidden="1" x14ac:dyDescent="0.25">
      <c r="A1041" s="5">
        <v>45890</v>
      </c>
      <c r="B1041" t="s">
        <v>569</v>
      </c>
      <c r="C1041" s="17" t="s">
        <v>877</v>
      </c>
      <c r="D1041" t="s">
        <v>56</v>
      </c>
      <c r="E1041" t="str">
        <f t="shared" si="18"/>
        <v>Honorários</v>
      </c>
      <c r="F1041" t="s">
        <v>878</v>
      </c>
      <c r="G1041" t="s">
        <v>878</v>
      </c>
      <c r="I1041" t="s">
        <v>58</v>
      </c>
      <c r="J1041" t="s">
        <v>143</v>
      </c>
      <c r="K1041" s="23">
        <v>39801.17</v>
      </c>
      <c r="L1041" t="s">
        <v>18</v>
      </c>
      <c r="M1041" t="s">
        <v>19</v>
      </c>
    </row>
    <row r="1042" spans="1:13" hidden="1" x14ac:dyDescent="0.25">
      <c r="A1042" s="5">
        <v>45890</v>
      </c>
      <c r="B1042" t="s">
        <v>568</v>
      </c>
      <c r="C1042" t="s">
        <v>879</v>
      </c>
      <c r="D1042" t="s">
        <v>77</v>
      </c>
      <c r="E1042" t="str">
        <f t="shared" si="18"/>
        <v>Despesa do cliente</v>
      </c>
      <c r="F1042" t="s">
        <v>184</v>
      </c>
      <c r="G1042" t="s">
        <v>184</v>
      </c>
      <c r="I1042" t="s">
        <v>317</v>
      </c>
      <c r="J1042" t="s">
        <v>143</v>
      </c>
      <c r="K1042" s="23">
        <v>-575.55999999999995</v>
      </c>
      <c r="L1042" t="s">
        <v>24</v>
      </c>
      <c r="M1042" t="s">
        <v>25</v>
      </c>
    </row>
    <row r="1043" spans="1:13" hidden="1" x14ac:dyDescent="0.25">
      <c r="A1043" s="5">
        <v>45890</v>
      </c>
      <c r="B1043" t="s">
        <v>569</v>
      </c>
      <c r="C1043" t="s">
        <v>880</v>
      </c>
      <c r="D1043" t="s">
        <v>56</v>
      </c>
      <c r="E1043" t="str">
        <f t="shared" si="18"/>
        <v>Honorários</v>
      </c>
      <c r="F1043" t="s">
        <v>820</v>
      </c>
      <c r="G1043" t="s">
        <v>820</v>
      </c>
      <c r="I1043" t="s">
        <v>821</v>
      </c>
      <c r="J1043" t="s">
        <v>143</v>
      </c>
      <c r="K1043" s="23">
        <v>19391.810000000001</v>
      </c>
      <c r="L1043" t="s">
        <v>18</v>
      </c>
      <c r="M1043" t="s">
        <v>19</v>
      </c>
    </row>
    <row r="1044" spans="1:13" hidden="1" x14ac:dyDescent="0.25">
      <c r="A1044" s="5">
        <v>45891</v>
      </c>
      <c r="B1044" t="s">
        <v>569</v>
      </c>
      <c r="C1044" t="s">
        <v>881</v>
      </c>
      <c r="D1044" t="s">
        <v>300</v>
      </c>
      <c r="E1044" t="str">
        <f t="shared" si="18"/>
        <v>VAR</v>
      </c>
      <c r="F1044" t="s">
        <v>878</v>
      </c>
      <c r="G1044" t="s">
        <v>878</v>
      </c>
      <c r="I1044" t="s">
        <v>58</v>
      </c>
      <c r="J1044" t="s">
        <v>143</v>
      </c>
      <c r="K1044" s="23">
        <v>-9154.26</v>
      </c>
      <c r="L1044" t="s">
        <v>24</v>
      </c>
      <c r="M1044" t="s">
        <v>25</v>
      </c>
    </row>
    <row r="1045" spans="1:13" hidden="1" x14ac:dyDescent="0.25">
      <c r="A1045" s="5">
        <v>45891</v>
      </c>
      <c r="B1045" t="s">
        <v>569</v>
      </c>
      <c r="C1045" t="s">
        <v>584</v>
      </c>
      <c r="D1045" t="s">
        <v>99</v>
      </c>
      <c r="E1045" t="str">
        <f t="shared" si="18"/>
        <v>ADM</v>
      </c>
      <c r="F1045" t="s">
        <v>100</v>
      </c>
      <c r="G1045" t="s">
        <v>100</v>
      </c>
      <c r="J1045" t="s">
        <v>143</v>
      </c>
      <c r="K1045" s="23">
        <v>-340</v>
      </c>
      <c r="L1045" t="s">
        <v>24</v>
      </c>
      <c r="M1045" t="s">
        <v>25</v>
      </c>
    </row>
    <row r="1046" spans="1:13" hidden="1" x14ac:dyDescent="0.25">
      <c r="A1046" s="5">
        <v>45891</v>
      </c>
      <c r="B1046" t="s">
        <v>569</v>
      </c>
      <c r="C1046" t="s">
        <v>882</v>
      </c>
      <c r="D1046" s="17" t="s">
        <v>72</v>
      </c>
      <c r="E1046" t="str">
        <f t="shared" si="18"/>
        <v>FIN</v>
      </c>
      <c r="F1046" t="s">
        <v>120</v>
      </c>
      <c r="G1046" t="s">
        <v>120</v>
      </c>
      <c r="J1046" t="s">
        <v>143</v>
      </c>
      <c r="K1046" s="23">
        <v>-12.7</v>
      </c>
      <c r="L1046" t="s">
        <v>24</v>
      </c>
      <c r="M1046" t="s">
        <v>25</v>
      </c>
    </row>
    <row r="1047" spans="1:13" hidden="1" x14ac:dyDescent="0.25">
      <c r="A1047" s="5">
        <v>45891</v>
      </c>
      <c r="B1047" t="s">
        <v>568</v>
      </c>
      <c r="C1047" t="s">
        <v>883</v>
      </c>
      <c r="D1047" t="s">
        <v>162</v>
      </c>
      <c r="E1047" t="str">
        <f t="shared" si="18"/>
        <v>COM</v>
      </c>
      <c r="F1047" t="s">
        <v>884</v>
      </c>
      <c r="G1047" t="s">
        <v>884</v>
      </c>
      <c r="J1047" t="s">
        <v>143</v>
      </c>
      <c r="K1047" s="23">
        <v>-925</v>
      </c>
      <c r="L1047" t="s">
        <v>24</v>
      </c>
      <c r="M1047" t="s">
        <v>25</v>
      </c>
    </row>
    <row r="1048" spans="1:13" hidden="1" x14ac:dyDescent="0.25">
      <c r="A1048" s="5">
        <v>45895</v>
      </c>
      <c r="B1048" t="s">
        <v>569</v>
      </c>
      <c r="C1048" t="s">
        <v>885</v>
      </c>
      <c r="D1048" t="s">
        <v>28</v>
      </c>
      <c r="E1048" t="str">
        <f t="shared" si="18"/>
        <v>ADM</v>
      </c>
      <c r="F1048" t="s">
        <v>540</v>
      </c>
      <c r="G1048" t="s">
        <v>540</v>
      </c>
      <c r="J1048" t="s">
        <v>143</v>
      </c>
      <c r="K1048" s="23">
        <v>-58.65</v>
      </c>
      <c r="L1048" t="s">
        <v>24</v>
      </c>
      <c r="M1048" t="s">
        <v>25</v>
      </c>
    </row>
    <row r="1049" spans="1:13" hidden="1" x14ac:dyDescent="0.25">
      <c r="A1049" s="5">
        <v>45895</v>
      </c>
      <c r="B1049" t="s">
        <v>569</v>
      </c>
      <c r="C1049" t="s">
        <v>886</v>
      </c>
      <c r="D1049" s="17" t="s">
        <v>72</v>
      </c>
      <c r="E1049" t="str">
        <f t="shared" si="18"/>
        <v>FIN</v>
      </c>
      <c r="F1049" t="s">
        <v>120</v>
      </c>
      <c r="G1049" t="s">
        <v>120</v>
      </c>
      <c r="J1049" t="s">
        <v>143</v>
      </c>
      <c r="K1049" s="23">
        <v>-12.7</v>
      </c>
      <c r="L1049" t="s">
        <v>24</v>
      </c>
      <c r="M1049" t="s">
        <v>25</v>
      </c>
    </row>
    <row r="1050" spans="1:13" hidden="1" x14ac:dyDescent="0.25">
      <c r="A1050" s="5">
        <v>45897</v>
      </c>
      <c r="B1050" t="s">
        <v>569</v>
      </c>
      <c r="C1050" t="s">
        <v>887</v>
      </c>
      <c r="D1050" t="s">
        <v>77</v>
      </c>
      <c r="E1050" t="str">
        <f t="shared" si="18"/>
        <v>Despesa do cliente</v>
      </c>
      <c r="F1050" t="s">
        <v>604</v>
      </c>
      <c r="G1050" t="s">
        <v>604</v>
      </c>
      <c r="I1050" t="s">
        <v>605</v>
      </c>
      <c r="J1050" t="s">
        <v>17</v>
      </c>
      <c r="K1050" s="23">
        <v>-21.73</v>
      </c>
      <c r="L1050" t="s">
        <v>24</v>
      </c>
      <c r="M1050" t="s">
        <v>25</v>
      </c>
    </row>
    <row r="1051" spans="1:13" hidden="1" x14ac:dyDescent="0.25">
      <c r="A1051" s="5">
        <v>45897</v>
      </c>
      <c r="B1051" t="s">
        <v>569</v>
      </c>
      <c r="C1051" t="s">
        <v>887</v>
      </c>
      <c r="D1051" t="s">
        <v>77</v>
      </c>
      <c r="E1051" t="str">
        <f t="shared" si="18"/>
        <v>Despesa do cliente</v>
      </c>
      <c r="F1051" t="s">
        <v>888</v>
      </c>
      <c r="G1051" t="s">
        <v>888</v>
      </c>
      <c r="I1051" t="s">
        <v>236</v>
      </c>
      <c r="J1051" t="s">
        <v>17</v>
      </c>
      <c r="K1051" s="23">
        <v>-21.73</v>
      </c>
      <c r="L1051" t="s">
        <v>24</v>
      </c>
      <c r="M1051" t="s">
        <v>25</v>
      </c>
    </row>
    <row r="1052" spans="1:13" hidden="1" x14ac:dyDescent="0.25">
      <c r="A1052" s="5">
        <v>45897</v>
      </c>
      <c r="B1052" t="s">
        <v>569</v>
      </c>
      <c r="C1052" t="s">
        <v>889</v>
      </c>
      <c r="D1052" t="s">
        <v>89</v>
      </c>
      <c r="E1052" t="str">
        <f t="shared" si="18"/>
        <v>ADM</v>
      </c>
      <c r="F1052" t="s">
        <v>890</v>
      </c>
      <c r="G1052" t="s">
        <v>890</v>
      </c>
      <c r="J1052" t="s">
        <v>143</v>
      </c>
      <c r="K1052" s="23">
        <v>-196.05</v>
      </c>
      <c r="L1052" t="s">
        <v>24</v>
      </c>
      <c r="M1052" t="s">
        <v>25</v>
      </c>
    </row>
    <row r="1053" spans="1:13" hidden="1" x14ac:dyDescent="0.25">
      <c r="A1053" s="5">
        <v>45897</v>
      </c>
      <c r="B1053" t="s">
        <v>568</v>
      </c>
      <c r="C1053" t="s">
        <v>481</v>
      </c>
      <c r="D1053" t="s">
        <v>191</v>
      </c>
      <c r="E1053" t="str">
        <f t="shared" si="18"/>
        <v>ADM</v>
      </c>
      <c r="F1053" t="s">
        <v>371</v>
      </c>
      <c r="G1053" t="s">
        <v>371</v>
      </c>
      <c r="J1053" t="s">
        <v>17</v>
      </c>
      <c r="K1053" s="23">
        <v>-304.23</v>
      </c>
      <c r="L1053" t="s">
        <v>24</v>
      </c>
      <c r="M1053" t="s">
        <v>25</v>
      </c>
    </row>
    <row r="1054" spans="1:13" hidden="1" x14ac:dyDescent="0.25">
      <c r="A1054" s="5">
        <v>45897</v>
      </c>
      <c r="B1054" t="s">
        <v>569</v>
      </c>
      <c r="C1054" t="s">
        <v>887</v>
      </c>
      <c r="D1054" t="s">
        <v>77</v>
      </c>
      <c r="E1054" t="str">
        <f t="shared" si="18"/>
        <v>Despesa do cliente</v>
      </c>
      <c r="F1054" t="s">
        <v>609</v>
      </c>
      <c r="G1054" t="s">
        <v>609</v>
      </c>
      <c r="I1054" t="s">
        <v>75</v>
      </c>
      <c r="J1054" t="s">
        <v>17</v>
      </c>
      <c r="K1054" s="23">
        <v>-21.73</v>
      </c>
      <c r="L1054" t="s">
        <v>24</v>
      </c>
      <c r="M1054" t="s">
        <v>25</v>
      </c>
    </row>
    <row r="1055" spans="1:13" hidden="1" x14ac:dyDescent="0.25">
      <c r="A1055" s="5">
        <v>45897</v>
      </c>
      <c r="B1055" t="s">
        <v>569</v>
      </c>
      <c r="C1055" t="s">
        <v>891</v>
      </c>
      <c r="D1055" t="s">
        <v>39</v>
      </c>
      <c r="E1055" t="str">
        <f t="shared" si="18"/>
        <v>INV</v>
      </c>
      <c r="F1055" t="s">
        <v>477</v>
      </c>
      <c r="G1055" t="s">
        <v>477</v>
      </c>
      <c r="J1055" t="s">
        <v>143</v>
      </c>
      <c r="K1055" s="23">
        <v>-101.83</v>
      </c>
      <c r="L1055" t="s">
        <v>24</v>
      </c>
      <c r="M1055" t="s">
        <v>25</v>
      </c>
    </row>
    <row r="1056" spans="1:13" hidden="1" x14ac:dyDescent="0.25">
      <c r="A1056" s="5">
        <v>45897</v>
      </c>
      <c r="B1056" t="s">
        <v>569</v>
      </c>
      <c r="C1056" t="s">
        <v>892</v>
      </c>
      <c r="D1056" t="s">
        <v>77</v>
      </c>
      <c r="E1056" t="str">
        <f t="shared" si="18"/>
        <v>Despesa do cliente</v>
      </c>
      <c r="F1056" t="s">
        <v>513</v>
      </c>
      <c r="G1056" t="s">
        <v>513</v>
      </c>
      <c r="I1056" t="s">
        <v>75</v>
      </c>
      <c r="J1056" t="s">
        <v>17</v>
      </c>
      <c r="K1056" s="23">
        <v>-21.73</v>
      </c>
      <c r="L1056" t="s">
        <v>24</v>
      </c>
      <c r="M1056" t="s">
        <v>25</v>
      </c>
    </row>
    <row r="1057" spans="1:13" hidden="1" x14ac:dyDescent="0.25">
      <c r="A1057" s="5">
        <v>45897</v>
      </c>
      <c r="B1057" t="s">
        <v>568</v>
      </c>
      <c r="C1057" t="s">
        <v>478</v>
      </c>
      <c r="D1057" t="s">
        <v>191</v>
      </c>
      <c r="E1057" t="str">
        <f t="shared" si="18"/>
        <v>ADM</v>
      </c>
      <c r="F1057" t="s">
        <v>380</v>
      </c>
      <c r="G1057" t="s">
        <v>380</v>
      </c>
      <c r="J1057" t="s">
        <v>17</v>
      </c>
      <c r="K1057" s="23">
        <v>-378.59</v>
      </c>
      <c r="L1057" t="s">
        <v>24</v>
      </c>
      <c r="M1057" t="s">
        <v>25</v>
      </c>
    </row>
    <row r="1058" spans="1:13" hidden="1" x14ac:dyDescent="0.25">
      <c r="A1058" s="5">
        <v>45897</v>
      </c>
      <c r="B1058" t="s">
        <v>568</v>
      </c>
      <c r="C1058" t="s">
        <v>709</v>
      </c>
      <c r="D1058" t="s">
        <v>56</v>
      </c>
      <c r="E1058" t="str">
        <f t="shared" si="18"/>
        <v>Honorários</v>
      </c>
      <c r="F1058" t="s">
        <v>710</v>
      </c>
      <c r="G1058" t="s">
        <v>710</v>
      </c>
      <c r="I1058" t="s">
        <v>711</v>
      </c>
      <c r="J1058" t="s">
        <v>143</v>
      </c>
      <c r="K1058" s="23">
        <v>756.15</v>
      </c>
      <c r="L1058" t="s">
        <v>18</v>
      </c>
      <c r="M1058" t="s">
        <v>19</v>
      </c>
    </row>
    <row r="1059" spans="1:13" hidden="1" x14ac:dyDescent="0.25">
      <c r="A1059" s="5">
        <v>45898</v>
      </c>
      <c r="B1059" t="s">
        <v>568</v>
      </c>
      <c r="C1059" t="s">
        <v>200</v>
      </c>
      <c r="D1059" t="s">
        <v>201</v>
      </c>
      <c r="E1059" t="str">
        <f t="shared" si="18"/>
        <v>DIR</v>
      </c>
      <c r="F1059" t="s">
        <v>67</v>
      </c>
      <c r="G1059" t="s">
        <v>67</v>
      </c>
      <c r="J1059" t="s">
        <v>17</v>
      </c>
      <c r="K1059" s="23">
        <v>-5000</v>
      </c>
      <c r="L1059" t="s">
        <v>24</v>
      </c>
      <c r="M1059" t="s">
        <v>25</v>
      </c>
    </row>
    <row r="1060" spans="1:13" hidden="1" x14ac:dyDescent="0.25">
      <c r="A1060" s="5">
        <v>45898</v>
      </c>
      <c r="B1060" t="s">
        <v>568</v>
      </c>
      <c r="C1060" t="s">
        <v>272</v>
      </c>
      <c r="D1060" t="s">
        <v>198</v>
      </c>
      <c r="E1060" t="str">
        <f t="shared" si="18"/>
        <v>PES</v>
      </c>
      <c r="F1060" t="s">
        <v>645</v>
      </c>
      <c r="G1060" t="s">
        <v>645</v>
      </c>
      <c r="J1060" t="s">
        <v>143</v>
      </c>
      <c r="K1060" s="23">
        <v>-2339.41</v>
      </c>
      <c r="L1060" t="s">
        <v>24</v>
      </c>
      <c r="M1060" t="s">
        <v>25</v>
      </c>
    </row>
    <row r="1061" spans="1:13" hidden="1" x14ac:dyDescent="0.25">
      <c r="A1061" s="5">
        <v>45898</v>
      </c>
      <c r="B1061" t="s">
        <v>569</v>
      </c>
      <c r="C1061" t="s">
        <v>272</v>
      </c>
      <c r="D1061" t="s">
        <v>198</v>
      </c>
      <c r="E1061" t="str">
        <f t="shared" si="18"/>
        <v>PES</v>
      </c>
      <c r="F1061" t="s">
        <v>209</v>
      </c>
      <c r="G1061" t="s">
        <v>209</v>
      </c>
      <c r="J1061" t="s">
        <v>17</v>
      </c>
      <c r="K1061" s="23">
        <v>-3200</v>
      </c>
      <c r="L1061" t="s">
        <v>24</v>
      </c>
      <c r="M1061" t="s">
        <v>25</v>
      </c>
    </row>
    <row r="1062" spans="1:13" hidden="1" x14ac:dyDescent="0.25">
      <c r="A1062" s="5">
        <v>45898</v>
      </c>
      <c r="B1062" t="s">
        <v>569</v>
      </c>
      <c r="C1062" t="s">
        <v>584</v>
      </c>
      <c r="D1062" t="s">
        <v>99</v>
      </c>
      <c r="E1062" t="str">
        <f t="shared" si="18"/>
        <v>ADM</v>
      </c>
      <c r="F1062" t="s">
        <v>100</v>
      </c>
      <c r="G1062" t="s">
        <v>100</v>
      </c>
      <c r="J1062" t="s">
        <v>143</v>
      </c>
      <c r="K1062" s="23">
        <v>-340</v>
      </c>
      <c r="L1062" t="s">
        <v>24</v>
      </c>
      <c r="M1062" t="s">
        <v>25</v>
      </c>
    </row>
    <row r="1063" spans="1:13" hidden="1" x14ac:dyDescent="0.25">
      <c r="A1063" s="5">
        <v>45898</v>
      </c>
      <c r="B1063" t="s">
        <v>569</v>
      </c>
      <c r="C1063" t="s">
        <v>741</v>
      </c>
      <c r="D1063" t="s">
        <v>56</v>
      </c>
      <c r="E1063" t="str">
        <f t="shared" si="18"/>
        <v>Honorários</v>
      </c>
      <c r="F1063" t="s">
        <v>400</v>
      </c>
      <c r="G1063" t="s">
        <v>400</v>
      </c>
      <c r="I1063" t="s">
        <v>335</v>
      </c>
      <c r="J1063" t="s">
        <v>17</v>
      </c>
      <c r="K1063" s="23">
        <v>386.4</v>
      </c>
      <c r="L1063" t="s">
        <v>18</v>
      </c>
      <c r="M1063" t="s">
        <v>83</v>
      </c>
    </row>
    <row r="1064" spans="1:13" hidden="1" x14ac:dyDescent="0.25">
      <c r="A1064" s="5">
        <v>45898</v>
      </c>
      <c r="B1064" t="s">
        <v>569</v>
      </c>
      <c r="C1064" t="s">
        <v>893</v>
      </c>
      <c r="D1064" t="s">
        <v>215</v>
      </c>
      <c r="E1064" t="str">
        <f t="shared" si="18"/>
        <v>COM</v>
      </c>
      <c r="F1064" t="s">
        <v>369</v>
      </c>
      <c r="G1064" t="s">
        <v>369</v>
      </c>
      <c r="J1064" t="s">
        <v>143</v>
      </c>
      <c r="K1064" s="23">
        <v>-39.200000000000003</v>
      </c>
      <c r="L1064" t="s">
        <v>24</v>
      </c>
      <c r="M1064" t="s">
        <v>25</v>
      </c>
    </row>
    <row r="1065" spans="1:13" hidden="1" x14ac:dyDescent="0.25">
      <c r="A1065" s="5">
        <v>45898</v>
      </c>
      <c r="B1065" t="s">
        <v>568</v>
      </c>
      <c r="C1065" t="s">
        <v>200</v>
      </c>
      <c r="D1065" t="s">
        <v>201</v>
      </c>
      <c r="E1065" t="str">
        <f t="shared" si="18"/>
        <v>DIR</v>
      </c>
      <c r="F1065" t="s">
        <v>54</v>
      </c>
      <c r="G1065" t="s">
        <v>54</v>
      </c>
      <c r="J1065" t="s">
        <v>17</v>
      </c>
      <c r="K1065" s="23">
        <v>-6148.98</v>
      </c>
      <c r="L1065" t="s">
        <v>24</v>
      </c>
      <c r="M1065" t="s">
        <v>25</v>
      </c>
    </row>
    <row r="1066" spans="1:13" hidden="1" x14ac:dyDescent="0.25">
      <c r="A1066" s="5">
        <v>45898</v>
      </c>
      <c r="B1066" t="s">
        <v>569</v>
      </c>
      <c r="C1066" t="s">
        <v>894</v>
      </c>
      <c r="D1066" t="s">
        <v>198</v>
      </c>
      <c r="E1066" t="str">
        <f t="shared" si="18"/>
        <v>PES</v>
      </c>
      <c r="F1066" t="s">
        <v>304</v>
      </c>
      <c r="G1066" t="s">
        <v>304</v>
      </c>
      <c r="J1066" t="s">
        <v>143</v>
      </c>
      <c r="K1066" s="23">
        <v>-150.74</v>
      </c>
      <c r="L1066" t="s">
        <v>24</v>
      </c>
      <c r="M1066" t="s">
        <v>25</v>
      </c>
    </row>
    <row r="1067" spans="1:13" hidden="1" x14ac:dyDescent="0.25">
      <c r="A1067" s="5">
        <v>45898</v>
      </c>
      <c r="B1067" t="s">
        <v>569</v>
      </c>
      <c r="C1067" t="s">
        <v>880</v>
      </c>
      <c r="D1067" t="s">
        <v>56</v>
      </c>
      <c r="E1067" t="str">
        <f t="shared" si="18"/>
        <v>Honorários</v>
      </c>
      <c r="F1067" t="s">
        <v>895</v>
      </c>
      <c r="G1067" t="s">
        <v>895</v>
      </c>
      <c r="I1067" t="s">
        <v>196</v>
      </c>
      <c r="J1067" t="s">
        <v>143</v>
      </c>
      <c r="K1067" s="23">
        <v>4130</v>
      </c>
      <c r="L1067" t="s">
        <v>18</v>
      </c>
      <c r="M1067" t="s">
        <v>19</v>
      </c>
    </row>
    <row r="1068" spans="1:13" hidden="1" x14ac:dyDescent="0.25">
      <c r="A1068" s="5">
        <v>45898</v>
      </c>
      <c r="B1068" t="s">
        <v>568</v>
      </c>
      <c r="C1068" t="s">
        <v>484</v>
      </c>
      <c r="D1068" t="s">
        <v>207</v>
      </c>
      <c r="E1068" t="str">
        <f t="shared" si="18"/>
        <v>DIR</v>
      </c>
      <c r="F1068" t="s">
        <v>54</v>
      </c>
      <c r="G1068" t="s">
        <v>54</v>
      </c>
      <c r="J1068" t="s">
        <v>17</v>
      </c>
      <c r="K1068" s="23">
        <v>-1351.02</v>
      </c>
      <c r="L1068" t="s">
        <v>24</v>
      </c>
      <c r="M1068" t="s">
        <v>25</v>
      </c>
    </row>
    <row r="1069" spans="1:13" hidden="1" x14ac:dyDescent="0.25">
      <c r="A1069" s="5">
        <v>45898</v>
      </c>
      <c r="B1069" t="s">
        <v>568</v>
      </c>
      <c r="C1069" t="s">
        <v>272</v>
      </c>
      <c r="D1069" t="s">
        <v>198</v>
      </c>
      <c r="E1069" t="str">
        <f t="shared" si="18"/>
        <v>PES</v>
      </c>
      <c r="F1069" t="s">
        <v>199</v>
      </c>
      <c r="G1069" t="s">
        <v>199</v>
      </c>
      <c r="J1069" t="s">
        <v>17</v>
      </c>
      <c r="K1069" s="23">
        <v>-3231.22</v>
      </c>
      <c r="L1069" t="s">
        <v>24</v>
      </c>
      <c r="M1069" t="s">
        <v>25</v>
      </c>
    </row>
    <row r="1070" spans="1:13" hidden="1" x14ac:dyDescent="0.25">
      <c r="A1070" s="5">
        <v>45916</v>
      </c>
      <c r="B1070" t="s">
        <v>568</v>
      </c>
      <c r="C1070" t="s">
        <v>959</v>
      </c>
      <c r="D1070" t="s">
        <v>149</v>
      </c>
      <c r="E1070" t="str">
        <f t="shared" ref="E1070:E1101" si="19">IF(ISERROR(FIND("-",D1070,1)),D1070,LEFT(D1070,3))</f>
        <v>ADM</v>
      </c>
      <c r="F1070" t="s">
        <v>369</v>
      </c>
      <c r="G1070" t="s">
        <v>369</v>
      </c>
      <c r="J1070" t="s">
        <v>143</v>
      </c>
      <c r="K1070" s="23">
        <v>-136.88999999999999</v>
      </c>
      <c r="L1070" t="s">
        <v>24</v>
      </c>
      <c r="M1070" t="s">
        <v>25</v>
      </c>
    </row>
    <row r="1071" spans="1:13" hidden="1" x14ac:dyDescent="0.25">
      <c r="A1071" s="5">
        <v>45916</v>
      </c>
      <c r="B1071" t="s">
        <v>569</v>
      </c>
      <c r="C1071" t="s">
        <v>963</v>
      </c>
      <c r="D1071" t="s">
        <v>56</v>
      </c>
      <c r="E1071" t="str">
        <f t="shared" si="19"/>
        <v>Honorários</v>
      </c>
      <c r="F1071" t="s">
        <v>964</v>
      </c>
      <c r="G1071" t="s">
        <v>964</v>
      </c>
      <c r="I1071" t="s">
        <v>607</v>
      </c>
      <c r="J1071" t="s">
        <v>143</v>
      </c>
      <c r="K1071" s="23">
        <v>4155</v>
      </c>
      <c r="L1071" t="s">
        <v>18</v>
      </c>
      <c r="M1071" t="s">
        <v>19</v>
      </c>
    </row>
    <row r="1072" spans="1:13" hidden="1" x14ac:dyDescent="0.25">
      <c r="A1072" s="5">
        <v>45905</v>
      </c>
      <c r="B1072" t="s">
        <v>569</v>
      </c>
      <c r="C1072" t="s">
        <v>924</v>
      </c>
      <c r="D1072" t="s">
        <v>56</v>
      </c>
      <c r="E1072" t="str">
        <f t="shared" si="19"/>
        <v>Honorários</v>
      </c>
      <c r="F1072" t="s">
        <v>925</v>
      </c>
      <c r="G1072" t="s">
        <v>925</v>
      </c>
      <c r="I1072" t="s">
        <v>75</v>
      </c>
      <c r="J1072" t="s">
        <v>143</v>
      </c>
      <c r="K1072" s="23">
        <v>2816.4</v>
      </c>
      <c r="L1072" t="s">
        <v>18</v>
      </c>
      <c r="M1072" t="s">
        <v>19</v>
      </c>
    </row>
    <row r="1073" spans="1:13" hidden="1" x14ac:dyDescent="0.25">
      <c r="A1073" s="5">
        <v>45911</v>
      </c>
      <c r="B1073" t="s">
        <v>568</v>
      </c>
      <c r="C1073" t="s">
        <v>763</v>
      </c>
      <c r="D1073" t="s">
        <v>56</v>
      </c>
      <c r="E1073" t="str">
        <f t="shared" si="19"/>
        <v>Honorários</v>
      </c>
      <c r="F1073" t="s">
        <v>764</v>
      </c>
      <c r="G1073" t="s">
        <v>764</v>
      </c>
      <c r="I1073" t="s">
        <v>93</v>
      </c>
      <c r="J1073" t="s">
        <v>143</v>
      </c>
      <c r="K1073" s="23">
        <v>707.94999999999993</v>
      </c>
      <c r="L1073" t="s">
        <v>18</v>
      </c>
      <c r="M1073" t="s">
        <v>19</v>
      </c>
    </row>
    <row r="1074" spans="1:13" hidden="1" x14ac:dyDescent="0.25">
      <c r="A1074" s="5">
        <v>45902</v>
      </c>
      <c r="B1074" t="s">
        <v>568</v>
      </c>
      <c r="C1074" t="s">
        <v>917</v>
      </c>
      <c r="D1074" t="s">
        <v>198</v>
      </c>
      <c r="E1074" t="str">
        <f t="shared" si="19"/>
        <v>PES</v>
      </c>
      <c r="F1074" t="s">
        <v>918</v>
      </c>
      <c r="G1074" t="s">
        <v>918</v>
      </c>
      <c r="J1074" t="s">
        <v>143</v>
      </c>
      <c r="K1074" s="23">
        <v>-1300</v>
      </c>
      <c r="L1074" t="s">
        <v>24</v>
      </c>
      <c r="M1074" t="s">
        <v>25</v>
      </c>
    </row>
    <row r="1075" spans="1:13" hidden="1" x14ac:dyDescent="0.25">
      <c r="A1075" s="5">
        <v>45902</v>
      </c>
      <c r="B1075" t="s">
        <v>568</v>
      </c>
      <c r="C1075" t="s">
        <v>920</v>
      </c>
      <c r="D1075" t="s">
        <v>900</v>
      </c>
      <c r="E1075" t="str">
        <f t="shared" si="19"/>
        <v>PES</v>
      </c>
      <c r="F1075" t="s">
        <v>918</v>
      </c>
      <c r="G1075" t="s">
        <v>918</v>
      </c>
      <c r="J1075" t="s">
        <v>143</v>
      </c>
      <c r="K1075" s="23">
        <v>-60</v>
      </c>
      <c r="L1075" t="s">
        <v>24</v>
      </c>
      <c r="M1075" t="s">
        <v>25</v>
      </c>
    </row>
    <row r="1076" spans="1:13" hidden="1" x14ac:dyDescent="0.25">
      <c r="A1076" s="5">
        <v>45915</v>
      </c>
      <c r="B1076" t="s">
        <v>13</v>
      </c>
      <c r="C1076" t="s">
        <v>954</v>
      </c>
      <c r="D1076" t="s">
        <v>382</v>
      </c>
      <c r="E1076" t="str">
        <f t="shared" si="19"/>
        <v>PES</v>
      </c>
      <c r="F1076" t="s">
        <v>955</v>
      </c>
      <c r="G1076" t="s">
        <v>955</v>
      </c>
      <c r="J1076" t="s">
        <v>143</v>
      </c>
      <c r="K1076" s="23">
        <v>-229</v>
      </c>
      <c r="L1076" t="s">
        <v>24</v>
      </c>
      <c r="M1076" t="s">
        <v>25</v>
      </c>
    </row>
    <row r="1077" spans="1:13" hidden="1" x14ac:dyDescent="0.25">
      <c r="A1077" s="5">
        <v>45912</v>
      </c>
      <c r="B1077" t="s">
        <v>569</v>
      </c>
      <c r="C1077" t="s">
        <v>946</v>
      </c>
      <c r="D1077" t="s">
        <v>28</v>
      </c>
      <c r="E1077" t="str">
        <f t="shared" si="19"/>
        <v>ADM</v>
      </c>
      <c r="F1077" t="s">
        <v>491</v>
      </c>
      <c r="G1077" t="s">
        <v>491</v>
      </c>
      <c r="J1077" t="s">
        <v>143</v>
      </c>
      <c r="K1077" s="23">
        <v>-89.14</v>
      </c>
      <c r="L1077" t="s">
        <v>24</v>
      </c>
      <c r="M1077" t="s">
        <v>25</v>
      </c>
    </row>
    <row r="1078" spans="1:13" hidden="1" x14ac:dyDescent="0.25">
      <c r="A1078" s="5">
        <v>45905</v>
      </c>
      <c r="B1078" t="s">
        <v>568</v>
      </c>
      <c r="C1078" t="s">
        <v>388</v>
      </c>
      <c r="D1078" t="s">
        <v>96</v>
      </c>
      <c r="E1078" t="str">
        <f t="shared" si="19"/>
        <v>ADM</v>
      </c>
      <c r="F1078" t="s">
        <v>97</v>
      </c>
      <c r="G1078" t="s">
        <v>97</v>
      </c>
      <c r="J1078" t="s">
        <v>17</v>
      </c>
      <c r="K1078" s="23">
        <v>-1254.69</v>
      </c>
      <c r="L1078" t="s">
        <v>24</v>
      </c>
      <c r="M1078" t="s">
        <v>25</v>
      </c>
    </row>
    <row r="1079" spans="1:13" hidden="1" x14ac:dyDescent="0.25">
      <c r="A1079" s="5">
        <v>45905</v>
      </c>
      <c r="B1079" t="s">
        <v>568</v>
      </c>
      <c r="C1079" t="s">
        <v>394</v>
      </c>
      <c r="D1079" t="s">
        <v>96</v>
      </c>
      <c r="E1079" t="str">
        <f t="shared" si="19"/>
        <v>ADM</v>
      </c>
      <c r="F1079" t="s">
        <v>97</v>
      </c>
      <c r="G1079" t="s">
        <v>97</v>
      </c>
      <c r="J1079" t="s">
        <v>17</v>
      </c>
      <c r="K1079" s="23">
        <v>-62.11</v>
      </c>
      <c r="L1079" t="s">
        <v>24</v>
      </c>
      <c r="M1079" t="s">
        <v>25</v>
      </c>
    </row>
    <row r="1080" spans="1:13" hidden="1" x14ac:dyDescent="0.25">
      <c r="A1080" s="5">
        <v>45905</v>
      </c>
      <c r="B1080" t="s">
        <v>568</v>
      </c>
      <c r="C1080" t="s">
        <v>390</v>
      </c>
      <c r="D1080" t="s">
        <v>96</v>
      </c>
      <c r="E1080" t="str">
        <f t="shared" si="19"/>
        <v>ADM</v>
      </c>
      <c r="F1080" t="s">
        <v>97</v>
      </c>
      <c r="G1080" t="s">
        <v>97</v>
      </c>
      <c r="J1080" t="s">
        <v>17</v>
      </c>
      <c r="K1080" s="23">
        <v>-62.11</v>
      </c>
      <c r="L1080" t="s">
        <v>24</v>
      </c>
      <c r="M1080" t="s">
        <v>25</v>
      </c>
    </row>
    <row r="1081" spans="1:13" hidden="1" x14ac:dyDescent="0.25">
      <c r="A1081" s="5">
        <v>45905</v>
      </c>
      <c r="B1081" t="s">
        <v>568</v>
      </c>
      <c r="C1081" t="s">
        <v>391</v>
      </c>
      <c r="D1081" t="s">
        <v>96</v>
      </c>
      <c r="E1081" t="str">
        <f t="shared" si="19"/>
        <v>ADM</v>
      </c>
      <c r="F1081" t="s">
        <v>97</v>
      </c>
      <c r="G1081" t="s">
        <v>97</v>
      </c>
      <c r="J1081" t="s">
        <v>17</v>
      </c>
      <c r="K1081" s="23">
        <v>-62.11</v>
      </c>
      <c r="L1081" t="s">
        <v>24</v>
      </c>
      <c r="M1081" t="s">
        <v>25</v>
      </c>
    </row>
    <row r="1082" spans="1:13" hidden="1" x14ac:dyDescent="0.25">
      <c r="A1082" s="5">
        <v>45905</v>
      </c>
      <c r="B1082" t="s">
        <v>568</v>
      </c>
      <c r="C1082" t="s">
        <v>389</v>
      </c>
      <c r="D1082" t="s">
        <v>96</v>
      </c>
      <c r="E1082" t="str">
        <f t="shared" si="19"/>
        <v>ADM</v>
      </c>
      <c r="F1082" t="s">
        <v>97</v>
      </c>
      <c r="G1082" t="s">
        <v>97</v>
      </c>
      <c r="J1082" t="s">
        <v>17</v>
      </c>
      <c r="K1082" s="23">
        <v>-1254.08</v>
      </c>
      <c r="L1082" t="s">
        <v>24</v>
      </c>
      <c r="M1082" t="s">
        <v>25</v>
      </c>
    </row>
    <row r="1083" spans="1:13" hidden="1" x14ac:dyDescent="0.25">
      <c r="A1083" s="5">
        <v>45905</v>
      </c>
      <c r="B1083" t="s">
        <v>568</v>
      </c>
      <c r="C1083" t="s">
        <v>393</v>
      </c>
      <c r="D1083" t="s">
        <v>96</v>
      </c>
      <c r="E1083" t="str">
        <f t="shared" si="19"/>
        <v>ADM</v>
      </c>
      <c r="F1083" t="s">
        <v>97</v>
      </c>
      <c r="G1083" t="s">
        <v>97</v>
      </c>
      <c r="J1083" t="s">
        <v>17</v>
      </c>
      <c r="K1083" s="23">
        <v>-62.11</v>
      </c>
      <c r="L1083" t="s">
        <v>24</v>
      </c>
      <c r="M1083" t="s">
        <v>25</v>
      </c>
    </row>
    <row r="1084" spans="1:13" hidden="1" x14ac:dyDescent="0.25">
      <c r="A1084" s="5">
        <v>45905</v>
      </c>
      <c r="B1084" t="s">
        <v>568</v>
      </c>
      <c r="C1084" t="s">
        <v>392</v>
      </c>
      <c r="D1084" t="s">
        <v>96</v>
      </c>
      <c r="E1084" t="str">
        <f t="shared" si="19"/>
        <v>ADM</v>
      </c>
      <c r="F1084" t="s">
        <v>97</v>
      </c>
      <c r="G1084" t="s">
        <v>97</v>
      </c>
      <c r="J1084" t="s">
        <v>17</v>
      </c>
      <c r="K1084" s="23">
        <v>-62.11</v>
      </c>
      <c r="L1084" t="s">
        <v>24</v>
      </c>
      <c r="M1084" t="s">
        <v>25</v>
      </c>
    </row>
    <row r="1085" spans="1:13" hidden="1" x14ac:dyDescent="0.25">
      <c r="A1085" s="5">
        <v>45901</v>
      </c>
      <c r="B1085" t="s">
        <v>569</v>
      </c>
      <c r="C1085" t="s">
        <v>897</v>
      </c>
      <c r="D1085" t="s">
        <v>815</v>
      </c>
      <c r="E1085" t="str">
        <f t="shared" si="19"/>
        <v>Transferência</v>
      </c>
      <c r="F1085" t="s">
        <v>569</v>
      </c>
      <c r="G1085" t="s">
        <v>569</v>
      </c>
      <c r="J1085" t="s">
        <v>17</v>
      </c>
      <c r="K1085" s="23">
        <v>-72459.87</v>
      </c>
      <c r="L1085" t="s">
        <v>24</v>
      </c>
      <c r="M1085" t="s">
        <v>25</v>
      </c>
    </row>
    <row r="1086" spans="1:13" hidden="1" x14ac:dyDescent="0.25">
      <c r="A1086" s="5">
        <v>45901</v>
      </c>
      <c r="B1086" t="s">
        <v>569</v>
      </c>
      <c r="C1086" t="s">
        <v>903</v>
      </c>
      <c r="D1086" t="s">
        <v>815</v>
      </c>
      <c r="E1086" t="str">
        <f t="shared" si="19"/>
        <v>Transferência</v>
      </c>
      <c r="F1086" t="s">
        <v>569</v>
      </c>
      <c r="G1086" t="s">
        <v>569</v>
      </c>
      <c r="J1086" t="s">
        <v>17</v>
      </c>
      <c r="K1086" s="23">
        <v>-50000</v>
      </c>
      <c r="L1086" t="s">
        <v>24</v>
      </c>
      <c r="M1086" t="s">
        <v>25</v>
      </c>
    </row>
    <row r="1087" spans="1:13" hidden="1" x14ac:dyDescent="0.25">
      <c r="A1087" s="5">
        <v>45901</v>
      </c>
      <c r="B1087" t="s">
        <v>569</v>
      </c>
      <c r="C1087" t="s">
        <v>882</v>
      </c>
      <c r="D1087" t="s">
        <v>72</v>
      </c>
      <c r="E1087" t="str">
        <f t="shared" si="19"/>
        <v>FIN</v>
      </c>
      <c r="F1087" t="s">
        <v>120</v>
      </c>
      <c r="G1087" t="s">
        <v>120</v>
      </c>
      <c r="J1087" t="s">
        <v>143</v>
      </c>
      <c r="K1087" s="23">
        <v>-12.7</v>
      </c>
      <c r="L1087" t="s">
        <v>24</v>
      </c>
      <c r="M1087" t="s">
        <v>25</v>
      </c>
    </row>
    <row r="1088" spans="1:13" hidden="1" x14ac:dyDescent="0.25">
      <c r="A1088" s="5">
        <v>45910</v>
      </c>
      <c r="B1088" t="s">
        <v>569</v>
      </c>
      <c r="C1088" t="s">
        <v>119</v>
      </c>
      <c r="D1088" t="s">
        <v>72</v>
      </c>
      <c r="E1088" t="str">
        <f t="shared" si="19"/>
        <v>FIN</v>
      </c>
      <c r="F1088" t="s">
        <v>120</v>
      </c>
      <c r="G1088" t="s">
        <v>120</v>
      </c>
      <c r="J1088" t="s">
        <v>17</v>
      </c>
      <c r="K1088" s="23">
        <v>-15.9</v>
      </c>
      <c r="L1088" t="s">
        <v>24</v>
      </c>
      <c r="M1088" t="s">
        <v>25</v>
      </c>
    </row>
    <row r="1089" spans="1:13" hidden="1" x14ac:dyDescent="0.25">
      <c r="A1089" s="5">
        <v>45901</v>
      </c>
      <c r="B1089" t="s">
        <v>20</v>
      </c>
      <c r="C1089" t="s">
        <v>387</v>
      </c>
      <c r="D1089" t="s">
        <v>28</v>
      </c>
      <c r="E1089" t="str">
        <f t="shared" si="19"/>
        <v>ADM</v>
      </c>
      <c r="F1089" t="s">
        <v>23</v>
      </c>
      <c r="G1089" t="s">
        <v>23</v>
      </c>
      <c r="J1089" t="s">
        <v>143</v>
      </c>
      <c r="K1089" s="23">
        <v>-44.39</v>
      </c>
      <c r="L1089" t="s">
        <v>24</v>
      </c>
      <c r="M1089" t="s">
        <v>25</v>
      </c>
    </row>
    <row r="1090" spans="1:13" hidden="1" x14ac:dyDescent="0.25">
      <c r="A1090" s="5">
        <v>45901</v>
      </c>
      <c r="B1090" t="s">
        <v>33</v>
      </c>
      <c r="C1090" t="s">
        <v>671</v>
      </c>
      <c r="D1090" t="s">
        <v>15</v>
      </c>
      <c r="E1090" t="str">
        <f t="shared" si="19"/>
        <v>ADM</v>
      </c>
      <c r="F1090" t="s">
        <v>23</v>
      </c>
      <c r="G1090" t="s">
        <v>23</v>
      </c>
      <c r="J1090" t="s">
        <v>143</v>
      </c>
      <c r="K1090" s="23">
        <v>1346.56</v>
      </c>
      <c r="L1090" t="s">
        <v>18</v>
      </c>
      <c r="M1090" t="s">
        <v>19</v>
      </c>
    </row>
    <row r="1091" spans="1:13" hidden="1" x14ac:dyDescent="0.25">
      <c r="A1091" s="5">
        <v>45901</v>
      </c>
      <c r="B1091" t="s">
        <v>20</v>
      </c>
      <c r="C1091" t="s">
        <v>45</v>
      </c>
      <c r="D1091" t="s">
        <v>15</v>
      </c>
      <c r="E1091" t="str">
        <f t="shared" si="19"/>
        <v>ADM</v>
      </c>
      <c r="F1091" t="s">
        <v>23</v>
      </c>
      <c r="G1091" t="s">
        <v>23</v>
      </c>
      <c r="J1091" t="s">
        <v>17</v>
      </c>
      <c r="K1091" s="23">
        <v>1641.71</v>
      </c>
      <c r="L1091" t="s">
        <v>18</v>
      </c>
      <c r="M1091" t="s">
        <v>19</v>
      </c>
    </row>
    <row r="1092" spans="1:13" hidden="1" x14ac:dyDescent="0.25">
      <c r="A1092" s="5">
        <v>45901</v>
      </c>
      <c r="B1092" t="s">
        <v>20</v>
      </c>
      <c r="C1092" t="s">
        <v>901</v>
      </c>
      <c r="D1092" t="s">
        <v>28</v>
      </c>
      <c r="E1092" t="str">
        <f t="shared" si="19"/>
        <v>ADM</v>
      </c>
      <c r="F1092" t="s">
        <v>23</v>
      </c>
      <c r="G1092" t="s">
        <v>23</v>
      </c>
      <c r="J1092" t="s">
        <v>143</v>
      </c>
      <c r="K1092" s="23">
        <v>-12.5</v>
      </c>
      <c r="L1092" t="s">
        <v>24</v>
      </c>
      <c r="M1092" t="s">
        <v>25</v>
      </c>
    </row>
    <row r="1093" spans="1:13" hidden="1" x14ac:dyDescent="0.25">
      <c r="A1093" s="5">
        <v>45901</v>
      </c>
      <c r="B1093" t="s">
        <v>20</v>
      </c>
      <c r="C1093" t="s">
        <v>902</v>
      </c>
      <c r="D1093" t="s">
        <v>149</v>
      </c>
      <c r="E1093" t="str">
        <f t="shared" si="19"/>
        <v>ADM</v>
      </c>
      <c r="F1093" t="s">
        <v>23</v>
      </c>
      <c r="G1093" t="s">
        <v>23</v>
      </c>
      <c r="J1093" t="s">
        <v>143</v>
      </c>
      <c r="K1093" s="23">
        <v>-158</v>
      </c>
      <c r="L1093" t="s">
        <v>24</v>
      </c>
      <c r="M1093" t="s">
        <v>25</v>
      </c>
    </row>
    <row r="1094" spans="1:13" hidden="1" x14ac:dyDescent="0.25">
      <c r="A1094" s="5">
        <v>45901</v>
      </c>
      <c r="B1094" t="s">
        <v>20</v>
      </c>
      <c r="C1094" t="s">
        <v>32</v>
      </c>
      <c r="D1094" t="s">
        <v>30</v>
      </c>
      <c r="E1094" t="str">
        <f t="shared" si="19"/>
        <v>ADM</v>
      </c>
      <c r="F1094" t="s">
        <v>23</v>
      </c>
      <c r="G1094" t="s">
        <v>23</v>
      </c>
      <c r="J1094" t="s">
        <v>17</v>
      </c>
      <c r="K1094" s="23">
        <v>-58.9</v>
      </c>
      <c r="L1094" t="s">
        <v>24</v>
      </c>
      <c r="M1094" t="s">
        <v>25</v>
      </c>
    </row>
    <row r="1095" spans="1:13" hidden="1" x14ac:dyDescent="0.25">
      <c r="A1095" s="5">
        <v>45901</v>
      </c>
      <c r="B1095" t="s">
        <v>33</v>
      </c>
      <c r="C1095" t="s">
        <v>904</v>
      </c>
      <c r="D1095" t="s">
        <v>149</v>
      </c>
      <c r="E1095" t="str">
        <f t="shared" si="19"/>
        <v>ADM</v>
      </c>
      <c r="F1095" t="s">
        <v>23</v>
      </c>
      <c r="G1095" t="s">
        <v>23</v>
      </c>
      <c r="J1095" t="s">
        <v>143</v>
      </c>
      <c r="K1095" s="23">
        <v>-394</v>
      </c>
      <c r="L1095" t="s">
        <v>24</v>
      </c>
      <c r="M1095" t="s">
        <v>25</v>
      </c>
    </row>
    <row r="1096" spans="1:13" hidden="1" x14ac:dyDescent="0.25">
      <c r="A1096" s="5">
        <v>45901</v>
      </c>
      <c r="B1096" t="s">
        <v>20</v>
      </c>
      <c r="C1096" t="s">
        <v>41</v>
      </c>
      <c r="D1096" t="s">
        <v>30</v>
      </c>
      <c r="E1096" t="str">
        <f t="shared" si="19"/>
        <v>ADM</v>
      </c>
      <c r="F1096" t="s">
        <v>23</v>
      </c>
      <c r="G1096" t="s">
        <v>23</v>
      </c>
      <c r="J1096" t="s">
        <v>17</v>
      </c>
      <c r="K1096" s="23">
        <v>-49.99</v>
      </c>
      <c r="L1096" t="s">
        <v>24</v>
      </c>
      <c r="M1096" t="s">
        <v>25</v>
      </c>
    </row>
    <row r="1097" spans="1:13" hidden="1" x14ac:dyDescent="0.25">
      <c r="A1097" s="5">
        <v>45901</v>
      </c>
      <c r="B1097" t="s">
        <v>20</v>
      </c>
      <c r="C1097" t="s">
        <v>905</v>
      </c>
      <c r="D1097" t="s">
        <v>28</v>
      </c>
      <c r="E1097" t="str">
        <f t="shared" si="19"/>
        <v>ADM</v>
      </c>
      <c r="F1097" t="s">
        <v>23</v>
      </c>
      <c r="G1097" t="s">
        <v>23</v>
      </c>
      <c r="J1097" t="s">
        <v>143</v>
      </c>
      <c r="K1097" s="23">
        <v>-54.43</v>
      </c>
      <c r="L1097" t="s">
        <v>24</v>
      </c>
      <c r="M1097" t="s">
        <v>25</v>
      </c>
    </row>
    <row r="1098" spans="1:13" hidden="1" x14ac:dyDescent="0.25">
      <c r="A1098" s="5">
        <v>45901</v>
      </c>
      <c r="B1098" t="s">
        <v>20</v>
      </c>
      <c r="C1098" t="s">
        <v>573</v>
      </c>
      <c r="D1098" t="s">
        <v>382</v>
      </c>
      <c r="E1098" t="str">
        <f t="shared" si="19"/>
        <v>PES</v>
      </c>
      <c r="F1098" t="s">
        <v>23</v>
      </c>
      <c r="G1098" t="s">
        <v>23</v>
      </c>
      <c r="J1098" t="s">
        <v>143</v>
      </c>
      <c r="K1098" s="23">
        <v>-59.9</v>
      </c>
      <c r="L1098" t="s">
        <v>24</v>
      </c>
      <c r="M1098" t="s">
        <v>25</v>
      </c>
    </row>
    <row r="1099" spans="1:13" hidden="1" x14ac:dyDescent="0.25">
      <c r="A1099" s="5">
        <v>45901</v>
      </c>
      <c r="B1099" t="s">
        <v>20</v>
      </c>
      <c r="C1099" t="s">
        <v>46</v>
      </c>
      <c r="D1099" t="s">
        <v>30</v>
      </c>
      <c r="E1099" t="str">
        <f t="shared" si="19"/>
        <v>ADM</v>
      </c>
      <c r="F1099" t="s">
        <v>23</v>
      </c>
      <c r="G1099" t="s">
        <v>23</v>
      </c>
      <c r="J1099" t="s">
        <v>17</v>
      </c>
      <c r="K1099" s="23">
        <v>-119.9</v>
      </c>
      <c r="L1099" t="s">
        <v>24</v>
      </c>
      <c r="M1099" t="s">
        <v>25</v>
      </c>
    </row>
    <row r="1100" spans="1:13" hidden="1" x14ac:dyDescent="0.25">
      <c r="A1100" s="5">
        <v>45901</v>
      </c>
      <c r="B1100" t="s">
        <v>33</v>
      </c>
      <c r="C1100" t="s">
        <v>906</v>
      </c>
      <c r="D1100" t="s">
        <v>28</v>
      </c>
      <c r="E1100" t="str">
        <f t="shared" si="19"/>
        <v>ADM</v>
      </c>
      <c r="F1100" t="s">
        <v>23</v>
      </c>
      <c r="G1100" t="s">
        <v>23</v>
      </c>
      <c r="J1100" t="s">
        <v>143</v>
      </c>
      <c r="K1100" s="23">
        <v>-77.7</v>
      </c>
      <c r="L1100" t="s">
        <v>24</v>
      </c>
      <c r="M1100" t="s">
        <v>25</v>
      </c>
    </row>
    <row r="1101" spans="1:13" hidden="1" x14ac:dyDescent="0.25">
      <c r="A1101" s="5">
        <v>45901</v>
      </c>
      <c r="B1101" t="s">
        <v>20</v>
      </c>
      <c r="C1101" t="s">
        <v>37</v>
      </c>
      <c r="D1101" t="s">
        <v>30</v>
      </c>
      <c r="E1101" t="str">
        <f t="shared" si="19"/>
        <v>ADM</v>
      </c>
      <c r="F1101" t="s">
        <v>23</v>
      </c>
      <c r="G1101" t="s">
        <v>23</v>
      </c>
      <c r="J1101" t="s">
        <v>17</v>
      </c>
      <c r="K1101" s="23">
        <v>-80.91</v>
      </c>
      <c r="L1101" t="s">
        <v>24</v>
      </c>
      <c r="M1101" t="s">
        <v>25</v>
      </c>
    </row>
    <row r="1102" spans="1:13" hidden="1" x14ac:dyDescent="0.25">
      <c r="A1102" s="5">
        <v>45901</v>
      </c>
      <c r="B1102" t="s">
        <v>33</v>
      </c>
      <c r="C1102" t="s">
        <v>803</v>
      </c>
      <c r="D1102" t="s">
        <v>508</v>
      </c>
      <c r="E1102" t="str">
        <f t="shared" ref="E1102:E1133" si="20">IF(ISERROR(FIND("-",D1102,1)),D1102,LEFT(D1102,3))</f>
        <v>ADM</v>
      </c>
      <c r="F1102" t="s">
        <v>23</v>
      </c>
      <c r="G1102" t="s">
        <v>23</v>
      </c>
      <c r="J1102" t="s">
        <v>143</v>
      </c>
      <c r="K1102" s="23">
        <v>-299.17</v>
      </c>
      <c r="L1102" t="s">
        <v>24</v>
      </c>
      <c r="M1102" t="s">
        <v>25</v>
      </c>
    </row>
    <row r="1103" spans="1:13" hidden="1" x14ac:dyDescent="0.25">
      <c r="A1103" s="5">
        <v>45901</v>
      </c>
      <c r="B1103" t="s">
        <v>20</v>
      </c>
      <c r="C1103" t="s">
        <v>41</v>
      </c>
      <c r="D1103" t="s">
        <v>30</v>
      </c>
      <c r="E1103" t="str">
        <f t="shared" si="20"/>
        <v>ADM</v>
      </c>
      <c r="F1103" t="s">
        <v>23</v>
      </c>
      <c r="G1103" t="s">
        <v>23</v>
      </c>
      <c r="J1103" t="s">
        <v>17</v>
      </c>
      <c r="K1103" s="23">
        <v>-14.99</v>
      </c>
      <c r="L1103" t="s">
        <v>24</v>
      </c>
      <c r="M1103" t="s">
        <v>25</v>
      </c>
    </row>
    <row r="1104" spans="1:13" hidden="1" x14ac:dyDescent="0.25">
      <c r="A1104" s="5">
        <v>45901</v>
      </c>
      <c r="B1104" t="s">
        <v>20</v>
      </c>
      <c r="C1104" t="s">
        <v>907</v>
      </c>
      <c r="D1104" t="s">
        <v>28</v>
      </c>
      <c r="E1104" t="str">
        <f t="shared" si="20"/>
        <v>ADM</v>
      </c>
      <c r="F1104" t="s">
        <v>23</v>
      </c>
      <c r="G1104" t="s">
        <v>23</v>
      </c>
      <c r="J1104" t="s">
        <v>143</v>
      </c>
      <c r="K1104" s="23">
        <v>-216.22</v>
      </c>
      <c r="L1104" t="s">
        <v>24</v>
      </c>
      <c r="M1104" t="s">
        <v>25</v>
      </c>
    </row>
    <row r="1105" spans="1:13" hidden="1" x14ac:dyDescent="0.25">
      <c r="A1105" s="5">
        <v>45901</v>
      </c>
      <c r="B1105" t="s">
        <v>20</v>
      </c>
      <c r="C1105" t="s">
        <v>284</v>
      </c>
      <c r="D1105" t="s">
        <v>39</v>
      </c>
      <c r="E1105" t="str">
        <f t="shared" si="20"/>
        <v>INV</v>
      </c>
      <c r="F1105" t="s">
        <v>23</v>
      </c>
      <c r="G1105" t="s">
        <v>23</v>
      </c>
      <c r="H1105" t="s">
        <v>285</v>
      </c>
      <c r="J1105" t="s">
        <v>143</v>
      </c>
      <c r="K1105" s="23">
        <v>-333.24</v>
      </c>
      <c r="L1105" t="s">
        <v>24</v>
      </c>
      <c r="M1105" t="s">
        <v>25</v>
      </c>
    </row>
    <row r="1106" spans="1:13" hidden="1" x14ac:dyDescent="0.25">
      <c r="A1106" s="5">
        <v>45901</v>
      </c>
      <c r="B1106" t="s">
        <v>33</v>
      </c>
      <c r="C1106" t="s">
        <v>676</v>
      </c>
      <c r="D1106" t="s">
        <v>149</v>
      </c>
      <c r="E1106" t="str">
        <f t="shared" si="20"/>
        <v>ADM</v>
      </c>
      <c r="F1106" t="s">
        <v>23</v>
      </c>
      <c r="G1106" t="s">
        <v>23</v>
      </c>
      <c r="J1106" t="s">
        <v>143</v>
      </c>
      <c r="K1106" s="23">
        <v>-300</v>
      </c>
      <c r="L1106" t="s">
        <v>24</v>
      </c>
      <c r="M1106" t="s">
        <v>25</v>
      </c>
    </row>
    <row r="1107" spans="1:13" hidden="1" x14ac:dyDescent="0.25">
      <c r="A1107" s="5">
        <v>45901</v>
      </c>
      <c r="B1107" t="s">
        <v>20</v>
      </c>
      <c r="C1107" t="s">
        <v>32</v>
      </c>
      <c r="D1107" t="s">
        <v>30</v>
      </c>
      <c r="E1107" t="str">
        <f t="shared" si="20"/>
        <v>ADM</v>
      </c>
      <c r="F1107" t="s">
        <v>23</v>
      </c>
      <c r="G1107" t="s">
        <v>23</v>
      </c>
      <c r="J1107" t="s">
        <v>17</v>
      </c>
      <c r="K1107" s="23">
        <v>-58.9</v>
      </c>
      <c r="L1107" t="s">
        <v>24</v>
      </c>
      <c r="M1107" t="s">
        <v>25</v>
      </c>
    </row>
    <row r="1108" spans="1:13" hidden="1" x14ac:dyDescent="0.25">
      <c r="A1108" s="5">
        <v>45901</v>
      </c>
      <c r="B1108" t="s">
        <v>33</v>
      </c>
      <c r="C1108" t="s">
        <v>677</v>
      </c>
      <c r="D1108" t="s">
        <v>15</v>
      </c>
      <c r="E1108" t="str">
        <f t="shared" si="20"/>
        <v>ADM</v>
      </c>
      <c r="F1108" t="s">
        <v>23</v>
      </c>
      <c r="G1108" t="s">
        <v>23</v>
      </c>
      <c r="J1108" t="s">
        <v>143</v>
      </c>
      <c r="K1108" s="23">
        <v>-224.99</v>
      </c>
      <c r="L1108" t="s">
        <v>24</v>
      </c>
      <c r="M1108" t="s">
        <v>25</v>
      </c>
    </row>
    <row r="1109" spans="1:13" hidden="1" x14ac:dyDescent="0.25">
      <c r="A1109" s="5">
        <v>45901</v>
      </c>
      <c r="B1109" t="s">
        <v>20</v>
      </c>
      <c r="C1109" t="s">
        <v>40</v>
      </c>
      <c r="D1109" t="s">
        <v>30</v>
      </c>
      <c r="E1109" t="str">
        <f t="shared" si="20"/>
        <v>ADM</v>
      </c>
      <c r="F1109" t="s">
        <v>23</v>
      </c>
      <c r="G1109" t="s">
        <v>23</v>
      </c>
      <c r="J1109" t="s">
        <v>17</v>
      </c>
      <c r="K1109" s="23">
        <v>-19.899999999999999</v>
      </c>
      <c r="L1109" t="s">
        <v>24</v>
      </c>
      <c r="M1109" t="s">
        <v>25</v>
      </c>
    </row>
    <row r="1110" spans="1:13" hidden="1" x14ac:dyDescent="0.25">
      <c r="A1110" s="5">
        <v>45901</v>
      </c>
      <c r="B1110" t="s">
        <v>33</v>
      </c>
      <c r="C1110" t="s">
        <v>908</v>
      </c>
      <c r="D1110" t="s">
        <v>28</v>
      </c>
      <c r="E1110" t="str">
        <f t="shared" si="20"/>
        <v>ADM</v>
      </c>
      <c r="F1110" t="s">
        <v>23</v>
      </c>
      <c r="G1110" t="s">
        <v>23</v>
      </c>
      <c r="J1110" t="s">
        <v>143</v>
      </c>
      <c r="K1110" s="23">
        <v>-50.7</v>
      </c>
      <c r="L1110" t="s">
        <v>24</v>
      </c>
      <c r="M1110" t="s">
        <v>25</v>
      </c>
    </row>
    <row r="1111" spans="1:13" hidden="1" x14ac:dyDescent="0.25">
      <c r="A1111" s="5">
        <v>45901</v>
      </c>
      <c r="B1111" t="s">
        <v>20</v>
      </c>
      <c r="C1111" t="s">
        <v>909</v>
      </c>
      <c r="D1111" t="s">
        <v>28</v>
      </c>
      <c r="E1111" t="str">
        <f t="shared" si="20"/>
        <v>ADM</v>
      </c>
      <c r="F1111" t="s">
        <v>23</v>
      </c>
      <c r="G1111" t="s">
        <v>23</v>
      </c>
      <c r="J1111" t="s">
        <v>143</v>
      </c>
      <c r="K1111" s="23">
        <v>-34.79</v>
      </c>
      <c r="L1111" t="s">
        <v>24</v>
      </c>
      <c r="M1111" t="s">
        <v>25</v>
      </c>
    </row>
    <row r="1112" spans="1:13" hidden="1" x14ac:dyDescent="0.25">
      <c r="A1112" s="5">
        <v>45901</v>
      </c>
      <c r="B1112" t="s">
        <v>20</v>
      </c>
      <c r="C1112" t="s">
        <v>910</v>
      </c>
      <c r="D1112" t="s">
        <v>28</v>
      </c>
      <c r="E1112" t="str">
        <f t="shared" si="20"/>
        <v>ADM</v>
      </c>
      <c r="F1112" t="s">
        <v>23</v>
      </c>
      <c r="G1112" t="s">
        <v>23</v>
      </c>
      <c r="J1112" t="s">
        <v>143</v>
      </c>
      <c r="K1112" s="23">
        <v>-324.75</v>
      </c>
      <c r="L1112" t="s">
        <v>24</v>
      </c>
      <c r="M1112" t="s">
        <v>25</v>
      </c>
    </row>
    <row r="1113" spans="1:13" hidden="1" x14ac:dyDescent="0.25">
      <c r="A1113" s="5">
        <v>45905</v>
      </c>
      <c r="B1113" t="s">
        <v>568</v>
      </c>
      <c r="C1113" t="s">
        <v>45</v>
      </c>
      <c r="D1113" t="s">
        <v>15</v>
      </c>
      <c r="E1113" t="str">
        <f t="shared" si="20"/>
        <v>ADM</v>
      </c>
      <c r="F1113" t="s">
        <v>23</v>
      </c>
      <c r="G1113" t="s">
        <v>23</v>
      </c>
      <c r="J1113" t="s">
        <v>143</v>
      </c>
      <c r="K1113" s="23">
        <v>-1641.71</v>
      </c>
      <c r="L1113" t="s">
        <v>24</v>
      </c>
      <c r="M1113" t="s">
        <v>25</v>
      </c>
    </row>
    <row r="1114" spans="1:13" hidden="1" x14ac:dyDescent="0.25">
      <c r="A1114" s="5">
        <v>45909</v>
      </c>
      <c r="B1114" t="s">
        <v>568</v>
      </c>
      <c r="C1114" t="s">
        <v>43</v>
      </c>
      <c r="D1114" t="s">
        <v>15</v>
      </c>
      <c r="E1114" t="str">
        <f t="shared" si="20"/>
        <v>ADM</v>
      </c>
      <c r="F1114" t="s">
        <v>23</v>
      </c>
      <c r="G1114" t="s">
        <v>23</v>
      </c>
      <c r="J1114" t="s">
        <v>143</v>
      </c>
      <c r="K1114" s="23">
        <v>-1346.56</v>
      </c>
      <c r="L1114" t="s">
        <v>24</v>
      </c>
      <c r="M1114" t="s">
        <v>25</v>
      </c>
    </row>
    <row r="1115" spans="1:13" hidden="1" x14ac:dyDescent="0.25">
      <c r="A1115" s="5">
        <v>45922</v>
      </c>
      <c r="B1115" t="s">
        <v>568</v>
      </c>
      <c r="C1115" t="s">
        <v>995</v>
      </c>
      <c r="D1115" t="s">
        <v>149</v>
      </c>
      <c r="E1115" t="str">
        <f t="shared" si="20"/>
        <v>ADM</v>
      </c>
      <c r="F1115" t="s">
        <v>996</v>
      </c>
      <c r="G1115" t="s">
        <v>996</v>
      </c>
      <c r="J1115" t="s">
        <v>143</v>
      </c>
      <c r="K1115" s="23">
        <v>-470</v>
      </c>
      <c r="L1115" t="s">
        <v>24</v>
      </c>
      <c r="M1115" t="s">
        <v>25</v>
      </c>
    </row>
    <row r="1116" spans="1:13" hidden="1" x14ac:dyDescent="0.25">
      <c r="A1116" s="5">
        <v>45916</v>
      </c>
      <c r="B1116" t="s">
        <v>568</v>
      </c>
      <c r="C1116" t="s">
        <v>967</v>
      </c>
      <c r="D1116" t="s">
        <v>149</v>
      </c>
      <c r="E1116" t="str">
        <f t="shared" si="20"/>
        <v>ADM</v>
      </c>
      <c r="F1116" t="s">
        <v>968</v>
      </c>
      <c r="G1116" t="s">
        <v>968</v>
      </c>
      <c r="J1116" t="s">
        <v>143</v>
      </c>
      <c r="K1116" s="23">
        <v>-290</v>
      </c>
      <c r="L1116" t="s">
        <v>24</v>
      </c>
      <c r="M1116" t="s">
        <v>25</v>
      </c>
    </row>
    <row r="1117" spans="1:13" hidden="1" x14ac:dyDescent="0.25">
      <c r="A1117" s="5">
        <v>45915</v>
      </c>
      <c r="B1117" t="s">
        <v>13</v>
      </c>
      <c r="C1117" t="s">
        <v>14</v>
      </c>
      <c r="D1117" t="s">
        <v>15</v>
      </c>
      <c r="E1117" t="str">
        <f t="shared" si="20"/>
        <v>ADM</v>
      </c>
      <c r="F1117" t="s">
        <v>16</v>
      </c>
      <c r="G1117" t="s">
        <v>16</v>
      </c>
      <c r="J1117" t="s">
        <v>143</v>
      </c>
      <c r="K1117" s="23">
        <v>1251.8</v>
      </c>
      <c r="L1117" t="s">
        <v>18</v>
      </c>
      <c r="M1117" t="s">
        <v>19</v>
      </c>
    </row>
    <row r="1118" spans="1:13" hidden="1" x14ac:dyDescent="0.25">
      <c r="A1118" s="5">
        <v>45915</v>
      </c>
      <c r="B1118" t="s">
        <v>569</v>
      </c>
      <c r="C1118" t="s">
        <v>13</v>
      </c>
      <c r="D1118" t="s">
        <v>15</v>
      </c>
      <c r="E1118" t="str">
        <f t="shared" si="20"/>
        <v>ADM</v>
      </c>
      <c r="F1118" t="s">
        <v>16</v>
      </c>
      <c r="G1118" t="s">
        <v>16</v>
      </c>
      <c r="J1118" t="s">
        <v>17</v>
      </c>
      <c r="K1118" s="23">
        <v>-1251.8</v>
      </c>
      <c r="L1118" t="s">
        <v>24</v>
      </c>
      <c r="M1118" t="s">
        <v>25</v>
      </c>
    </row>
    <row r="1119" spans="1:13" hidden="1" x14ac:dyDescent="0.25">
      <c r="A1119" s="5">
        <v>45915</v>
      </c>
      <c r="B1119" t="s">
        <v>13</v>
      </c>
      <c r="C1119" t="s">
        <v>29</v>
      </c>
      <c r="D1119" t="s">
        <v>30</v>
      </c>
      <c r="E1119" t="str">
        <f t="shared" si="20"/>
        <v>ADM</v>
      </c>
      <c r="F1119" t="s">
        <v>16</v>
      </c>
      <c r="G1119" t="s">
        <v>16</v>
      </c>
      <c r="J1119" t="s">
        <v>17</v>
      </c>
      <c r="K1119" s="23">
        <v>-653.29999999999995</v>
      </c>
      <c r="L1119" t="s">
        <v>24</v>
      </c>
      <c r="M1119" t="s">
        <v>25</v>
      </c>
    </row>
    <row r="1120" spans="1:13" hidden="1" x14ac:dyDescent="0.25">
      <c r="A1120" s="5">
        <v>45915</v>
      </c>
      <c r="B1120" t="s">
        <v>13</v>
      </c>
      <c r="C1120" t="s">
        <v>47</v>
      </c>
      <c r="D1120" t="s">
        <v>30</v>
      </c>
      <c r="E1120" t="str">
        <f t="shared" si="20"/>
        <v>ADM</v>
      </c>
      <c r="F1120" t="s">
        <v>16</v>
      </c>
      <c r="G1120" t="s">
        <v>16</v>
      </c>
      <c r="J1120" t="s">
        <v>17</v>
      </c>
      <c r="K1120" s="23">
        <v>-249.21</v>
      </c>
      <c r="L1120" t="s">
        <v>24</v>
      </c>
      <c r="M1120" t="s">
        <v>25</v>
      </c>
    </row>
    <row r="1121" spans="1:13" hidden="1" x14ac:dyDescent="0.25">
      <c r="A1121" s="5">
        <v>45915</v>
      </c>
      <c r="B1121" t="s">
        <v>13</v>
      </c>
      <c r="C1121" t="s">
        <v>35</v>
      </c>
      <c r="D1121" t="s">
        <v>30</v>
      </c>
      <c r="E1121" t="str">
        <f t="shared" si="20"/>
        <v>ADM</v>
      </c>
      <c r="F1121" t="s">
        <v>16</v>
      </c>
      <c r="G1121" t="s">
        <v>16</v>
      </c>
      <c r="J1121" t="s">
        <v>17</v>
      </c>
      <c r="K1121" s="23">
        <v>-120.29</v>
      </c>
      <c r="L1121" t="s">
        <v>24</v>
      </c>
      <c r="M1121" t="s">
        <v>25</v>
      </c>
    </row>
    <row r="1122" spans="1:13" hidden="1" x14ac:dyDescent="0.25">
      <c r="A1122" s="5">
        <v>45901</v>
      </c>
      <c r="B1122" t="s">
        <v>568</v>
      </c>
      <c r="C1122" t="s">
        <v>51</v>
      </c>
      <c r="D1122" t="s">
        <v>52</v>
      </c>
      <c r="E1122" t="str">
        <f t="shared" si="20"/>
        <v>ADM</v>
      </c>
      <c r="F1122" t="s">
        <v>53</v>
      </c>
      <c r="G1122" t="s">
        <v>53</v>
      </c>
      <c r="J1122" t="s">
        <v>17</v>
      </c>
      <c r="K1122" s="23">
        <v>-1518</v>
      </c>
      <c r="L1122" t="s">
        <v>24</v>
      </c>
      <c r="M1122" t="s">
        <v>25</v>
      </c>
    </row>
    <row r="1123" spans="1:13" hidden="1" x14ac:dyDescent="0.25">
      <c r="A1123" s="5">
        <v>45919</v>
      </c>
      <c r="B1123" t="s">
        <v>569</v>
      </c>
      <c r="C1123" t="s">
        <v>983</v>
      </c>
      <c r="D1123" t="s">
        <v>56</v>
      </c>
      <c r="E1123" t="str">
        <f t="shared" si="20"/>
        <v>Honorários</v>
      </c>
      <c r="F1123" t="s">
        <v>984</v>
      </c>
      <c r="G1123" t="s">
        <v>984</v>
      </c>
      <c r="J1123" t="s">
        <v>143</v>
      </c>
      <c r="K1123" s="23">
        <v>200</v>
      </c>
      <c r="L1123" t="s">
        <v>18</v>
      </c>
      <c r="M1123" t="s">
        <v>19</v>
      </c>
    </row>
    <row r="1124" spans="1:13" hidden="1" x14ac:dyDescent="0.25">
      <c r="A1124" s="5">
        <v>45925</v>
      </c>
      <c r="B1124" t="s">
        <v>568</v>
      </c>
      <c r="C1124" t="s">
        <v>999</v>
      </c>
      <c r="D1124" t="s">
        <v>149</v>
      </c>
      <c r="E1124" t="str">
        <f t="shared" si="20"/>
        <v>ADM</v>
      </c>
      <c r="F1124" t="s">
        <v>1000</v>
      </c>
      <c r="G1124" t="s">
        <v>1000</v>
      </c>
      <c r="J1124" t="s">
        <v>143</v>
      </c>
      <c r="K1124" s="23">
        <v>-2300</v>
      </c>
      <c r="L1124" t="s">
        <v>24</v>
      </c>
      <c r="M1124" t="s">
        <v>25</v>
      </c>
    </row>
    <row r="1125" spans="1:13" hidden="1" x14ac:dyDescent="0.25">
      <c r="A1125" s="30">
        <v>45901</v>
      </c>
      <c r="B1125" s="31" t="s">
        <v>568</v>
      </c>
      <c r="C1125" s="31" t="s">
        <v>898</v>
      </c>
      <c r="D1125" s="31" t="s">
        <v>300</v>
      </c>
      <c r="E1125" s="31" t="str">
        <f t="shared" si="20"/>
        <v>VAR</v>
      </c>
      <c r="F1125" s="31" t="s">
        <v>878</v>
      </c>
      <c r="G1125" t="s">
        <v>878</v>
      </c>
      <c r="I1125" t="s">
        <v>58</v>
      </c>
      <c r="J1125" t="s">
        <v>143</v>
      </c>
      <c r="K1125" s="32">
        <v>-21452.83</v>
      </c>
      <c r="L1125" s="31" t="s">
        <v>24</v>
      </c>
      <c r="M1125" s="31" t="s">
        <v>25</v>
      </c>
    </row>
    <row r="1126" spans="1:13" hidden="1" x14ac:dyDescent="0.25">
      <c r="A1126" s="5">
        <v>45916</v>
      </c>
      <c r="B1126" t="s">
        <v>568</v>
      </c>
      <c r="C1126" t="s">
        <v>965</v>
      </c>
      <c r="D1126" t="s">
        <v>56</v>
      </c>
      <c r="E1126" t="str">
        <f t="shared" si="20"/>
        <v>Honorários</v>
      </c>
      <c r="F1126" t="s">
        <v>966</v>
      </c>
      <c r="G1126" t="s">
        <v>966</v>
      </c>
      <c r="I1126" t="s">
        <v>93</v>
      </c>
      <c r="J1126" t="s">
        <v>143</v>
      </c>
      <c r="K1126" s="23">
        <v>1052.19</v>
      </c>
      <c r="L1126" t="s">
        <v>18</v>
      </c>
      <c r="M1126" t="s">
        <v>19</v>
      </c>
    </row>
    <row r="1127" spans="1:13" hidden="1" x14ac:dyDescent="0.25">
      <c r="A1127" s="5">
        <v>45911</v>
      </c>
      <c r="B1127" t="s">
        <v>569</v>
      </c>
      <c r="C1127" t="s">
        <v>598</v>
      </c>
      <c r="D1127" t="s">
        <v>56</v>
      </c>
      <c r="E1127" t="str">
        <f t="shared" si="20"/>
        <v>Honorários</v>
      </c>
      <c r="F1127" t="s">
        <v>513</v>
      </c>
      <c r="G1127" t="s">
        <v>513</v>
      </c>
      <c r="I1127" t="s">
        <v>75</v>
      </c>
      <c r="J1127" t="s">
        <v>143</v>
      </c>
      <c r="K1127" s="23">
        <v>455.4</v>
      </c>
      <c r="L1127" t="s">
        <v>18</v>
      </c>
      <c r="M1127" t="s">
        <v>19</v>
      </c>
    </row>
    <row r="1128" spans="1:13" hidden="1" x14ac:dyDescent="0.25">
      <c r="A1128" s="5">
        <v>45916</v>
      </c>
      <c r="B1128" t="s">
        <v>568</v>
      </c>
      <c r="C1128" t="s">
        <v>960</v>
      </c>
      <c r="D1128" t="s">
        <v>56</v>
      </c>
      <c r="E1128" t="str">
        <f t="shared" si="20"/>
        <v>Honorários</v>
      </c>
      <c r="F1128" t="s">
        <v>513</v>
      </c>
      <c r="G1128" t="s">
        <v>513</v>
      </c>
      <c r="I1128" t="s">
        <v>75</v>
      </c>
      <c r="J1128" t="s">
        <v>143</v>
      </c>
      <c r="K1128" s="23">
        <v>3843.08</v>
      </c>
      <c r="L1128" t="s">
        <v>18</v>
      </c>
      <c r="M1128" t="s">
        <v>19</v>
      </c>
    </row>
    <row r="1129" spans="1:13" hidden="1" x14ac:dyDescent="0.25">
      <c r="A1129" s="5">
        <v>45930</v>
      </c>
      <c r="B1129" t="s">
        <v>569</v>
      </c>
      <c r="C1129" t="s">
        <v>1013</v>
      </c>
      <c r="D1129" t="s">
        <v>300</v>
      </c>
      <c r="E1129" t="str">
        <f t="shared" si="20"/>
        <v>VAR</v>
      </c>
      <c r="F1129" t="s">
        <v>513</v>
      </c>
      <c r="G1129" t="s">
        <v>513</v>
      </c>
      <c r="I1129" t="s">
        <v>75</v>
      </c>
      <c r="J1129" t="s">
        <v>17</v>
      </c>
      <c r="K1129" s="23">
        <v>-1026.56</v>
      </c>
      <c r="L1129" t="s">
        <v>24</v>
      </c>
      <c r="M1129" t="s">
        <v>25</v>
      </c>
    </row>
    <row r="1130" spans="1:13" hidden="1" x14ac:dyDescent="0.25">
      <c r="A1130" s="30">
        <v>45917</v>
      </c>
      <c r="B1130" s="31" t="s">
        <v>568</v>
      </c>
      <c r="C1130" s="31" t="s">
        <v>971</v>
      </c>
      <c r="D1130" s="31" t="s">
        <v>56</v>
      </c>
      <c r="E1130" s="31" t="str">
        <f t="shared" si="20"/>
        <v>Honorários</v>
      </c>
      <c r="F1130" s="31" t="s">
        <v>818</v>
      </c>
      <c r="G1130" t="s">
        <v>818</v>
      </c>
      <c r="I1130" t="s">
        <v>93</v>
      </c>
      <c r="J1130" t="s">
        <v>143</v>
      </c>
      <c r="K1130" s="32">
        <v>40664.550000000003</v>
      </c>
      <c r="L1130" s="31" t="s">
        <v>18</v>
      </c>
      <c r="M1130" s="31" t="s">
        <v>19</v>
      </c>
    </row>
    <row r="1131" spans="1:13" hidden="1" x14ac:dyDescent="0.25">
      <c r="A1131" s="30">
        <v>45930</v>
      </c>
      <c r="B1131" s="31" t="s">
        <v>568</v>
      </c>
      <c r="C1131" s="31" t="s">
        <v>939</v>
      </c>
      <c r="D1131" s="31" t="s">
        <v>300</v>
      </c>
      <c r="E1131" s="31" t="str">
        <f t="shared" si="20"/>
        <v>VAR</v>
      </c>
      <c r="F1131" s="31" t="s">
        <v>818</v>
      </c>
      <c r="G1131" t="s">
        <v>818</v>
      </c>
      <c r="I1131" t="s">
        <v>93</v>
      </c>
      <c r="J1131" t="s">
        <v>17</v>
      </c>
      <c r="K1131" s="32">
        <v>-25345.39</v>
      </c>
      <c r="L1131" s="31" t="s">
        <v>24</v>
      </c>
      <c r="M1131" s="31" t="s">
        <v>25</v>
      </c>
    </row>
    <row r="1132" spans="1:13" hidden="1" x14ac:dyDescent="0.25">
      <c r="A1132" s="5">
        <v>45901</v>
      </c>
      <c r="B1132" t="s">
        <v>569</v>
      </c>
      <c r="C1132" t="s">
        <v>899</v>
      </c>
      <c r="D1132" t="s">
        <v>900</v>
      </c>
      <c r="E1132" t="str">
        <f t="shared" si="20"/>
        <v>PES</v>
      </c>
      <c r="F1132" t="s">
        <v>875</v>
      </c>
      <c r="G1132" t="s">
        <v>875</v>
      </c>
      <c r="J1132" t="s">
        <v>143</v>
      </c>
      <c r="K1132" s="23">
        <v>-700</v>
      </c>
      <c r="L1132" t="s">
        <v>24</v>
      </c>
      <c r="M1132" t="s">
        <v>25</v>
      </c>
    </row>
    <row r="1133" spans="1:13" hidden="1" x14ac:dyDescent="0.25">
      <c r="A1133" s="5">
        <v>45905</v>
      </c>
      <c r="B1133" t="s">
        <v>569</v>
      </c>
      <c r="C1133" t="s">
        <v>929</v>
      </c>
      <c r="D1133" t="s">
        <v>900</v>
      </c>
      <c r="E1133" t="str">
        <f t="shared" si="20"/>
        <v>PES</v>
      </c>
      <c r="F1133" t="s">
        <v>875</v>
      </c>
      <c r="G1133" t="s">
        <v>875</v>
      </c>
      <c r="J1133" t="s">
        <v>143</v>
      </c>
      <c r="K1133" s="23">
        <v>-400</v>
      </c>
      <c r="L1133" t="s">
        <v>24</v>
      </c>
      <c r="M1133" t="s">
        <v>25</v>
      </c>
    </row>
    <row r="1134" spans="1:13" hidden="1" x14ac:dyDescent="0.25">
      <c r="A1134" s="5">
        <v>45912</v>
      </c>
      <c r="B1134" t="s">
        <v>569</v>
      </c>
      <c r="C1134" t="s">
        <v>945</v>
      </c>
      <c r="D1134" t="s">
        <v>900</v>
      </c>
      <c r="E1134" t="str">
        <f t="shared" ref="E1134:E1165" si="21">IF(ISERROR(FIND("-",D1134,1)),D1134,LEFT(D1134,3))</f>
        <v>PES</v>
      </c>
      <c r="F1134" t="s">
        <v>875</v>
      </c>
      <c r="G1134" t="s">
        <v>875</v>
      </c>
      <c r="J1134" t="s">
        <v>143</v>
      </c>
      <c r="K1134" s="23">
        <v>-200</v>
      </c>
      <c r="L1134" t="s">
        <v>24</v>
      </c>
      <c r="M1134" t="s">
        <v>25</v>
      </c>
    </row>
    <row r="1135" spans="1:13" hidden="1" x14ac:dyDescent="0.25">
      <c r="A1135" s="5">
        <v>45919</v>
      </c>
      <c r="B1135" t="s">
        <v>569</v>
      </c>
      <c r="C1135" t="s">
        <v>987</v>
      </c>
      <c r="D1135" t="s">
        <v>900</v>
      </c>
      <c r="E1135" t="str">
        <f t="shared" si="21"/>
        <v>PES</v>
      </c>
      <c r="F1135" t="s">
        <v>875</v>
      </c>
      <c r="G1135" t="s">
        <v>875</v>
      </c>
      <c r="J1135" t="s">
        <v>143</v>
      </c>
      <c r="K1135" s="23">
        <v>-300</v>
      </c>
      <c r="L1135" t="s">
        <v>24</v>
      </c>
      <c r="M1135" t="s">
        <v>25</v>
      </c>
    </row>
    <row r="1136" spans="1:13" hidden="1" x14ac:dyDescent="0.25">
      <c r="A1136" s="5">
        <v>45926</v>
      </c>
      <c r="B1136" t="s">
        <v>569</v>
      </c>
      <c r="C1136" t="s">
        <v>1005</v>
      </c>
      <c r="D1136" t="s">
        <v>300</v>
      </c>
      <c r="E1136" t="str">
        <f t="shared" si="21"/>
        <v>VAR</v>
      </c>
      <c r="F1136" t="s">
        <v>875</v>
      </c>
      <c r="G1136" t="s">
        <v>875</v>
      </c>
      <c r="J1136" t="s">
        <v>143</v>
      </c>
      <c r="K1136" s="23">
        <v>-400</v>
      </c>
      <c r="L1136" t="s">
        <v>24</v>
      </c>
      <c r="M1136" t="s">
        <v>25</v>
      </c>
    </row>
    <row r="1137" spans="1:13" hidden="1" x14ac:dyDescent="0.25">
      <c r="A1137" s="5">
        <v>45916</v>
      </c>
      <c r="B1137" t="s">
        <v>569</v>
      </c>
      <c r="C1137" t="s">
        <v>961</v>
      </c>
      <c r="D1137" t="s">
        <v>149</v>
      </c>
      <c r="E1137" t="str">
        <f t="shared" si="21"/>
        <v>ADM</v>
      </c>
      <c r="F1137" t="s">
        <v>962</v>
      </c>
      <c r="G1137" t="s">
        <v>962</v>
      </c>
      <c r="J1137" t="s">
        <v>143</v>
      </c>
      <c r="K1137" s="23">
        <v>-400</v>
      </c>
      <c r="L1137" t="s">
        <v>24</v>
      </c>
      <c r="M1137" t="s">
        <v>25</v>
      </c>
    </row>
    <row r="1138" spans="1:13" hidden="1" x14ac:dyDescent="0.25">
      <c r="A1138" s="5">
        <v>45926</v>
      </c>
      <c r="B1138" t="s">
        <v>569</v>
      </c>
      <c r="C1138" t="s">
        <v>1003</v>
      </c>
      <c r="D1138" t="s">
        <v>149</v>
      </c>
      <c r="E1138" t="str">
        <f t="shared" si="21"/>
        <v>ADM</v>
      </c>
      <c r="F1138" t="s">
        <v>962</v>
      </c>
      <c r="G1138" t="s">
        <v>962</v>
      </c>
      <c r="J1138" t="s">
        <v>143</v>
      </c>
      <c r="K1138" s="23">
        <v>-400</v>
      </c>
      <c r="L1138" t="s">
        <v>24</v>
      </c>
      <c r="M1138" t="s">
        <v>25</v>
      </c>
    </row>
    <row r="1139" spans="1:13" hidden="1" x14ac:dyDescent="0.25">
      <c r="A1139" s="5">
        <v>45917</v>
      </c>
      <c r="B1139" t="s">
        <v>568</v>
      </c>
      <c r="C1139" t="s">
        <v>865</v>
      </c>
      <c r="D1139" t="s">
        <v>56</v>
      </c>
      <c r="E1139" t="str">
        <f t="shared" si="21"/>
        <v>Honorários</v>
      </c>
      <c r="F1139" t="s">
        <v>866</v>
      </c>
      <c r="G1139" t="s">
        <v>866</v>
      </c>
      <c r="I1139" t="s">
        <v>93</v>
      </c>
      <c r="J1139" t="s">
        <v>143</v>
      </c>
      <c r="K1139" s="23">
        <v>3525.48</v>
      </c>
      <c r="L1139" t="s">
        <v>18</v>
      </c>
      <c r="M1139" t="s">
        <v>19</v>
      </c>
    </row>
    <row r="1140" spans="1:13" hidden="1" x14ac:dyDescent="0.25">
      <c r="A1140" s="5">
        <v>45910</v>
      </c>
      <c r="B1140" t="s">
        <v>569</v>
      </c>
      <c r="C1140" t="s">
        <v>932</v>
      </c>
      <c r="D1140" t="s">
        <v>56</v>
      </c>
      <c r="E1140" t="str">
        <f t="shared" si="21"/>
        <v>Honorários</v>
      </c>
      <c r="F1140" t="s">
        <v>933</v>
      </c>
      <c r="G1140" t="s">
        <v>933</v>
      </c>
      <c r="I1140" t="s">
        <v>934</v>
      </c>
      <c r="J1140" t="s">
        <v>143</v>
      </c>
      <c r="K1140" s="23">
        <v>1500</v>
      </c>
      <c r="L1140" t="s">
        <v>18</v>
      </c>
      <c r="M1140" t="s">
        <v>19</v>
      </c>
    </row>
    <row r="1141" spans="1:13" hidden="1" x14ac:dyDescent="0.25">
      <c r="A1141" s="5">
        <v>45915</v>
      </c>
      <c r="B1141" t="s">
        <v>569</v>
      </c>
      <c r="C1141" t="s">
        <v>953</v>
      </c>
      <c r="D1141" t="s">
        <v>300</v>
      </c>
      <c r="E1141" t="str">
        <f t="shared" si="21"/>
        <v>VAR</v>
      </c>
      <c r="F1141" t="s">
        <v>933</v>
      </c>
      <c r="G1141" t="s">
        <v>933</v>
      </c>
      <c r="I1141" t="s">
        <v>934</v>
      </c>
      <c r="J1141" t="s">
        <v>143</v>
      </c>
      <c r="K1141" s="23">
        <v>-750</v>
      </c>
      <c r="L1141" t="s">
        <v>24</v>
      </c>
      <c r="M1141" t="s">
        <v>25</v>
      </c>
    </row>
    <row r="1142" spans="1:13" hidden="1" x14ac:dyDescent="0.25">
      <c r="A1142" s="5">
        <v>45905</v>
      </c>
      <c r="B1142" t="s">
        <v>569</v>
      </c>
      <c r="C1142" t="s">
        <v>584</v>
      </c>
      <c r="D1142" t="s">
        <v>99</v>
      </c>
      <c r="E1142" t="str">
        <f t="shared" si="21"/>
        <v>ADM</v>
      </c>
      <c r="F1142" t="s">
        <v>100</v>
      </c>
      <c r="G1142" t="s">
        <v>100</v>
      </c>
      <c r="J1142" t="s">
        <v>143</v>
      </c>
      <c r="K1142" s="23">
        <v>-340</v>
      </c>
      <c r="L1142" t="s">
        <v>24</v>
      </c>
      <c r="M1142" t="s">
        <v>25</v>
      </c>
    </row>
    <row r="1143" spans="1:13" hidden="1" x14ac:dyDescent="0.25">
      <c r="A1143" s="5">
        <v>45912</v>
      </c>
      <c r="B1143" t="s">
        <v>569</v>
      </c>
      <c r="C1143" t="s">
        <v>584</v>
      </c>
      <c r="D1143" t="s">
        <v>99</v>
      </c>
      <c r="E1143" t="str">
        <f t="shared" si="21"/>
        <v>ADM</v>
      </c>
      <c r="F1143" t="s">
        <v>100</v>
      </c>
      <c r="G1143" t="s">
        <v>100</v>
      </c>
      <c r="J1143" t="s">
        <v>143</v>
      </c>
      <c r="K1143" s="23">
        <v>-170</v>
      </c>
      <c r="L1143" t="s">
        <v>24</v>
      </c>
      <c r="M1143" t="s">
        <v>25</v>
      </c>
    </row>
    <row r="1144" spans="1:13" hidden="1" x14ac:dyDescent="0.25">
      <c r="A1144" s="5">
        <v>45917</v>
      </c>
      <c r="B1144" t="s">
        <v>569</v>
      </c>
      <c r="C1144" t="s">
        <v>970</v>
      </c>
      <c r="D1144" t="s">
        <v>99</v>
      </c>
      <c r="E1144" t="str">
        <f t="shared" si="21"/>
        <v>ADM</v>
      </c>
      <c r="F1144" t="s">
        <v>100</v>
      </c>
      <c r="G1144" t="s">
        <v>100</v>
      </c>
      <c r="J1144" t="s">
        <v>143</v>
      </c>
      <c r="K1144" s="23">
        <v>-50</v>
      </c>
      <c r="L1144" t="s">
        <v>24</v>
      </c>
      <c r="M1144" t="s">
        <v>25</v>
      </c>
    </row>
    <row r="1145" spans="1:13" hidden="1" x14ac:dyDescent="0.25">
      <c r="A1145" s="5">
        <v>45919</v>
      </c>
      <c r="B1145" t="s">
        <v>569</v>
      </c>
      <c r="C1145" t="s">
        <v>584</v>
      </c>
      <c r="D1145" t="s">
        <v>99</v>
      </c>
      <c r="E1145" t="str">
        <f t="shared" si="21"/>
        <v>ADM</v>
      </c>
      <c r="F1145" t="s">
        <v>100</v>
      </c>
      <c r="G1145" t="s">
        <v>100</v>
      </c>
      <c r="J1145" t="s">
        <v>143</v>
      </c>
      <c r="K1145" s="23">
        <v>-340</v>
      </c>
      <c r="L1145" t="s">
        <v>24</v>
      </c>
      <c r="M1145" t="s">
        <v>25</v>
      </c>
    </row>
    <row r="1146" spans="1:13" hidden="1" x14ac:dyDescent="0.25">
      <c r="A1146" s="5">
        <v>45926</v>
      </c>
      <c r="B1146" t="s">
        <v>569</v>
      </c>
      <c r="C1146" t="s">
        <v>584</v>
      </c>
      <c r="D1146" t="s">
        <v>99</v>
      </c>
      <c r="E1146" t="str">
        <f t="shared" si="21"/>
        <v>ADM</v>
      </c>
      <c r="F1146" t="s">
        <v>100</v>
      </c>
      <c r="G1146" t="s">
        <v>100</v>
      </c>
      <c r="J1146" t="s">
        <v>143</v>
      </c>
      <c r="K1146" s="23">
        <v>-340</v>
      </c>
      <c r="L1146" t="s">
        <v>24</v>
      </c>
      <c r="M1146" t="s">
        <v>25</v>
      </c>
    </row>
    <row r="1147" spans="1:13" hidden="1" x14ac:dyDescent="0.25">
      <c r="A1147" s="5">
        <v>45926</v>
      </c>
      <c r="B1147" t="s">
        <v>568</v>
      </c>
      <c r="C1147" t="s">
        <v>481</v>
      </c>
      <c r="D1147" t="s">
        <v>191</v>
      </c>
      <c r="E1147" t="str">
        <f t="shared" si="21"/>
        <v>ADM</v>
      </c>
      <c r="F1147" t="s">
        <v>371</v>
      </c>
      <c r="G1147" t="s">
        <v>371</v>
      </c>
      <c r="J1147" t="s">
        <v>17</v>
      </c>
      <c r="K1147" s="23">
        <v>-439.04</v>
      </c>
      <c r="L1147" t="s">
        <v>24</v>
      </c>
      <c r="M1147" t="s">
        <v>25</v>
      </c>
    </row>
    <row r="1148" spans="1:13" hidden="1" x14ac:dyDescent="0.25">
      <c r="A1148" s="5">
        <v>45926</v>
      </c>
      <c r="B1148" t="s">
        <v>568</v>
      </c>
      <c r="C1148" t="s">
        <v>478</v>
      </c>
      <c r="D1148" t="s">
        <v>191</v>
      </c>
      <c r="E1148" t="str">
        <f t="shared" si="21"/>
        <v>ADM</v>
      </c>
      <c r="F1148" t="s">
        <v>380</v>
      </c>
      <c r="G1148" t="s">
        <v>380</v>
      </c>
      <c r="J1148" t="s">
        <v>17</v>
      </c>
      <c r="K1148" s="23">
        <v>-443.3</v>
      </c>
      <c r="L1148" t="s">
        <v>24</v>
      </c>
      <c r="M1148" t="s">
        <v>25</v>
      </c>
    </row>
    <row r="1149" spans="1:13" hidden="1" x14ac:dyDescent="0.25">
      <c r="A1149" s="5">
        <v>45902</v>
      </c>
      <c r="B1149" t="s">
        <v>569</v>
      </c>
      <c r="C1149" t="s">
        <v>912</v>
      </c>
      <c r="D1149" t="s">
        <v>56</v>
      </c>
      <c r="E1149" t="str">
        <f t="shared" si="21"/>
        <v>Honorários</v>
      </c>
      <c r="F1149" t="s">
        <v>913</v>
      </c>
      <c r="G1149" t="s">
        <v>913</v>
      </c>
      <c r="I1149" t="s">
        <v>75</v>
      </c>
      <c r="J1149" t="s">
        <v>143</v>
      </c>
      <c r="K1149" s="23">
        <v>1595.1</v>
      </c>
      <c r="L1149" t="s">
        <v>18</v>
      </c>
      <c r="M1149" t="s">
        <v>19</v>
      </c>
    </row>
    <row r="1150" spans="1:13" hidden="1" x14ac:dyDescent="0.25">
      <c r="A1150" s="30">
        <v>45908</v>
      </c>
      <c r="B1150" s="31" t="s">
        <v>568</v>
      </c>
      <c r="C1150" s="31" t="s">
        <v>930</v>
      </c>
      <c r="D1150" s="31" t="s">
        <v>56</v>
      </c>
      <c r="E1150" s="31" t="str">
        <f t="shared" si="21"/>
        <v>Honorários</v>
      </c>
      <c r="F1150" s="31" t="s">
        <v>184</v>
      </c>
      <c r="G1150" t="s">
        <v>184</v>
      </c>
      <c r="I1150" t="s">
        <v>317</v>
      </c>
      <c r="J1150" t="s">
        <v>143</v>
      </c>
      <c r="K1150" s="32">
        <v>5455.92</v>
      </c>
      <c r="L1150" s="31" t="s">
        <v>18</v>
      </c>
      <c r="M1150" s="31" t="s">
        <v>19</v>
      </c>
    </row>
    <row r="1151" spans="1:13" hidden="1" x14ac:dyDescent="0.25">
      <c r="A1151" s="30">
        <v>45908</v>
      </c>
      <c r="B1151" s="31" t="s">
        <v>568</v>
      </c>
      <c r="C1151" s="31" t="s">
        <v>931</v>
      </c>
      <c r="D1151" s="31" t="s">
        <v>56</v>
      </c>
      <c r="E1151" s="31" t="str">
        <f t="shared" si="21"/>
        <v>Honorários</v>
      </c>
      <c r="F1151" s="31" t="s">
        <v>184</v>
      </c>
      <c r="G1151" t="s">
        <v>184</v>
      </c>
      <c r="I1151" t="s">
        <v>317</v>
      </c>
      <c r="J1151" t="s">
        <v>143</v>
      </c>
      <c r="K1151" s="32">
        <v>20114.2</v>
      </c>
      <c r="L1151" s="31" t="s">
        <v>18</v>
      </c>
      <c r="M1151" s="31" t="s">
        <v>19</v>
      </c>
    </row>
    <row r="1152" spans="1:13" hidden="1" x14ac:dyDescent="0.25">
      <c r="A1152" s="30">
        <v>45930</v>
      </c>
      <c r="B1152" s="31" t="s">
        <v>568</v>
      </c>
      <c r="C1152" s="31" t="s">
        <v>1010</v>
      </c>
      <c r="D1152" s="31" t="s">
        <v>300</v>
      </c>
      <c r="E1152" s="31" t="str">
        <f t="shared" si="21"/>
        <v>VAR</v>
      </c>
      <c r="F1152" s="31" t="s">
        <v>184</v>
      </c>
      <c r="G1152" t="s">
        <v>184</v>
      </c>
      <c r="I1152" t="s">
        <v>317</v>
      </c>
      <c r="J1152" t="s">
        <v>17</v>
      </c>
      <c r="K1152" s="32">
        <v>-3400.55</v>
      </c>
      <c r="L1152" s="31" t="s">
        <v>24</v>
      </c>
      <c r="M1152" s="31" t="s">
        <v>25</v>
      </c>
    </row>
    <row r="1153" spans="1:13" hidden="1" x14ac:dyDescent="0.25">
      <c r="A1153" s="30">
        <v>45930</v>
      </c>
      <c r="B1153" s="31" t="s">
        <v>568</v>
      </c>
      <c r="C1153" s="31" t="s">
        <v>1016</v>
      </c>
      <c r="D1153" s="31" t="s">
        <v>300</v>
      </c>
      <c r="E1153" s="31" t="str">
        <f t="shared" si="21"/>
        <v>VAR</v>
      </c>
      <c r="F1153" s="31" t="s">
        <v>184</v>
      </c>
      <c r="G1153" t="s">
        <v>184</v>
      </c>
      <c r="I1153" t="s">
        <v>317</v>
      </c>
      <c r="J1153" t="s">
        <v>17</v>
      </c>
      <c r="K1153" s="32">
        <v>-12536.77</v>
      </c>
      <c r="L1153" s="31" t="s">
        <v>24</v>
      </c>
      <c r="M1153" s="31" t="s">
        <v>25</v>
      </c>
    </row>
    <row r="1154" spans="1:13" hidden="1" x14ac:dyDescent="0.25">
      <c r="A1154" s="5">
        <v>45912</v>
      </c>
      <c r="B1154" t="s">
        <v>569</v>
      </c>
      <c r="C1154" t="s">
        <v>947</v>
      </c>
      <c r="D1154" t="s">
        <v>382</v>
      </c>
      <c r="E1154" t="str">
        <f t="shared" si="21"/>
        <v>PES</v>
      </c>
      <c r="F1154" t="s">
        <v>948</v>
      </c>
      <c r="G1154" t="s">
        <v>948</v>
      </c>
      <c r="J1154" t="s">
        <v>143</v>
      </c>
      <c r="K1154" s="23">
        <v>-489.3</v>
      </c>
      <c r="L1154" t="s">
        <v>24</v>
      </c>
      <c r="M1154" t="s">
        <v>25</v>
      </c>
    </row>
    <row r="1155" spans="1:13" hidden="1" x14ac:dyDescent="0.25">
      <c r="A1155" s="5">
        <v>45919</v>
      </c>
      <c r="B1155" t="s">
        <v>568</v>
      </c>
      <c r="C1155" t="s">
        <v>158</v>
      </c>
      <c r="D1155" t="s">
        <v>159</v>
      </c>
      <c r="E1155" t="str">
        <f t="shared" si="21"/>
        <v>PES</v>
      </c>
      <c r="F1155" t="s">
        <v>158</v>
      </c>
      <c r="G1155" t="s">
        <v>158</v>
      </c>
      <c r="J1155" t="s">
        <v>17</v>
      </c>
      <c r="K1155" s="23">
        <v>-789.17</v>
      </c>
      <c r="L1155" t="s">
        <v>24</v>
      </c>
      <c r="M1155" t="s">
        <v>25</v>
      </c>
    </row>
    <row r="1156" spans="1:13" hidden="1" x14ac:dyDescent="0.25">
      <c r="A1156" s="5">
        <v>45929</v>
      </c>
      <c r="B1156" t="s">
        <v>568</v>
      </c>
      <c r="C1156" t="s">
        <v>1008</v>
      </c>
      <c r="D1156" t="s">
        <v>508</v>
      </c>
      <c r="E1156" t="str">
        <f t="shared" si="21"/>
        <v>ADM</v>
      </c>
      <c r="F1156" t="s">
        <v>1009</v>
      </c>
      <c r="G1156" t="s">
        <v>1009</v>
      </c>
      <c r="J1156" t="s">
        <v>143</v>
      </c>
      <c r="K1156" s="23">
        <v>-700</v>
      </c>
      <c r="L1156" t="s">
        <v>24</v>
      </c>
      <c r="M1156" t="s">
        <v>25</v>
      </c>
    </row>
    <row r="1157" spans="1:13" hidden="1" x14ac:dyDescent="0.25">
      <c r="A1157" s="5">
        <v>45912</v>
      </c>
      <c r="B1157" t="s">
        <v>569</v>
      </c>
      <c r="C1157" t="s">
        <v>950</v>
      </c>
      <c r="D1157" t="s">
        <v>149</v>
      </c>
      <c r="E1157" t="str">
        <f t="shared" si="21"/>
        <v>ADM</v>
      </c>
      <c r="F1157" t="s">
        <v>951</v>
      </c>
      <c r="G1157" t="s">
        <v>951</v>
      </c>
      <c r="J1157" t="s">
        <v>143</v>
      </c>
      <c r="K1157" s="23">
        <v>-1200</v>
      </c>
      <c r="L1157" t="s">
        <v>24</v>
      </c>
      <c r="M1157" t="s">
        <v>25</v>
      </c>
    </row>
    <row r="1158" spans="1:13" hidden="1" x14ac:dyDescent="0.25">
      <c r="A1158" s="5">
        <v>45901</v>
      </c>
      <c r="B1158" t="s">
        <v>569</v>
      </c>
      <c r="C1158" t="s">
        <v>745</v>
      </c>
      <c r="D1158" t="s">
        <v>56</v>
      </c>
      <c r="E1158" t="str">
        <f t="shared" si="21"/>
        <v>Honorários</v>
      </c>
      <c r="F1158" t="s">
        <v>746</v>
      </c>
      <c r="G1158" t="s">
        <v>746</v>
      </c>
      <c r="I1158" t="s">
        <v>747</v>
      </c>
      <c r="J1158" t="s">
        <v>143</v>
      </c>
      <c r="K1158" s="23">
        <v>759</v>
      </c>
      <c r="L1158" t="s">
        <v>18</v>
      </c>
      <c r="M1158" t="s">
        <v>19</v>
      </c>
    </row>
    <row r="1159" spans="1:13" hidden="1" x14ac:dyDescent="0.25">
      <c r="A1159" s="5">
        <v>45903</v>
      </c>
      <c r="B1159" t="s">
        <v>569</v>
      </c>
      <c r="C1159" t="s">
        <v>683</v>
      </c>
      <c r="D1159" t="s">
        <v>56</v>
      </c>
      <c r="E1159" t="str">
        <f t="shared" si="21"/>
        <v>Honorários</v>
      </c>
      <c r="F1159" t="s">
        <v>921</v>
      </c>
      <c r="G1159" t="s">
        <v>921</v>
      </c>
      <c r="I1159" t="s">
        <v>607</v>
      </c>
      <c r="J1159" t="s">
        <v>143</v>
      </c>
      <c r="K1159" s="23">
        <v>2361</v>
      </c>
      <c r="L1159" t="s">
        <v>18</v>
      </c>
      <c r="M1159" t="s">
        <v>19</v>
      </c>
    </row>
    <row r="1160" spans="1:13" hidden="1" x14ac:dyDescent="0.25">
      <c r="A1160" s="5">
        <v>45904</v>
      </c>
      <c r="B1160" t="s">
        <v>569</v>
      </c>
      <c r="C1160" t="s">
        <v>922</v>
      </c>
      <c r="D1160" t="s">
        <v>56</v>
      </c>
      <c r="E1160" t="str">
        <f t="shared" si="21"/>
        <v>Honorários</v>
      </c>
      <c r="F1160" t="s">
        <v>923</v>
      </c>
      <c r="G1160" t="s">
        <v>923</v>
      </c>
      <c r="I1160" t="s">
        <v>196</v>
      </c>
      <c r="J1160" t="s">
        <v>143</v>
      </c>
      <c r="K1160" s="23">
        <v>1122.5999999999999</v>
      </c>
      <c r="L1160" t="s">
        <v>18</v>
      </c>
      <c r="M1160" t="s">
        <v>19</v>
      </c>
    </row>
    <row r="1161" spans="1:13" hidden="1" x14ac:dyDescent="0.25">
      <c r="A1161" s="30">
        <v>45901</v>
      </c>
      <c r="B1161" s="31" t="s">
        <v>568</v>
      </c>
      <c r="C1161" s="31" t="s">
        <v>898</v>
      </c>
      <c r="D1161" s="31" t="s">
        <v>300</v>
      </c>
      <c r="E1161" s="31" t="str">
        <f t="shared" si="21"/>
        <v>VAR</v>
      </c>
      <c r="F1161" s="31" t="s">
        <v>825</v>
      </c>
      <c r="G1161" t="s">
        <v>825</v>
      </c>
      <c r="I1161" t="s">
        <v>93</v>
      </c>
      <c r="J1161" t="s">
        <v>143</v>
      </c>
      <c r="K1161" s="32">
        <v>-37283.33</v>
      </c>
      <c r="L1161" s="31" t="s">
        <v>24</v>
      </c>
      <c r="M1161" s="31" t="s">
        <v>25</v>
      </c>
    </row>
    <row r="1162" spans="1:13" hidden="1" x14ac:dyDescent="0.25">
      <c r="A1162" s="5">
        <v>45910</v>
      </c>
      <c r="B1162" t="s">
        <v>568</v>
      </c>
      <c r="C1162" t="s">
        <v>127</v>
      </c>
      <c r="D1162" t="s">
        <v>128</v>
      </c>
      <c r="E1162" t="str">
        <f t="shared" si="21"/>
        <v>PES</v>
      </c>
      <c r="F1162" t="s">
        <v>129</v>
      </c>
      <c r="G1162" t="s">
        <v>129</v>
      </c>
      <c r="J1162" t="s">
        <v>17</v>
      </c>
      <c r="K1162" s="23">
        <v>-106.73</v>
      </c>
      <c r="L1162" t="s">
        <v>24</v>
      </c>
      <c r="M1162" t="s">
        <v>25</v>
      </c>
    </row>
    <row r="1163" spans="1:13" hidden="1" x14ac:dyDescent="0.25">
      <c r="A1163" s="5">
        <v>45925</v>
      </c>
      <c r="B1163" t="s">
        <v>568</v>
      </c>
      <c r="C1163" t="s">
        <v>1001</v>
      </c>
      <c r="D1163" t="s">
        <v>162</v>
      </c>
      <c r="E1163" t="str">
        <f t="shared" si="21"/>
        <v>COM</v>
      </c>
      <c r="F1163" t="s">
        <v>884</v>
      </c>
      <c r="G1163" t="s">
        <v>884</v>
      </c>
      <c r="J1163" t="s">
        <v>143</v>
      </c>
      <c r="K1163" s="23">
        <v>-925</v>
      </c>
      <c r="L1163" t="s">
        <v>24</v>
      </c>
      <c r="M1163" t="s">
        <v>25</v>
      </c>
    </row>
    <row r="1164" spans="1:13" hidden="1" x14ac:dyDescent="0.25">
      <c r="A1164" s="5">
        <v>45922</v>
      </c>
      <c r="B1164" t="s">
        <v>568</v>
      </c>
      <c r="C1164" t="s">
        <v>990</v>
      </c>
      <c r="D1164" t="s">
        <v>56</v>
      </c>
      <c r="E1164" t="str">
        <f t="shared" si="21"/>
        <v>Honorários</v>
      </c>
      <c r="F1164" t="s">
        <v>991</v>
      </c>
      <c r="G1164" t="s">
        <v>991</v>
      </c>
      <c r="I1164" t="s">
        <v>196</v>
      </c>
      <c r="J1164" t="s">
        <v>143</v>
      </c>
      <c r="K1164" s="23">
        <v>66460.899999999994</v>
      </c>
      <c r="L1164" t="s">
        <v>18</v>
      </c>
      <c r="M1164" t="s">
        <v>19</v>
      </c>
    </row>
    <row r="1165" spans="1:13" hidden="1" x14ac:dyDescent="0.25">
      <c r="A1165" s="30">
        <v>45902</v>
      </c>
      <c r="B1165" s="31" t="s">
        <v>568</v>
      </c>
      <c r="C1165" s="31" t="s">
        <v>754</v>
      </c>
      <c r="D1165" s="31" t="s">
        <v>56</v>
      </c>
      <c r="E1165" s="31" t="str">
        <f t="shared" si="21"/>
        <v>Honorários</v>
      </c>
      <c r="F1165" s="31" t="s">
        <v>739</v>
      </c>
      <c r="G1165" t="s">
        <v>739</v>
      </c>
      <c r="I1165" t="s">
        <v>740</v>
      </c>
      <c r="J1165" t="s">
        <v>143</v>
      </c>
      <c r="K1165" s="32">
        <v>577.74</v>
      </c>
      <c r="L1165" s="31" t="s">
        <v>18</v>
      </c>
      <c r="M1165" s="31" t="s">
        <v>19</v>
      </c>
    </row>
    <row r="1166" spans="1:13" hidden="1" x14ac:dyDescent="0.25">
      <c r="A1166" s="30">
        <v>45930</v>
      </c>
      <c r="B1166" s="31" t="s">
        <v>568</v>
      </c>
      <c r="C1166" s="31" t="s">
        <v>1011</v>
      </c>
      <c r="D1166" s="31" t="s">
        <v>300</v>
      </c>
      <c r="E1166" s="31" t="str">
        <f t="shared" ref="E1166:E1197" si="22">IF(ISERROR(FIND("-",D1166,1)),D1166,LEFT(D1166,3))</f>
        <v>VAR</v>
      </c>
      <c r="F1166" s="31" t="s">
        <v>739</v>
      </c>
      <c r="G1166" t="s">
        <v>739</v>
      </c>
      <c r="I1166" t="s">
        <v>740</v>
      </c>
      <c r="J1166" t="s">
        <v>17</v>
      </c>
      <c r="K1166" s="32">
        <v>-372.3</v>
      </c>
      <c r="L1166" s="31" t="s">
        <v>24</v>
      </c>
      <c r="M1166" s="31" t="s">
        <v>25</v>
      </c>
    </row>
    <row r="1167" spans="1:13" hidden="1" x14ac:dyDescent="0.25">
      <c r="A1167" s="30">
        <v>45930</v>
      </c>
      <c r="B1167" s="31" t="s">
        <v>568</v>
      </c>
      <c r="C1167" s="31" t="s">
        <v>1012</v>
      </c>
      <c r="D1167" s="31" t="s">
        <v>300</v>
      </c>
      <c r="E1167" s="31" t="str">
        <f t="shared" si="22"/>
        <v>VAR</v>
      </c>
      <c r="F1167" s="31" t="s">
        <v>739</v>
      </c>
      <c r="G1167" t="s">
        <v>739</v>
      </c>
      <c r="I1167" t="s">
        <v>740</v>
      </c>
      <c r="J1167" t="s">
        <v>17</v>
      </c>
      <c r="K1167" s="32">
        <v>-360.08</v>
      </c>
      <c r="L1167" s="31" t="s">
        <v>24</v>
      </c>
      <c r="M1167" s="31" t="s">
        <v>25</v>
      </c>
    </row>
    <row r="1168" spans="1:13" hidden="1" x14ac:dyDescent="0.25">
      <c r="A1168" s="30">
        <v>45930</v>
      </c>
      <c r="B1168" s="31" t="s">
        <v>568</v>
      </c>
      <c r="C1168" s="31" t="s">
        <v>1015</v>
      </c>
      <c r="D1168" s="31" t="s">
        <v>300</v>
      </c>
      <c r="E1168" s="31" t="str">
        <f t="shared" si="22"/>
        <v>VAR</v>
      </c>
      <c r="F1168" s="31" t="s">
        <v>739</v>
      </c>
      <c r="G1168" t="s">
        <v>739</v>
      </c>
      <c r="I1168" t="s">
        <v>740</v>
      </c>
      <c r="J1168" t="s">
        <v>17</v>
      </c>
      <c r="K1168" s="32">
        <v>-2708.37</v>
      </c>
      <c r="L1168" s="31" t="s">
        <v>24</v>
      </c>
      <c r="M1168" s="31" t="s">
        <v>25</v>
      </c>
    </row>
    <row r="1169" spans="1:13" hidden="1" x14ac:dyDescent="0.25">
      <c r="A1169" s="30">
        <v>45930</v>
      </c>
      <c r="B1169" s="31" t="s">
        <v>568</v>
      </c>
      <c r="C1169" s="31" t="s">
        <v>1018</v>
      </c>
      <c r="D1169" s="31" t="s">
        <v>300</v>
      </c>
      <c r="E1169" s="31" t="str">
        <f t="shared" si="22"/>
        <v>VAR</v>
      </c>
      <c r="F1169" s="31" t="s">
        <v>739</v>
      </c>
      <c r="G1169" t="s">
        <v>739</v>
      </c>
      <c r="I1169" t="s">
        <v>740</v>
      </c>
      <c r="J1169" t="s">
        <v>17</v>
      </c>
      <c r="K1169" s="32">
        <v>-1400</v>
      </c>
      <c r="L1169" s="31" t="s">
        <v>24</v>
      </c>
      <c r="M1169" s="31" t="s">
        <v>25</v>
      </c>
    </row>
    <row r="1170" spans="1:13" hidden="1" x14ac:dyDescent="0.25">
      <c r="A1170" s="5">
        <v>45901</v>
      </c>
      <c r="B1170" t="s">
        <v>568</v>
      </c>
      <c r="C1170" t="s">
        <v>897</v>
      </c>
      <c r="D1170" t="s">
        <v>815</v>
      </c>
      <c r="E1170" t="str">
        <f t="shared" si="22"/>
        <v>Transferência</v>
      </c>
      <c r="F1170" t="s">
        <v>568</v>
      </c>
      <c r="G1170" t="s">
        <v>568</v>
      </c>
      <c r="J1170" t="s">
        <v>17</v>
      </c>
      <c r="K1170" s="23">
        <v>72459.87</v>
      </c>
      <c r="L1170" t="s">
        <v>18</v>
      </c>
      <c r="M1170" t="s">
        <v>19</v>
      </c>
    </row>
    <row r="1171" spans="1:13" hidden="1" x14ac:dyDescent="0.25">
      <c r="A1171" s="5">
        <v>45901</v>
      </c>
      <c r="B1171" t="s">
        <v>568</v>
      </c>
      <c r="C1171" t="s">
        <v>903</v>
      </c>
      <c r="D1171" t="s">
        <v>815</v>
      </c>
      <c r="E1171" t="str">
        <f t="shared" si="22"/>
        <v>Transferência</v>
      </c>
      <c r="F1171" t="s">
        <v>568</v>
      </c>
      <c r="G1171" t="s">
        <v>568</v>
      </c>
      <c r="J1171" t="s">
        <v>17</v>
      </c>
      <c r="K1171" s="23">
        <v>50000</v>
      </c>
      <c r="L1171" t="s">
        <v>18</v>
      </c>
      <c r="M1171" t="s">
        <v>19</v>
      </c>
    </row>
    <row r="1172" spans="1:13" hidden="1" x14ac:dyDescent="0.25">
      <c r="A1172" s="30">
        <v>45911</v>
      </c>
      <c r="B1172" s="31" t="s">
        <v>568</v>
      </c>
      <c r="C1172" s="31" t="s">
        <v>938</v>
      </c>
      <c r="D1172" s="31" t="s">
        <v>56</v>
      </c>
      <c r="E1172" s="31" t="str">
        <f t="shared" si="22"/>
        <v>Honorários</v>
      </c>
      <c r="F1172" s="31" t="s">
        <v>829</v>
      </c>
      <c r="G1172" t="s">
        <v>829</v>
      </c>
      <c r="I1172" t="s">
        <v>605</v>
      </c>
      <c r="J1172" t="s">
        <v>143</v>
      </c>
      <c r="K1172" s="32">
        <v>73754.080000000002</v>
      </c>
      <c r="L1172" s="31" t="s">
        <v>18</v>
      </c>
      <c r="M1172" s="31" t="s">
        <v>19</v>
      </c>
    </row>
    <row r="1173" spans="1:13" hidden="1" x14ac:dyDescent="0.25">
      <c r="A1173" s="5">
        <v>45923</v>
      </c>
      <c r="B1173" t="s">
        <v>568</v>
      </c>
      <c r="C1173" t="s">
        <v>395</v>
      </c>
      <c r="D1173" t="s">
        <v>56</v>
      </c>
      <c r="E1173" t="str">
        <f t="shared" si="22"/>
        <v>Honorários</v>
      </c>
      <c r="F1173" t="s">
        <v>681</v>
      </c>
      <c r="G1173" t="s">
        <v>681</v>
      </c>
      <c r="I1173" t="s">
        <v>682</v>
      </c>
      <c r="J1173" t="s">
        <v>17</v>
      </c>
      <c r="K1173" s="23">
        <v>99.45</v>
      </c>
      <c r="L1173" t="s">
        <v>18</v>
      </c>
      <c r="M1173" t="s">
        <v>19</v>
      </c>
    </row>
    <row r="1174" spans="1:13" hidden="1" x14ac:dyDescent="0.25">
      <c r="A1174" s="5">
        <v>45905</v>
      </c>
      <c r="B1174" t="s">
        <v>569</v>
      </c>
      <c r="C1174" t="s">
        <v>926</v>
      </c>
      <c r="D1174" t="s">
        <v>56</v>
      </c>
      <c r="E1174" t="str">
        <f t="shared" si="22"/>
        <v>Honorários</v>
      </c>
      <c r="F1174" t="s">
        <v>927</v>
      </c>
      <c r="G1174" t="s">
        <v>927</v>
      </c>
      <c r="I1174" t="s">
        <v>928</v>
      </c>
      <c r="J1174" t="s">
        <v>143</v>
      </c>
      <c r="K1174" s="23">
        <v>2512.9899999999998</v>
      </c>
      <c r="L1174" t="s">
        <v>18</v>
      </c>
      <c r="M1174" t="s">
        <v>19</v>
      </c>
    </row>
    <row r="1175" spans="1:13" hidden="1" x14ac:dyDescent="0.25">
      <c r="A1175" s="5">
        <v>45917</v>
      </c>
      <c r="B1175" t="s">
        <v>568</v>
      </c>
      <c r="C1175" t="s">
        <v>980</v>
      </c>
      <c r="D1175" t="s">
        <v>56</v>
      </c>
      <c r="E1175" t="str">
        <f t="shared" si="22"/>
        <v>Honorários</v>
      </c>
      <c r="F1175" t="s">
        <v>698</v>
      </c>
      <c r="G1175" t="s">
        <v>698</v>
      </c>
      <c r="I1175" t="s">
        <v>699</v>
      </c>
      <c r="J1175" t="s">
        <v>143</v>
      </c>
      <c r="K1175" s="23">
        <v>9505.36</v>
      </c>
      <c r="L1175" t="s">
        <v>18</v>
      </c>
      <c r="M1175" t="s">
        <v>19</v>
      </c>
    </row>
    <row r="1176" spans="1:13" hidden="1" x14ac:dyDescent="0.25">
      <c r="A1176" s="5">
        <v>45911</v>
      </c>
      <c r="B1176" t="s">
        <v>569</v>
      </c>
      <c r="C1176" t="s">
        <v>936</v>
      </c>
      <c r="D1176" t="s">
        <v>149</v>
      </c>
      <c r="E1176" t="str">
        <f t="shared" si="22"/>
        <v>ADM</v>
      </c>
      <c r="F1176" t="s">
        <v>937</v>
      </c>
      <c r="G1176" t="s">
        <v>937</v>
      </c>
      <c r="J1176" t="s">
        <v>143</v>
      </c>
      <c r="K1176" s="23">
        <v>-30</v>
      </c>
      <c r="L1176" t="s">
        <v>24</v>
      </c>
      <c r="M1176" t="s">
        <v>25</v>
      </c>
    </row>
    <row r="1177" spans="1:13" hidden="1" x14ac:dyDescent="0.25">
      <c r="A1177" s="5">
        <v>45901</v>
      </c>
      <c r="B1177" t="s">
        <v>569</v>
      </c>
      <c r="C1177" t="s">
        <v>911</v>
      </c>
      <c r="D1177" t="s">
        <v>56</v>
      </c>
      <c r="E1177" t="str">
        <f t="shared" si="22"/>
        <v>Honorários</v>
      </c>
      <c r="F1177" t="s">
        <v>529</v>
      </c>
      <c r="G1177" t="s">
        <v>529</v>
      </c>
      <c r="I1177" t="s">
        <v>624</v>
      </c>
      <c r="J1177" t="s">
        <v>143</v>
      </c>
      <c r="K1177" s="23">
        <v>390</v>
      </c>
      <c r="L1177" t="s">
        <v>18</v>
      </c>
      <c r="M1177" t="s">
        <v>19</v>
      </c>
    </row>
    <row r="1178" spans="1:13" hidden="1" x14ac:dyDescent="0.25">
      <c r="A1178" s="5">
        <v>45903</v>
      </c>
      <c r="B1178" t="s">
        <v>568</v>
      </c>
      <c r="C1178" t="s">
        <v>836</v>
      </c>
      <c r="D1178" t="s">
        <v>56</v>
      </c>
      <c r="E1178" t="str">
        <f t="shared" si="22"/>
        <v>Honorários</v>
      </c>
      <c r="F1178" t="s">
        <v>837</v>
      </c>
      <c r="G1178" t="s">
        <v>837</v>
      </c>
      <c r="I1178" t="s">
        <v>838</v>
      </c>
      <c r="J1178" t="s">
        <v>143</v>
      </c>
      <c r="K1178" s="23">
        <v>997.15</v>
      </c>
      <c r="L1178" t="s">
        <v>18</v>
      </c>
      <c r="M1178" t="s">
        <v>19</v>
      </c>
    </row>
    <row r="1179" spans="1:13" hidden="1" x14ac:dyDescent="0.25">
      <c r="A1179" s="5">
        <v>45922</v>
      </c>
      <c r="B1179" t="s">
        <v>569</v>
      </c>
      <c r="C1179" t="s">
        <v>722</v>
      </c>
      <c r="D1179" t="s">
        <v>56</v>
      </c>
      <c r="E1179" t="str">
        <f t="shared" si="22"/>
        <v>Honorários</v>
      </c>
      <c r="F1179" t="s">
        <v>723</v>
      </c>
      <c r="G1179" t="s">
        <v>723</v>
      </c>
      <c r="I1179" t="s">
        <v>724</v>
      </c>
      <c r="J1179" t="s">
        <v>143</v>
      </c>
      <c r="K1179" s="23">
        <v>500</v>
      </c>
      <c r="L1179" t="s">
        <v>18</v>
      </c>
      <c r="M1179" t="s">
        <v>19</v>
      </c>
    </row>
    <row r="1180" spans="1:13" hidden="1" x14ac:dyDescent="0.25">
      <c r="A1180" s="5">
        <v>45902</v>
      </c>
      <c r="B1180" t="s">
        <v>569</v>
      </c>
      <c r="C1180" t="s">
        <v>915</v>
      </c>
      <c r="D1180" t="s">
        <v>56</v>
      </c>
      <c r="E1180" t="str">
        <f t="shared" si="22"/>
        <v>Honorários</v>
      </c>
      <c r="F1180" t="s">
        <v>265</v>
      </c>
      <c r="G1180" t="s">
        <v>265</v>
      </c>
      <c r="I1180" t="s">
        <v>916</v>
      </c>
      <c r="J1180" t="s">
        <v>143</v>
      </c>
      <c r="K1180" s="23">
        <v>2021.2</v>
      </c>
      <c r="L1180" t="s">
        <v>18</v>
      </c>
      <c r="M1180" t="s">
        <v>19</v>
      </c>
    </row>
    <row r="1181" spans="1:13" hidden="1" x14ac:dyDescent="0.25">
      <c r="A1181" s="5">
        <v>45917</v>
      </c>
      <c r="B1181" t="s">
        <v>568</v>
      </c>
      <c r="C1181" t="s">
        <v>972</v>
      </c>
      <c r="D1181" t="s">
        <v>56</v>
      </c>
      <c r="E1181" t="str">
        <f t="shared" si="22"/>
        <v>Honorários</v>
      </c>
      <c r="F1181" t="s">
        <v>265</v>
      </c>
      <c r="G1181" t="s">
        <v>265</v>
      </c>
      <c r="I1181" t="s">
        <v>916</v>
      </c>
      <c r="J1181" t="s">
        <v>143</v>
      </c>
      <c r="K1181" s="23">
        <v>2831.2</v>
      </c>
      <c r="L1181" t="s">
        <v>18</v>
      </c>
      <c r="M1181" t="s">
        <v>19</v>
      </c>
    </row>
    <row r="1182" spans="1:13" hidden="1" x14ac:dyDescent="0.25">
      <c r="A1182" s="5">
        <v>45901</v>
      </c>
      <c r="B1182" t="s">
        <v>569</v>
      </c>
      <c r="C1182" t="s">
        <v>718</v>
      </c>
      <c r="D1182" t="s">
        <v>56</v>
      </c>
      <c r="E1182" t="str">
        <f t="shared" si="22"/>
        <v>Honorários</v>
      </c>
      <c r="F1182" t="s">
        <v>81</v>
      </c>
      <c r="G1182" t="s">
        <v>81</v>
      </c>
      <c r="I1182" t="s">
        <v>82</v>
      </c>
      <c r="J1182" t="s">
        <v>143</v>
      </c>
      <c r="K1182" s="23">
        <v>500</v>
      </c>
      <c r="L1182" t="s">
        <v>18</v>
      </c>
      <c r="M1182" t="s">
        <v>19</v>
      </c>
    </row>
    <row r="1183" spans="1:13" hidden="1" x14ac:dyDescent="0.25">
      <c r="A1183" s="5">
        <v>45917</v>
      </c>
      <c r="B1183" t="s">
        <v>568</v>
      </c>
      <c r="C1183" t="s">
        <v>979</v>
      </c>
      <c r="D1183" t="s">
        <v>56</v>
      </c>
      <c r="E1183" t="str">
        <f t="shared" si="22"/>
        <v>Honorários</v>
      </c>
      <c r="F1183" t="s">
        <v>762</v>
      </c>
      <c r="G1183" t="s">
        <v>762</v>
      </c>
      <c r="I1183" t="s">
        <v>79</v>
      </c>
      <c r="J1183" t="s">
        <v>143</v>
      </c>
      <c r="K1183" s="23">
        <v>6273.9</v>
      </c>
      <c r="L1183" t="s">
        <v>18</v>
      </c>
      <c r="M1183" t="s">
        <v>19</v>
      </c>
    </row>
    <row r="1184" spans="1:13" hidden="1" x14ac:dyDescent="0.25">
      <c r="A1184" s="30">
        <v>45901</v>
      </c>
      <c r="B1184" s="31" t="s">
        <v>568</v>
      </c>
      <c r="C1184" s="31" t="s">
        <v>898</v>
      </c>
      <c r="D1184" s="31" t="s">
        <v>300</v>
      </c>
      <c r="E1184" s="31" t="str">
        <f t="shared" si="22"/>
        <v>VAR</v>
      </c>
      <c r="F1184" s="31" t="s">
        <v>820</v>
      </c>
      <c r="G1184" t="s">
        <v>820</v>
      </c>
      <c r="I1184" t="s">
        <v>821</v>
      </c>
      <c r="J1184" t="s">
        <v>143</v>
      </c>
      <c r="K1184" s="32">
        <v>-13574.26</v>
      </c>
      <c r="L1184" s="31" t="s">
        <v>24</v>
      </c>
      <c r="M1184" s="31" t="s">
        <v>25</v>
      </c>
    </row>
    <row r="1185" spans="1:13" hidden="1" x14ac:dyDescent="0.25">
      <c r="A1185" s="5">
        <v>45916</v>
      </c>
      <c r="B1185" t="s">
        <v>569</v>
      </c>
      <c r="C1185" t="s">
        <v>956</v>
      </c>
      <c r="D1185" t="s">
        <v>626</v>
      </c>
      <c r="E1185" t="str">
        <f t="shared" si="22"/>
        <v>Reembolso</v>
      </c>
      <c r="F1185" t="s">
        <v>957</v>
      </c>
      <c r="G1185" t="s">
        <v>957</v>
      </c>
      <c r="I1185" t="s">
        <v>958</v>
      </c>
      <c r="J1185" t="s">
        <v>143</v>
      </c>
      <c r="K1185" s="23">
        <v>-139.04</v>
      </c>
      <c r="L1185" t="s">
        <v>24</v>
      </c>
      <c r="M1185" t="s">
        <v>25</v>
      </c>
    </row>
    <row r="1186" spans="1:13" hidden="1" x14ac:dyDescent="0.25">
      <c r="A1186" s="5">
        <v>45912</v>
      </c>
      <c r="B1186" t="s">
        <v>569</v>
      </c>
      <c r="C1186" t="s">
        <v>943</v>
      </c>
      <c r="D1186" t="s">
        <v>300</v>
      </c>
      <c r="E1186" t="str">
        <f t="shared" si="22"/>
        <v>VAR</v>
      </c>
      <c r="F1186" t="s">
        <v>944</v>
      </c>
      <c r="G1186" t="s">
        <v>944</v>
      </c>
      <c r="J1186" t="s">
        <v>17</v>
      </c>
      <c r="K1186" s="23">
        <v>-100</v>
      </c>
      <c r="L1186" t="s">
        <v>24</v>
      </c>
      <c r="M1186" t="s">
        <v>25</v>
      </c>
    </row>
    <row r="1187" spans="1:13" hidden="1" x14ac:dyDescent="0.25">
      <c r="A1187" s="5">
        <v>45930</v>
      </c>
      <c r="B1187" t="s">
        <v>568</v>
      </c>
      <c r="C1187" t="s">
        <v>272</v>
      </c>
      <c r="D1187" t="s">
        <v>198</v>
      </c>
      <c r="E1187" t="str">
        <f t="shared" si="22"/>
        <v>PES</v>
      </c>
      <c r="F1187" t="s">
        <v>645</v>
      </c>
      <c r="G1187" t="s">
        <v>645</v>
      </c>
      <c r="J1187" t="s">
        <v>143</v>
      </c>
      <c r="K1187" s="23">
        <v>-2339.41</v>
      </c>
      <c r="L1187" t="s">
        <v>24</v>
      </c>
      <c r="M1187" t="s">
        <v>25</v>
      </c>
    </row>
    <row r="1188" spans="1:13" hidden="1" x14ac:dyDescent="0.25">
      <c r="A1188" s="30">
        <v>45925</v>
      </c>
      <c r="B1188" s="31" t="s">
        <v>568</v>
      </c>
      <c r="C1188" s="31" t="s">
        <v>1002</v>
      </c>
      <c r="D1188" s="31" t="s">
        <v>56</v>
      </c>
      <c r="E1188" s="31" t="str">
        <f t="shared" si="22"/>
        <v>Honorários</v>
      </c>
      <c r="F1188" s="31" t="s">
        <v>65</v>
      </c>
      <c r="G1188" t="s">
        <v>65</v>
      </c>
      <c r="I1188" t="s">
        <v>66</v>
      </c>
      <c r="J1188" t="s">
        <v>143</v>
      </c>
      <c r="K1188" s="32">
        <v>54081.919999999998</v>
      </c>
      <c r="L1188" s="31" t="s">
        <v>18</v>
      </c>
      <c r="M1188" s="31" t="s">
        <v>19</v>
      </c>
    </row>
    <row r="1189" spans="1:13" hidden="1" x14ac:dyDescent="0.25">
      <c r="A1189" s="5">
        <v>45922</v>
      </c>
      <c r="B1189" t="s">
        <v>569</v>
      </c>
      <c r="C1189" t="s">
        <v>992</v>
      </c>
      <c r="D1189" t="s">
        <v>300</v>
      </c>
      <c r="E1189" t="str">
        <f t="shared" si="22"/>
        <v>VAR</v>
      </c>
      <c r="F1189" t="s">
        <v>993</v>
      </c>
      <c r="G1189" t="s">
        <v>993</v>
      </c>
      <c r="J1189" t="s">
        <v>143</v>
      </c>
      <c r="K1189" s="23">
        <v>-200</v>
      </c>
      <c r="L1189" t="s">
        <v>24</v>
      </c>
      <c r="M1189" t="s">
        <v>25</v>
      </c>
    </row>
    <row r="1190" spans="1:13" hidden="1" x14ac:dyDescent="0.25">
      <c r="A1190" s="5">
        <v>45919</v>
      </c>
      <c r="B1190" t="s">
        <v>568</v>
      </c>
      <c r="C1190" t="s">
        <v>985</v>
      </c>
      <c r="D1190" t="s">
        <v>56</v>
      </c>
      <c r="E1190" t="str">
        <f t="shared" si="22"/>
        <v>Honorários</v>
      </c>
      <c r="F1190" t="s">
        <v>986</v>
      </c>
      <c r="G1190" t="s">
        <v>986</v>
      </c>
      <c r="I1190" t="s">
        <v>75</v>
      </c>
      <c r="J1190" t="s">
        <v>143</v>
      </c>
      <c r="K1190" s="23">
        <v>224.85</v>
      </c>
      <c r="L1190" t="s">
        <v>18</v>
      </c>
      <c r="M1190" t="s">
        <v>19</v>
      </c>
    </row>
    <row r="1191" spans="1:13" hidden="1" x14ac:dyDescent="0.25">
      <c r="A1191" s="5">
        <v>45901</v>
      </c>
      <c r="B1191" t="s">
        <v>569</v>
      </c>
      <c r="C1191" t="s">
        <v>729</v>
      </c>
      <c r="D1191" t="s">
        <v>56</v>
      </c>
      <c r="E1191" t="str">
        <f t="shared" si="22"/>
        <v>Honorários</v>
      </c>
      <c r="F1191" t="s">
        <v>721</v>
      </c>
      <c r="G1191" t="s">
        <v>721</v>
      </c>
      <c r="I1191" t="s">
        <v>812</v>
      </c>
      <c r="J1191" t="s">
        <v>143</v>
      </c>
      <c r="K1191" s="23">
        <v>563.5</v>
      </c>
      <c r="L1191" t="s">
        <v>18</v>
      </c>
      <c r="M1191" t="s">
        <v>19</v>
      </c>
    </row>
    <row r="1192" spans="1:13" hidden="1" x14ac:dyDescent="0.25">
      <c r="A1192" s="5">
        <v>45929</v>
      </c>
      <c r="B1192" t="s">
        <v>569</v>
      </c>
      <c r="C1192" t="s">
        <v>729</v>
      </c>
      <c r="D1192" t="s">
        <v>56</v>
      </c>
      <c r="E1192" t="str">
        <f t="shared" si="22"/>
        <v>Honorários</v>
      </c>
      <c r="F1192" t="s">
        <v>721</v>
      </c>
      <c r="G1192" t="s">
        <v>721</v>
      </c>
      <c r="I1192" t="s">
        <v>812</v>
      </c>
      <c r="J1192" t="s">
        <v>143</v>
      </c>
      <c r="K1192" s="23">
        <v>563.5</v>
      </c>
      <c r="L1192" t="s">
        <v>18</v>
      </c>
      <c r="M1192" t="s">
        <v>19</v>
      </c>
    </row>
    <row r="1193" spans="1:13" hidden="1" x14ac:dyDescent="0.25">
      <c r="A1193" s="5">
        <v>45904</v>
      </c>
      <c r="B1193" t="s">
        <v>568</v>
      </c>
      <c r="C1193" t="s">
        <v>843</v>
      </c>
      <c r="D1193" t="s">
        <v>56</v>
      </c>
      <c r="E1193" t="str">
        <f t="shared" si="22"/>
        <v>Honorários</v>
      </c>
      <c r="F1193" t="s">
        <v>483</v>
      </c>
      <c r="G1193" t="s">
        <v>483</v>
      </c>
      <c r="I1193" t="s">
        <v>93</v>
      </c>
      <c r="J1193" t="s">
        <v>143</v>
      </c>
      <c r="K1193" s="23">
        <v>489.47999999999996</v>
      </c>
      <c r="L1193" t="s">
        <v>18</v>
      </c>
      <c r="M1193" t="s">
        <v>19</v>
      </c>
    </row>
    <row r="1194" spans="1:13" hidden="1" x14ac:dyDescent="0.25">
      <c r="A1194" s="5">
        <v>45912</v>
      </c>
      <c r="B1194" t="s">
        <v>568</v>
      </c>
      <c r="C1194" t="s">
        <v>843</v>
      </c>
      <c r="D1194" t="s">
        <v>56</v>
      </c>
      <c r="E1194" t="str">
        <f t="shared" si="22"/>
        <v>Honorários</v>
      </c>
      <c r="F1194" t="s">
        <v>483</v>
      </c>
      <c r="G1194" t="s">
        <v>483</v>
      </c>
      <c r="I1194" t="s">
        <v>93</v>
      </c>
      <c r="J1194" t="s">
        <v>143</v>
      </c>
      <c r="K1194" s="23">
        <v>492.33</v>
      </c>
      <c r="L1194" t="s">
        <v>18</v>
      </c>
      <c r="M1194" t="s">
        <v>83</v>
      </c>
    </row>
    <row r="1195" spans="1:13" hidden="1" x14ac:dyDescent="0.25">
      <c r="A1195" s="5">
        <v>45926</v>
      </c>
      <c r="B1195" t="s">
        <v>569</v>
      </c>
      <c r="C1195" t="s">
        <v>1004</v>
      </c>
      <c r="D1195" t="s">
        <v>300</v>
      </c>
      <c r="E1195" t="str">
        <f t="shared" si="22"/>
        <v>VAR</v>
      </c>
      <c r="F1195" t="s">
        <v>483</v>
      </c>
      <c r="G1195" t="s">
        <v>483</v>
      </c>
      <c r="J1195" t="s">
        <v>143</v>
      </c>
      <c r="K1195" s="23">
        <v>-300</v>
      </c>
      <c r="L1195" t="s">
        <v>24</v>
      </c>
      <c r="M1195" t="s">
        <v>25</v>
      </c>
    </row>
    <row r="1196" spans="1:13" hidden="1" x14ac:dyDescent="0.25">
      <c r="A1196" s="5">
        <v>45917</v>
      </c>
      <c r="B1196" t="s">
        <v>568</v>
      </c>
      <c r="C1196" t="s">
        <v>973</v>
      </c>
      <c r="D1196" t="s">
        <v>56</v>
      </c>
      <c r="E1196" t="str">
        <f t="shared" si="22"/>
        <v>Honorários</v>
      </c>
      <c r="F1196" t="s">
        <v>752</v>
      </c>
      <c r="G1196" t="s">
        <v>752</v>
      </c>
      <c r="I1196" t="s">
        <v>753</v>
      </c>
      <c r="J1196" t="s">
        <v>143</v>
      </c>
      <c r="K1196" s="23">
        <v>3945.54</v>
      </c>
      <c r="L1196" t="s">
        <v>18</v>
      </c>
      <c r="M1196" t="s">
        <v>19</v>
      </c>
    </row>
    <row r="1197" spans="1:13" hidden="1" x14ac:dyDescent="0.25">
      <c r="A1197" s="5">
        <v>45919</v>
      </c>
      <c r="B1197" t="s">
        <v>568</v>
      </c>
      <c r="C1197" t="s">
        <v>873</v>
      </c>
      <c r="D1197" t="s">
        <v>56</v>
      </c>
      <c r="E1197" t="str">
        <f t="shared" si="22"/>
        <v>Honorários</v>
      </c>
      <c r="F1197" t="s">
        <v>752</v>
      </c>
      <c r="G1197" t="s">
        <v>752</v>
      </c>
      <c r="I1197" t="s">
        <v>753</v>
      </c>
      <c r="J1197" t="s">
        <v>143</v>
      </c>
      <c r="K1197" s="23">
        <v>462.7</v>
      </c>
      <c r="L1197" t="s">
        <v>18</v>
      </c>
      <c r="M1197" t="s">
        <v>19</v>
      </c>
    </row>
    <row r="1198" spans="1:13" hidden="1" x14ac:dyDescent="0.25">
      <c r="A1198" s="5">
        <v>45930</v>
      </c>
      <c r="B1198" t="s">
        <v>569</v>
      </c>
      <c r="C1198" t="s">
        <v>1020</v>
      </c>
      <c r="D1198" t="s">
        <v>56</v>
      </c>
      <c r="E1198" t="str">
        <f t="shared" ref="E1198:E1229" si="23">IF(ISERROR(FIND("-",D1198,1)),D1198,LEFT(D1198,3))</f>
        <v>Honorários</v>
      </c>
      <c r="F1198" t="s">
        <v>752</v>
      </c>
      <c r="G1198" t="s">
        <v>752</v>
      </c>
      <c r="I1198" t="s">
        <v>753</v>
      </c>
      <c r="J1198" t="s">
        <v>143</v>
      </c>
      <c r="K1198" s="23">
        <v>3643.2</v>
      </c>
      <c r="L1198" t="s">
        <v>18</v>
      </c>
      <c r="M1198" t="s">
        <v>19</v>
      </c>
    </row>
    <row r="1199" spans="1:13" hidden="1" x14ac:dyDescent="0.25">
      <c r="A1199" s="5">
        <v>45901</v>
      </c>
      <c r="B1199" t="s">
        <v>569</v>
      </c>
      <c r="C1199" t="s">
        <v>272</v>
      </c>
      <c r="D1199" t="s">
        <v>198</v>
      </c>
      <c r="E1199" t="str">
        <f t="shared" si="23"/>
        <v>PES</v>
      </c>
      <c r="F1199" t="s">
        <v>203</v>
      </c>
      <c r="G1199" t="s">
        <v>203</v>
      </c>
      <c r="J1199" t="s">
        <v>143</v>
      </c>
      <c r="K1199" s="23">
        <v>-1518</v>
      </c>
      <c r="L1199" t="s">
        <v>24</v>
      </c>
      <c r="M1199" t="s">
        <v>25</v>
      </c>
    </row>
    <row r="1200" spans="1:13" hidden="1" x14ac:dyDescent="0.25">
      <c r="A1200" s="5">
        <v>45930</v>
      </c>
      <c r="B1200" t="s">
        <v>569</v>
      </c>
      <c r="C1200" t="s">
        <v>272</v>
      </c>
      <c r="D1200" t="s">
        <v>198</v>
      </c>
      <c r="E1200" t="str">
        <f t="shared" si="23"/>
        <v>PES</v>
      </c>
      <c r="F1200" t="s">
        <v>203</v>
      </c>
      <c r="G1200" t="s">
        <v>203</v>
      </c>
      <c r="J1200" t="s">
        <v>143</v>
      </c>
      <c r="K1200" s="23">
        <v>-1518</v>
      </c>
      <c r="L1200" t="s">
        <v>24</v>
      </c>
      <c r="M1200" t="s">
        <v>25</v>
      </c>
    </row>
    <row r="1201" spans="1:13" hidden="1" x14ac:dyDescent="0.25">
      <c r="A1201" s="5">
        <v>45930</v>
      </c>
      <c r="B1201" t="s">
        <v>568</v>
      </c>
      <c r="C1201" t="s">
        <v>272</v>
      </c>
      <c r="D1201" t="s">
        <v>198</v>
      </c>
      <c r="E1201" t="str">
        <f t="shared" si="23"/>
        <v>PES</v>
      </c>
      <c r="F1201" t="s">
        <v>199</v>
      </c>
      <c r="G1201" t="s">
        <v>199</v>
      </c>
      <c r="J1201" t="s">
        <v>17</v>
      </c>
      <c r="K1201" s="23">
        <v>-3231.22</v>
      </c>
      <c r="L1201" t="s">
        <v>24</v>
      </c>
      <c r="M1201" t="s">
        <v>25</v>
      </c>
    </row>
    <row r="1202" spans="1:13" hidden="1" x14ac:dyDescent="0.25">
      <c r="A1202" s="5">
        <v>45922</v>
      </c>
      <c r="B1202" t="s">
        <v>568</v>
      </c>
      <c r="C1202" t="s">
        <v>988</v>
      </c>
      <c r="D1202" t="s">
        <v>149</v>
      </c>
      <c r="E1202" t="str">
        <f t="shared" si="23"/>
        <v>ADM</v>
      </c>
      <c r="F1202" t="s">
        <v>989</v>
      </c>
      <c r="G1202" t="s">
        <v>989</v>
      </c>
      <c r="J1202" t="s">
        <v>143</v>
      </c>
      <c r="K1202" s="23">
        <v>-494.38</v>
      </c>
      <c r="L1202" t="s">
        <v>24</v>
      </c>
      <c r="M1202" t="s">
        <v>25</v>
      </c>
    </row>
    <row r="1203" spans="1:13" hidden="1" x14ac:dyDescent="0.25">
      <c r="A1203" s="5">
        <v>45912</v>
      </c>
      <c r="B1203" t="s">
        <v>569</v>
      </c>
      <c r="C1203" t="s">
        <v>949</v>
      </c>
      <c r="D1203" t="s">
        <v>611</v>
      </c>
      <c r="E1203" t="str">
        <f t="shared" si="23"/>
        <v>COM</v>
      </c>
      <c r="F1203" t="s">
        <v>612</v>
      </c>
      <c r="G1203" t="s">
        <v>612</v>
      </c>
      <c r="J1203" t="s">
        <v>143</v>
      </c>
      <c r="K1203" s="23">
        <v>-227.71</v>
      </c>
      <c r="L1203" t="s">
        <v>24</v>
      </c>
      <c r="M1203" t="s">
        <v>25</v>
      </c>
    </row>
    <row r="1204" spans="1:13" hidden="1" x14ac:dyDescent="0.25">
      <c r="A1204" s="5">
        <v>45922</v>
      </c>
      <c r="B1204" t="s">
        <v>568</v>
      </c>
      <c r="C1204" t="s">
        <v>351</v>
      </c>
      <c r="D1204" t="s">
        <v>302</v>
      </c>
      <c r="E1204" t="str">
        <f t="shared" si="23"/>
        <v>ADM</v>
      </c>
      <c r="F1204" t="s">
        <v>303</v>
      </c>
      <c r="G1204" t="s">
        <v>303</v>
      </c>
      <c r="J1204" t="s">
        <v>143</v>
      </c>
      <c r="K1204" s="23">
        <v>-125.57</v>
      </c>
      <c r="L1204" t="s">
        <v>24</v>
      </c>
      <c r="M1204" t="s">
        <v>25</v>
      </c>
    </row>
    <row r="1205" spans="1:13" hidden="1" x14ac:dyDescent="0.25">
      <c r="A1205" s="5">
        <v>45901</v>
      </c>
      <c r="B1205" t="s">
        <v>568</v>
      </c>
      <c r="C1205" t="s">
        <v>61</v>
      </c>
      <c r="D1205" t="s">
        <v>62</v>
      </c>
      <c r="E1205" t="str">
        <f t="shared" si="23"/>
        <v>INV</v>
      </c>
      <c r="F1205" t="s">
        <v>63</v>
      </c>
      <c r="G1205" t="s">
        <v>63</v>
      </c>
      <c r="J1205" t="s">
        <v>17</v>
      </c>
      <c r="K1205" s="23">
        <v>-1750</v>
      </c>
      <c r="L1205" t="s">
        <v>24</v>
      </c>
      <c r="M1205" t="s">
        <v>25</v>
      </c>
    </row>
    <row r="1206" spans="1:13" hidden="1" x14ac:dyDescent="0.25">
      <c r="A1206" s="5">
        <v>45917</v>
      </c>
      <c r="B1206" t="s">
        <v>568</v>
      </c>
      <c r="C1206" t="s">
        <v>977</v>
      </c>
      <c r="D1206" t="s">
        <v>56</v>
      </c>
      <c r="E1206" t="str">
        <f t="shared" si="23"/>
        <v>Honorários</v>
      </c>
      <c r="F1206" t="s">
        <v>978</v>
      </c>
      <c r="G1206" t="s">
        <v>978</v>
      </c>
      <c r="I1206" t="s">
        <v>236</v>
      </c>
      <c r="J1206" t="s">
        <v>143</v>
      </c>
      <c r="K1206" s="23">
        <v>2503.79</v>
      </c>
      <c r="L1206" t="s">
        <v>18</v>
      </c>
      <c r="M1206" t="s">
        <v>19</v>
      </c>
    </row>
    <row r="1207" spans="1:13" hidden="1" x14ac:dyDescent="0.25">
      <c r="A1207" s="5">
        <v>45918</v>
      </c>
      <c r="B1207" t="s">
        <v>569</v>
      </c>
      <c r="C1207" t="s">
        <v>982</v>
      </c>
      <c r="D1207" t="s">
        <v>300</v>
      </c>
      <c r="E1207" t="str">
        <f t="shared" si="23"/>
        <v>VAR</v>
      </c>
      <c r="F1207" t="s">
        <v>978</v>
      </c>
      <c r="G1207" t="s">
        <v>978</v>
      </c>
      <c r="I1207" t="s">
        <v>236</v>
      </c>
      <c r="J1207" t="s">
        <v>143</v>
      </c>
      <c r="K1207" s="23">
        <v>-1251.8900000000001</v>
      </c>
      <c r="L1207" t="s">
        <v>24</v>
      </c>
      <c r="M1207" t="s">
        <v>25</v>
      </c>
    </row>
    <row r="1208" spans="1:13" hidden="1" x14ac:dyDescent="0.25">
      <c r="A1208" s="5">
        <v>45930</v>
      </c>
      <c r="B1208" t="s">
        <v>569</v>
      </c>
      <c r="C1208" t="s">
        <v>272</v>
      </c>
      <c r="D1208" t="s">
        <v>198</v>
      </c>
      <c r="E1208" t="str">
        <f t="shared" si="23"/>
        <v>PES</v>
      </c>
      <c r="F1208" t="s">
        <v>209</v>
      </c>
      <c r="G1208" t="s">
        <v>209</v>
      </c>
      <c r="J1208" t="s">
        <v>17</v>
      </c>
      <c r="K1208" s="23">
        <v>-3500</v>
      </c>
      <c r="L1208" t="s">
        <v>24</v>
      </c>
      <c r="M1208" t="s">
        <v>25</v>
      </c>
    </row>
    <row r="1209" spans="1:13" hidden="1" x14ac:dyDescent="0.25">
      <c r="A1209" s="5">
        <v>45919</v>
      </c>
      <c r="B1209" t="s">
        <v>568</v>
      </c>
      <c r="C1209" t="s">
        <v>165</v>
      </c>
      <c r="D1209" t="s">
        <v>166</v>
      </c>
      <c r="E1209" t="str">
        <f t="shared" si="23"/>
        <v>PES</v>
      </c>
      <c r="F1209" t="s">
        <v>537</v>
      </c>
      <c r="G1209" t="s">
        <v>537</v>
      </c>
      <c r="J1209" t="s">
        <v>17</v>
      </c>
      <c r="K1209" s="23">
        <v>-2885.94</v>
      </c>
      <c r="L1209" t="s">
        <v>24</v>
      </c>
      <c r="M1209" t="s">
        <v>25</v>
      </c>
    </row>
    <row r="1210" spans="1:13" hidden="1" x14ac:dyDescent="0.25">
      <c r="A1210" s="5">
        <v>45918</v>
      </c>
      <c r="B1210" t="s">
        <v>569</v>
      </c>
      <c r="C1210" t="s">
        <v>683</v>
      </c>
      <c r="D1210" t="s">
        <v>56</v>
      </c>
      <c r="E1210" t="str">
        <f t="shared" si="23"/>
        <v>Honorários</v>
      </c>
      <c r="F1210" t="s">
        <v>981</v>
      </c>
      <c r="G1210" t="s">
        <v>981</v>
      </c>
      <c r="I1210" t="s">
        <v>75</v>
      </c>
      <c r="J1210" t="s">
        <v>143</v>
      </c>
      <c r="K1210" s="23">
        <v>91.08</v>
      </c>
      <c r="L1210" t="s">
        <v>18</v>
      </c>
      <c r="M1210" t="s">
        <v>19</v>
      </c>
    </row>
    <row r="1211" spans="1:13" hidden="1" x14ac:dyDescent="0.25">
      <c r="A1211" s="5">
        <v>45905</v>
      </c>
      <c r="B1211" t="s">
        <v>568</v>
      </c>
      <c r="C1211" t="s">
        <v>432</v>
      </c>
      <c r="D1211" t="s">
        <v>103</v>
      </c>
      <c r="E1211" t="str">
        <f t="shared" si="23"/>
        <v>ADM</v>
      </c>
      <c r="F1211" t="s">
        <v>104</v>
      </c>
      <c r="G1211" t="s">
        <v>104</v>
      </c>
      <c r="J1211" t="s">
        <v>143</v>
      </c>
      <c r="K1211" s="23">
        <v>-240</v>
      </c>
      <c r="L1211" t="s">
        <v>24</v>
      </c>
      <c r="M1211" t="s">
        <v>25</v>
      </c>
    </row>
    <row r="1212" spans="1:13" hidden="1" x14ac:dyDescent="0.25">
      <c r="A1212" s="30">
        <v>45911</v>
      </c>
      <c r="B1212" s="31" t="s">
        <v>568</v>
      </c>
      <c r="C1212" s="31" t="s">
        <v>935</v>
      </c>
      <c r="D1212" s="31" t="s">
        <v>56</v>
      </c>
      <c r="E1212" s="31" t="str">
        <f t="shared" si="23"/>
        <v>Honorários</v>
      </c>
      <c r="F1212" s="31" t="s">
        <v>826</v>
      </c>
      <c r="G1212" t="s">
        <v>826</v>
      </c>
      <c r="I1212" t="s">
        <v>827</v>
      </c>
      <c r="J1212" t="s">
        <v>143</v>
      </c>
      <c r="K1212" s="32">
        <v>120222.73</v>
      </c>
      <c r="L1212" s="31" t="s">
        <v>18</v>
      </c>
      <c r="M1212" s="31" t="s">
        <v>19</v>
      </c>
    </row>
    <row r="1213" spans="1:13" hidden="1" x14ac:dyDescent="0.25">
      <c r="A1213" s="30">
        <v>45930</v>
      </c>
      <c r="B1213" s="31" t="s">
        <v>568</v>
      </c>
      <c r="C1213" s="31" t="s">
        <v>939</v>
      </c>
      <c r="D1213" s="31" t="s">
        <v>300</v>
      </c>
      <c r="E1213" s="31" t="str">
        <f t="shared" si="23"/>
        <v>VAR</v>
      </c>
      <c r="F1213" s="31" t="s">
        <v>826</v>
      </c>
      <c r="G1213" t="s">
        <v>826</v>
      </c>
      <c r="I1213" t="s">
        <v>827</v>
      </c>
      <c r="J1213" t="s">
        <v>17</v>
      </c>
      <c r="K1213" s="32">
        <v>-74932.41</v>
      </c>
      <c r="L1213" s="31" t="s">
        <v>24</v>
      </c>
      <c r="M1213" s="31" t="s">
        <v>25</v>
      </c>
    </row>
    <row r="1214" spans="1:13" hidden="1" x14ac:dyDescent="0.25">
      <c r="A1214" s="5">
        <v>45930</v>
      </c>
      <c r="B1214" t="s">
        <v>568</v>
      </c>
      <c r="C1214" t="s">
        <v>272</v>
      </c>
      <c r="D1214" t="s">
        <v>198</v>
      </c>
      <c r="E1214" t="str">
        <f t="shared" si="23"/>
        <v>PES</v>
      </c>
      <c r="F1214" t="s">
        <v>831</v>
      </c>
      <c r="G1214" t="s">
        <v>831</v>
      </c>
      <c r="J1214" t="s">
        <v>143</v>
      </c>
      <c r="K1214" s="23">
        <v>-2297.77</v>
      </c>
      <c r="L1214" t="s">
        <v>24</v>
      </c>
      <c r="M1214" t="s">
        <v>25</v>
      </c>
    </row>
    <row r="1215" spans="1:13" hidden="1" x14ac:dyDescent="0.25">
      <c r="A1215" s="5">
        <v>45922</v>
      </c>
      <c r="B1215" t="s">
        <v>568</v>
      </c>
      <c r="C1215" t="s">
        <v>153</v>
      </c>
      <c r="D1215" t="s">
        <v>154</v>
      </c>
      <c r="E1215" t="str">
        <f t="shared" si="23"/>
        <v>ADM</v>
      </c>
      <c r="F1215" t="s">
        <v>155</v>
      </c>
      <c r="G1215" t="s">
        <v>155</v>
      </c>
      <c r="J1215" t="s">
        <v>17</v>
      </c>
      <c r="K1215" s="23">
        <v>-155.75</v>
      </c>
      <c r="L1215" t="s">
        <v>24</v>
      </c>
      <c r="M1215" t="s">
        <v>25</v>
      </c>
    </row>
    <row r="1216" spans="1:13" hidden="1" x14ac:dyDescent="0.25">
      <c r="A1216" s="5">
        <v>45912</v>
      </c>
      <c r="B1216" t="s">
        <v>568</v>
      </c>
      <c r="C1216" t="s">
        <v>940</v>
      </c>
      <c r="D1216" t="s">
        <v>201</v>
      </c>
      <c r="E1216" t="str">
        <f t="shared" si="23"/>
        <v>DIR</v>
      </c>
      <c r="F1216" t="s">
        <v>327</v>
      </c>
      <c r="G1216" t="s">
        <v>327</v>
      </c>
      <c r="J1216" t="s">
        <v>143</v>
      </c>
      <c r="K1216" s="23">
        <v>-30000</v>
      </c>
      <c r="L1216" t="s">
        <v>24</v>
      </c>
      <c r="M1216" t="s">
        <v>25</v>
      </c>
    </row>
    <row r="1217" spans="1:13" hidden="1" x14ac:dyDescent="0.25">
      <c r="A1217" s="5">
        <v>45915</v>
      </c>
      <c r="B1217" t="s">
        <v>569</v>
      </c>
      <c r="C1217" t="s">
        <v>952</v>
      </c>
      <c r="D1217" t="s">
        <v>201</v>
      </c>
      <c r="E1217" t="str">
        <f t="shared" si="23"/>
        <v>DIR</v>
      </c>
      <c r="F1217" t="s">
        <v>327</v>
      </c>
      <c r="G1217" t="s">
        <v>327</v>
      </c>
      <c r="J1217" t="s">
        <v>143</v>
      </c>
      <c r="K1217" s="23">
        <v>-12000</v>
      </c>
      <c r="L1217" t="s">
        <v>24</v>
      </c>
      <c r="M1217" t="s">
        <v>25</v>
      </c>
    </row>
    <row r="1218" spans="1:13" hidden="1" x14ac:dyDescent="0.25">
      <c r="A1218" s="5">
        <v>45923</v>
      </c>
      <c r="B1218" t="s">
        <v>568</v>
      </c>
      <c r="C1218" t="s">
        <v>997</v>
      </c>
      <c r="D1218" t="s">
        <v>998</v>
      </c>
      <c r="E1218" t="str">
        <f t="shared" si="23"/>
        <v>ADM</v>
      </c>
      <c r="F1218" t="s">
        <v>327</v>
      </c>
      <c r="G1218" t="s">
        <v>327</v>
      </c>
      <c r="J1218" t="s">
        <v>143</v>
      </c>
      <c r="K1218" s="23">
        <v>-500</v>
      </c>
      <c r="L1218" t="s">
        <v>24</v>
      </c>
      <c r="M1218" t="s">
        <v>25</v>
      </c>
    </row>
    <row r="1219" spans="1:13" hidden="1" x14ac:dyDescent="0.25">
      <c r="A1219" s="5">
        <v>45930</v>
      </c>
      <c r="B1219" t="s">
        <v>568</v>
      </c>
      <c r="C1219" t="s">
        <v>200</v>
      </c>
      <c r="D1219" t="s">
        <v>201</v>
      </c>
      <c r="E1219" t="str">
        <f t="shared" si="23"/>
        <v>DIR</v>
      </c>
      <c r="F1219" t="s">
        <v>54</v>
      </c>
      <c r="G1219" t="s">
        <v>54</v>
      </c>
      <c r="J1219" t="s">
        <v>17</v>
      </c>
      <c r="K1219" s="23">
        <v>-6148.98</v>
      </c>
      <c r="L1219" t="s">
        <v>24</v>
      </c>
      <c r="M1219" t="s">
        <v>25</v>
      </c>
    </row>
    <row r="1220" spans="1:13" hidden="1" x14ac:dyDescent="0.25">
      <c r="A1220" s="5">
        <v>45930</v>
      </c>
      <c r="B1220" t="s">
        <v>568</v>
      </c>
      <c r="C1220" t="s">
        <v>484</v>
      </c>
      <c r="D1220" t="s">
        <v>207</v>
      </c>
      <c r="E1220" t="str">
        <f t="shared" si="23"/>
        <v>DIR</v>
      </c>
      <c r="F1220" t="s">
        <v>54</v>
      </c>
      <c r="G1220" t="s">
        <v>54</v>
      </c>
      <c r="J1220" t="s">
        <v>17</v>
      </c>
      <c r="K1220" s="23">
        <v>-1351.02</v>
      </c>
      <c r="L1220" t="s">
        <v>24</v>
      </c>
      <c r="M1220" t="s">
        <v>25</v>
      </c>
    </row>
    <row r="1221" spans="1:13" hidden="1" x14ac:dyDescent="0.25">
      <c r="A1221" s="5">
        <v>45912</v>
      </c>
      <c r="B1221" t="s">
        <v>569</v>
      </c>
      <c r="C1221" t="s">
        <v>941</v>
      </c>
      <c r="D1221" t="s">
        <v>300</v>
      </c>
      <c r="E1221" t="str">
        <f t="shared" si="23"/>
        <v>VAR</v>
      </c>
      <c r="F1221" t="s">
        <v>942</v>
      </c>
      <c r="G1221" t="s">
        <v>942</v>
      </c>
      <c r="J1221" t="s">
        <v>143</v>
      </c>
      <c r="K1221" s="23">
        <v>-1000</v>
      </c>
      <c r="L1221" t="s">
        <v>24</v>
      </c>
      <c r="M1221" t="s">
        <v>25</v>
      </c>
    </row>
    <row r="1222" spans="1:13" hidden="1" x14ac:dyDescent="0.25">
      <c r="A1222" s="5">
        <v>45902</v>
      </c>
      <c r="B1222" t="s">
        <v>569</v>
      </c>
      <c r="C1222" t="s">
        <v>914</v>
      </c>
      <c r="D1222" t="s">
        <v>56</v>
      </c>
      <c r="E1222" t="str">
        <f t="shared" si="23"/>
        <v>Honorários</v>
      </c>
      <c r="F1222" t="s">
        <v>726</v>
      </c>
      <c r="G1222" t="s">
        <v>726</v>
      </c>
      <c r="I1222" t="s">
        <v>727</v>
      </c>
      <c r="J1222" t="s">
        <v>143</v>
      </c>
      <c r="K1222" s="23">
        <v>550</v>
      </c>
      <c r="L1222" t="s">
        <v>18</v>
      </c>
      <c r="M1222" t="s">
        <v>19</v>
      </c>
    </row>
    <row r="1223" spans="1:13" hidden="1" x14ac:dyDescent="0.25">
      <c r="A1223" s="30">
        <v>45917</v>
      </c>
      <c r="B1223" s="31" t="s">
        <v>568</v>
      </c>
      <c r="C1223" s="31" t="s">
        <v>974</v>
      </c>
      <c r="D1223" s="31" t="s">
        <v>56</v>
      </c>
      <c r="E1223" s="31" t="str">
        <f t="shared" si="23"/>
        <v>Honorários</v>
      </c>
      <c r="F1223" s="31" t="s">
        <v>975</v>
      </c>
      <c r="G1223" t="s">
        <v>975</v>
      </c>
      <c r="I1223" t="s">
        <v>976</v>
      </c>
      <c r="J1223" t="s">
        <v>143</v>
      </c>
      <c r="K1223" s="32">
        <v>201999.94</v>
      </c>
      <c r="L1223" s="31" t="s">
        <v>18</v>
      </c>
      <c r="M1223" s="31" t="s">
        <v>19</v>
      </c>
    </row>
    <row r="1224" spans="1:13" hidden="1" x14ac:dyDescent="0.25">
      <c r="A1224" s="30">
        <v>45930</v>
      </c>
      <c r="B1224" s="31" t="s">
        <v>568</v>
      </c>
      <c r="C1224" s="31" t="s">
        <v>939</v>
      </c>
      <c r="D1224" s="31" t="s">
        <v>300</v>
      </c>
      <c r="E1224" s="31" t="str">
        <f t="shared" si="23"/>
        <v>VAR</v>
      </c>
      <c r="F1224" s="31" t="s">
        <v>975</v>
      </c>
      <c r="G1224" t="s">
        <v>975</v>
      </c>
      <c r="I1224" t="s">
        <v>1014</v>
      </c>
      <c r="J1224" t="s">
        <v>17</v>
      </c>
      <c r="K1224" s="32">
        <v>-125902.51</v>
      </c>
      <c r="L1224" s="31" t="s">
        <v>24</v>
      </c>
      <c r="M1224" s="31" t="s">
        <v>25</v>
      </c>
    </row>
    <row r="1225" spans="1:13" hidden="1" x14ac:dyDescent="0.25">
      <c r="A1225" s="5">
        <v>45905</v>
      </c>
      <c r="B1225" t="s">
        <v>569</v>
      </c>
      <c r="C1225" t="s">
        <v>667</v>
      </c>
      <c r="D1225" t="s">
        <v>56</v>
      </c>
      <c r="E1225" t="str">
        <f t="shared" si="23"/>
        <v>Honorários</v>
      </c>
      <c r="F1225" t="s">
        <v>609</v>
      </c>
      <c r="G1225" t="s">
        <v>609</v>
      </c>
      <c r="I1225" t="s">
        <v>75</v>
      </c>
      <c r="J1225" t="s">
        <v>143</v>
      </c>
      <c r="K1225" s="23">
        <v>1008</v>
      </c>
      <c r="L1225" t="s">
        <v>18</v>
      </c>
      <c r="M1225" t="s">
        <v>19</v>
      </c>
    </row>
    <row r="1226" spans="1:13" hidden="1" x14ac:dyDescent="0.25">
      <c r="A1226" s="5">
        <v>45917</v>
      </c>
      <c r="B1226" t="s">
        <v>568</v>
      </c>
      <c r="C1226" t="s">
        <v>969</v>
      </c>
      <c r="D1226" t="s">
        <v>56</v>
      </c>
      <c r="E1226" t="str">
        <f t="shared" si="23"/>
        <v>Honorários</v>
      </c>
      <c r="F1226" t="s">
        <v>609</v>
      </c>
      <c r="G1226" t="s">
        <v>609</v>
      </c>
      <c r="I1226" t="s">
        <v>75</v>
      </c>
      <c r="J1226" t="s">
        <v>143</v>
      </c>
      <c r="K1226" s="23">
        <v>15712.94</v>
      </c>
      <c r="L1226" t="s">
        <v>18</v>
      </c>
      <c r="M1226" t="s">
        <v>19</v>
      </c>
    </row>
    <row r="1227" spans="1:13" hidden="1" x14ac:dyDescent="0.25">
      <c r="A1227" s="5">
        <v>45922</v>
      </c>
      <c r="B1227" t="s">
        <v>568</v>
      </c>
      <c r="C1227" t="s">
        <v>151</v>
      </c>
      <c r="D1227" t="s">
        <v>152</v>
      </c>
      <c r="E1227" t="str">
        <f t="shared" si="23"/>
        <v>VAR</v>
      </c>
      <c r="F1227" t="s">
        <v>151</v>
      </c>
      <c r="G1227" t="s">
        <v>151</v>
      </c>
      <c r="J1227" t="s">
        <v>17</v>
      </c>
      <c r="K1227" s="23">
        <v>-2836.64</v>
      </c>
      <c r="L1227" t="s">
        <v>24</v>
      </c>
      <c r="M1227" t="s">
        <v>25</v>
      </c>
    </row>
    <row r="1228" spans="1:13" hidden="1" x14ac:dyDescent="0.25">
      <c r="A1228" s="5">
        <v>45930</v>
      </c>
      <c r="B1228" t="s">
        <v>569</v>
      </c>
      <c r="C1228" t="s">
        <v>640</v>
      </c>
      <c r="D1228" t="s">
        <v>56</v>
      </c>
      <c r="E1228" t="str">
        <f t="shared" si="23"/>
        <v>Honorários</v>
      </c>
      <c r="F1228" t="s">
        <v>1017</v>
      </c>
      <c r="G1228" t="s">
        <v>1017</v>
      </c>
      <c r="I1228" t="s">
        <v>58</v>
      </c>
      <c r="J1228" t="s">
        <v>143</v>
      </c>
      <c r="K1228" s="23">
        <v>910.8</v>
      </c>
      <c r="L1228" t="s">
        <v>18</v>
      </c>
      <c r="M1228" t="s">
        <v>19</v>
      </c>
    </row>
    <row r="1229" spans="1:13" hidden="1" x14ac:dyDescent="0.25">
      <c r="A1229" s="5">
        <v>45902</v>
      </c>
      <c r="B1229" t="s">
        <v>569</v>
      </c>
      <c r="C1229" t="s">
        <v>919</v>
      </c>
      <c r="D1229" t="s">
        <v>28</v>
      </c>
      <c r="E1229" t="str">
        <f t="shared" si="23"/>
        <v>ADM</v>
      </c>
      <c r="F1229" t="s">
        <v>540</v>
      </c>
      <c r="G1229" t="s">
        <v>540</v>
      </c>
      <c r="J1229" t="s">
        <v>143</v>
      </c>
      <c r="K1229" s="23">
        <v>-23.7</v>
      </c>
      <c r="L1229" t="s">
        <v>24</v>
      </c>
      <c r="M1229" t="s">
        <v>25</v>
      </c>
    </row>
    <row r="1230" spans="1:13" hidden="1" x14ac:dyDescent="0.25">
      <c r="A1230" s="5">
        <v>45922</v>
      </c>
      <c r="B1230" t="s">
        <v>568</v>
      </c>
      <c r="C1230" t="s">
        <v>994</v>
      </c>
      <c r="D1230" t="s">
        <v>56</v>
      </c>
      <c r="E1230" t="str">
        <f t="shared" ref="E1230:E1240" si="24">IF(ISERROR(FIND("-",D1230,1)),D1230,LEFT(D1230,3))</f>
        <v>Honorários</v>
      </c>
      <c r="F1230" t="s">
        <v>888</v>
      </c>
      <c r="G1230" t="s">
        <v>888</v>
      </c>
      <c r="I1230" t="s">
        <v>236</v>
      </c>
      <c r="J1230" t="s">
        <v>143</v>
      </c>
      <c r="K1230" s="23">
        <v>2418.21</v>
      </c>
      <c r="L1230" t="s">
        <v>18</v>
      </c>
      <c r="M1230" t="s">
        <v>19</v>
      </c>
    </row>
    <row r="1231" spans="1:13" hidden="1" x14ac:dyDescent="0.25">
      <c r="A1231" s="5">
        <v>45930</v>
      </c>
      <c r="B1231" t="s">
        <v>569</v>
      </c>
      <c r="C1231" t="s">
        <v>1019</v>
      </c>
      <c r="D1231" t="s">
        <v>300</v>
      </c>
      <c r="E1231" t="str">
        <f t="shared" si="24"/>
        <v>VAR</v>
      </c>
      <c r="F1231" t="s">
        <v>888</v>
      </c>
      <c r="G1231" t="s">
        <v>888</v>
      </c>
      <c r="I1231" t="s">
        <v>236</v>
      </c>
      <c r="J1231" t="s">
        <v>17</v>
      </c>
      <c r="K1231" s="23">
        <v>-1076.58</v>
      </c>
      <c r="L1231" t="s">
        <v>24</v>
      </c>
      <c r="M1231" t="s">
        <v>25</v>
      </c>
    </row>
    <row r="1232" spans="1:13" hidden="1" x14ac:dyDescent="0.25">
      <c r="A1232" s="30">
        <v>45911</v>
      </c>
      <c r="B1232" s="31" t="s">
        <v>569</v>
      </c>
      <c r="C1232" s="31" t="s">
        <v>939</v>
      </c>
      <c r="D1232" s="31" t="s">
        <v>300</v>
      </c>
      <c r="E1232" s="31" t="str">
        <f t="shared" si="24"/>
        <v>VAR</v>
      </c>
      <c r="F1232" s="31" t="s">
        <v>895</v>
      </c>
      <c r="G1232" t="s">
        <v>895</v>
      </c>
      <c r="I1232" t="s">
        <v>196</v>
      </c>
      <c r="J1232" t="s">
        <v>143</v>
      </c>
      <c r="K1232" s="32">
        <v>-2488.73</v>
      </c>
      <c r="L1232" s="31" t="s">
        <v>24</v>
      </c>
      <c r="M1232" s="31" t="s">
        <v>25</v>
      </c>
    </row>
    <row r="1233" spans="1:13" hidden="1" x14ac:dyDescent="0.25">
      <c r="A1233" s="5">
        <v>45912</v>
      </c>
      <c r="B1233" t="s">
        <v>568</v>
      </c>
      <c r="C1233" t="s">
        <v>940</v>
      </c>
      <c r="D1233" t="s">
        <v>201</v>
      </c>
      <c r="E1233" t="str">
        <f t="shared" si="24"/>
        <v>DIR</v>
      </c>
      <c r="F1233" t="s">
        <v>67</v>
      </c>
      <c r="G1233" t="s">
        <v>67</v>
      </c>
      <c r="J1233" t="s">
        <v>143</v>
      </c>
      <c r="K1233" s="23">
        <v>-20000</v>
      </c>
      <c r="L1233" t="s">
        <v>24</v>
      </c>
      <c r="M1233" t="s">
        <v>25</v>
      </c>
    </row>
    <row r="1234" spans="1:13" hidden="1" x14ac:dyDescent="0.25">
      <c r="A1234" s="5">
        <v>45930</v>
      </c>
      <c r="B1234" t="s">
        <v>568</v>
      </c>
      <c r="C1234" t="s">
        <v>200</v>
      </c>
      <c r="D1234" t="s">
        <v>201</v>
      </c>
      <c r="E1234" t="str">
        <f t="shared" si="24"/>
        <v>DIR</v>
      </c>
      <c r="F1234" t="s">
        <v>67</v>
      </c>
      <c r="G1234" t="s">
        <v>67</v>
      </c>
      <c r="J1234" t="s">
        <v>17</v>
      </c>
      <c r="K1234" s="23">
        <v>-5000</v>
      </c>
      <c r="L1234" t="s">
        <v>24</v>
      </c>
      <c r="M1234" t="s">
        <v>25</v>
      </c>
    </row>
    <row r="1235" spans="1:13" hidden="1" x14ac:dyDescent="0.25">
      <c r="A1235" s="5">
        <v>45910</v>
      </c>
      <c r="B1235" t="s">
        <v>568</v>
      </c>
      <c r="C1235" t="s">
        <v>411</v>
      </c>
      <c r="D1235" t="s">
        <v>56</v>
      </c>
      <c r="E1235" t="str">
        <f t="shared" si="24"/>
        <v>Honorários</v>
      </c>
      <c r="F1235" t="s">
        <v>412</v>
      </c>
      <c r="G1235" t="s">
        <v>412</v>
      </c>
      <c r="I1235" t="s">
        <v>196</v>
      </c>
      <c r="J1235" t="s">
        <v>143</v>
      </c>
      <c r="K1235" s="23">
        <v>300</v>
      </c>
      <c r="L1235" t="s">
        <v>18</v>
      </c>
      <c r="M1235" t="s">
        <v>83</v>
      </c>
    </row>
    <row r="1236" spans="1:13" hidden="1" x14ac:dyDescent="0.25">
      <c r="A1236" s="5">
        <v>45925</v>
      </c>
      <c r="B1236" t="s">
        <v>569</v>
      </c>
      <c r="C1236" t="s">
        <v>775</v>
      </c>
      <c r="D1236" t="s">
        <v>56</v>
      </c>
      <c r="E1236" t="str">
        <f t="shared" si="24"/>
        <v>Honorários</v>
      </c>
      <c r="F1236" t="s">
        <v>776</v>
      </c>
      <c r="G1236" t="s">
        <v>776</v>
      </c>
      <c r="I1236" t="s">
        <v>777</v>
      </c>
      <c r="J1236" t="s">
        <v>143</v>
      </c>
      <c r="K1236" s="23">
        <v>153.6</v>
      </c>
      <c r="L1236" t="s">
        <v>18</v>
      </c>
      <c r="M1236" t="s">
        <v>19</v>
      </c>
    </row>
    <row r="1237" spans="1:13" hidden="1" x14ac:dyDescent="0.25">
      <c r="A1237" s="5">
        <v>45908</v>
      </c>
      <c r="B1237" t="s">
        <v>569</v>
      </c>
      <c r="C1237" t="s">
        <v>118</v>
      </c>
      <c r="D1237" t="s">
        <v>113</v>
      </c>
      <c r="E1237" t="str">
        <f t="shared" si="24"/>
        <v>ADM</v>
      </c>
      <c r="F1237" t="s">
        <v>114</v>
      </c>
      <c r="G1237" t="s">
        <v>114</v>
      </c>
      <c r="J1237" t="s">
        <v>17</v>
      </c>
      <c r="K1237" s="23">
        <v>-137.37</v>
      </c>
      <c r="L1237" t="s">
        <v>24</v>
      </c>
      <c r="M1237" t="s">
        <v>25</v>
      </c>
    </row>
    <row r="1238" spans="1:13" hidden="1" x14ac:dyDescent="0.25">
      <c r="A1238" s="5">
        <v>45908</v>
      </c>
      <c r="B1238" t="s">
        <v>568</v>
      </c>
      <c r="C1238" t="s">
        <v>439</v>
      </c>
      <c r="D1238" t="s">
        <v>113</v>
      </c>
      <c r="E1238" t="str">
        <f t="shared" si="24"/>
        <v>ADM</v>
      </c>
      <c r="F1238" t="s">
        <v>438</v>
      </c>
      <c r="G1238" t="s">
        <v>438</v>
      </c>
      <c r="J1238" t="s">
        <v>17</v>
      </c>
      <c r="K1238" s="23">
        <v>-88.94</v>
      </c>
      <c r="L1238" t="s">
        <v>24</v>
      </c>
      <c r="M1238" t="s">
        <v>25</v>
      </c>
    </row>
    <row r="1239" spans="1:13" hidden="1" x14ac:dyDescent="0.25">
      <c r="A1239" s="5">
        <v>45908</v>
      </c>
      <c r="B1239" t="s">
        <v>568</v>
      </c>
      <c r="C1239" t="s">
        <v>437</v>
      </c>
      <c r="D1239" t="s">
        <v>113</v>
      </c>
      <c r="E1239" t="str">
        <f t="shared" si="24"/>
        <v>ADM</v>
      </c>
      <c r="F1239" t="s">
        <v>438</v>
      </c>
      <c r="G1239" t="s">
        <v>438</v>
      </c>
      <c r="J1239" t="s">
        <v>17</v>
      </c>
      <c r="K1239" s="23">
        <v>-260.58</v>
      </c>
      <c r="L1239" t="s">
        <v>24</v>
      </c>
      <c r="M1239" t="s">
        <v>25</v>
      </c>
    </row>
    <row r="1240" spans="1:13" hidden="1" x14ac:dyDescent="0.25">
      <c r="A1240" s="5">
        <v>45929</v>
      </c>
      <c r="B1240" t="s">
        <v>568</v>
      </c>
      <c r="C1240" t="s">
        <v>1006</v>
      </c>
      <c r="D1240" t="s">
        <v>149</v>
      </c>
      <c r="E1240" t="str">
        <f t="shared" si="24"/>
        <v>ADM</v>
      </c>
      <c r="F1240" t="s">
        <v>1007</v>
      </c>
      <c r="G1240" t="s">
        <v>1007</v>
      </c>
      <c r="J1240" t="s">
        <v>143</v>
      </c>
      <c r="K1240" s="23">
        <v>-5201.21</v>
      </c>
      <c r="L1240" t="s">
        <v>24</v>
      </c>
      <c r="M1240" t="s">
        <v>25</v>
      </c>
    </row>
    <row r="1241" spans="1:13" hidden="1" x14ac:dyDescent="0.25">
      <c r="A1241" s="5">
        <v>45931</v>
      </c>
      <c r="B1241" t="s">
        <v>569</v>
      </c>
      <c r="C1241" t="s">
        <v>1026</v>
      </c>
      <c r="D1241" t="s">
        <v>300</v>
      </c>
      <c r="E1241" t="str">
        <f t="shared" ref="E1241:E1298" si="25">IF(ISERROR(FIND("-",D1241,1)),D1241,LEFT(D1241,3))</f>
        <v>VAR</v>
      </c>
      <c r="F1241" t="s">
        <v>54</v>
      </c>
      <c r="G1241" t="s">
        <v>54</v>
      </c>
      <c r="J1241" t="s">
        <v>17</v>
      </c>
      <c r="K1241" s="23">
        <v>-1000</v>
      </c>
      <c r="L1241" t="s">
        <v>24</v>
      </c>
      <c r="M1241" t="s">
        <v>25</v>
      </c>
    </row>
    <row r="1242" spans="1:13" hidden="1" x14ac:dyDescent="0.25">
      <c r="A1242" s="5">
        <v>45931</v>
      </c>
      <c r="B1242" t="s">
        <v>569</v>
      </c>
      <c r="C1242" t="s">
        <v>1027</v>
      </c>
      <c r="D1242" t="s">
        <v>215</v>
      </c>
      <c r="E1242" t="str">
        <f t="shared" si="25"/>
        <v>COM</v>
      </c>
      <c r="F1242" t="s">
        <v>1028</v>
      </c>
      <c r="G1242" t="s">
        <v>1028</v>
      </c>
      <c r="J1242" t="s">
        <v>143</v>
      </c>
      <c r="K1242" s="23">
        <v>-129.80000000000001</v>
      </c>
      <c r="L1242" t="s">
        <v>24</v>
      </c>
      <c r="M1242" t="s">
        <v>25</v>
      </c>
    </row>
    <row r="1243" spans="1:13" hidden="1" x14ac:dyDescent="0.25">
      <c r="A1243" s="5">
        <v>45931</v>
      </c>
      <c r="B1243" t="s">
        <v>569</v>
      </c>
      <c r="C1243" t="s">
        <v>1029</v>
      </c>
      <c r="D1243" t="s">
        <v>198</v>
      </c>
      <c r="E1243" t="str">
        <f t="shared" si="25"/>
        <v>PES</v>
      </c>
      <c r="F1243" t="s">
        <v>1030</v>
      </c>
      <c r="G1243" t="s">
        <v>1030</v>
      </c>
      <c r="J1243" t="s">
        <v>143</v>
      </c>
      <c r="K1243" s="23">
        <v>-60.2</v>
      </c>
      <c r="L1243" t="s">
        <v>24</v>
      </c>
      <c r="M1243" t="s">
        <v>25</v>
      </c>
    </row>
    <row r="1244" spans="1:13" hidden="1" x14ac:dyDescent="0.25">
      <c r="A1244" s="5">
        <v>45931</v>
      </c>
      <c r="B1244" t="s">
        <v>569</v>
      </c>
      <c r="C1244" t="s">
        <v>272</v>
      </c>
      <c r="D1244" t="s">
        <v>198</v>
      </c>
      <c r="E1244" t="str">
        <f t="shared" si="25"/>
        <v>PES</v>
      </c>
      <c r="F1244" t="s">
        <v>209</v>
      </c>
      <c r="G1244" t="s">
        <v>209</v>
      </c>
      <c r="J1244" t="s">
        <v>17</v>
      </c>
      <c r="K1244" s="23">
        <v>-3500</v>
      </c>
      <c r="L1244" t="s">
        <v>24</v>
      </c>
      <c r="M1244" t="s">
        <v>25</v>
      </c>
    </row>
    <row r="1245" spans="1:13" hidden="1" x14ac:dyDescent="0.25">
      <c r="A1245" s="5">
        <v>45931</v>
      </c>
      <c r="B1245" t="s">
        <v>569</v>
      </c>
      <c r="C1245" t="s">
        <v>745</v>
      </c>
      <c r="D1245" t="s">
        <v>56</v>
      </c>
      <c r="E1245" t="str">
        <f t="shared" si="25"/>
        <v>Honorários</v>
      </c>
      <c r="F1245" t="s">
        <v>746</v>
      </c>
      <c r="G1245" t="s">
        <v>746</v>
      </c>
      <c r="I1245" t="s">
        <v>747</v>
      </c>
      <c r="J1245" t="s">
        <v>143</v>
      </c>
      <c r="K1245" s="23">
        <v>759</v>
      </c>
      <c r="L1245" t="s">
        <v>18</v>
      </c>
      <c r="M1245" t="s">
        <v>19</v>
      </c>
    </row>
    <row r="1246" spans="1:13" hidden="1" x14ac:dyDescent="0.25">
      <c r="A1246" s="5">
        <v>45931</v>
      </c>
      <c r="B1246" t="s">
        <v>568</v>
      </c>
      <c r="C1246" t="s">
        <v>61</v>
      </c>
      <c r="D1246" t="s">
        <v>62</v>
      </c>
      <c r="E1246" t="str">
        <f t="shared" si="25"/>
        <v>INV</v>
      </c>
      <c r="F1246" t="s">
        <v>63</v>
      </c>
      <c r="G1246" t="s">
        <v>63</v>
      </c>
      <c r="J1246" t="s">
        <v>17</v>
      </c>
      <c r="K1246" s="23">
        <v>-1750</v>
      </c>
      <c r="L1246" t="s">
        <v>24</v>
      </c>
      <c r="M1246" t="s">
        <v>25</v>
      </c>
    </row>
    <row r="1247" spans="1:13" hidden="1" x14ac:dyDescent="0.25">
      <c r="A1247" s="5">
        <v>45931</v>
      </c>
      <c r="B1247" t="s">
        <v>568</v>
      </c>
      <c r="C1247" t="s">
        <v>51</v>
      </c>
      <c r="D1247" t="s">
        <v>52</v>
      </c>
      <c r="E1247" t="str">
        <f t="shared" si="25"/>
        <v>ADM</v>
      </c>
      <c r="F1247" t="s">
        <v>53</v>
      </c>
      <c r="G1247" t="s">
        <v>53</v>
      </c>
      <c r="J1247" t="s">
        <v>17</v>
      </c>
      <c r="K1247" s="23">
        <v>-1518</v>
      </c>
      <c r="L1247" t="s">
        <v>24</v>
      </c>
      <c r="M1247" t="s">
        <v>25</v>
      </c>
    </row>
    <row r="1248" spans="1:13" hidden="1" x14ac:dyDescent="0.25">
      <c r="A1248" s="5">
        <v>45931</v>
      </c>
      <c r="B1248" t="s">
        <v>569</v>
      </c>
      <c r="C1248" t="s">
        <v>830</v>
      </c>
      <c r="D1248" t="s">
        <v>1488</v>
      </c>
      <c r="E1248" t="str">
        <f t="shared" si="25"/>
        <v>PES</v>
      </c>
      <c r="F1248" t="s">
        <v>1031</v>
      </c>
      <c r="G1248" t="s">
        <v>1031</v>
      </c>
      <c r="J1248" t="s">
        <v>143</v>
      </c>
      <c r="K1248" s="23">
        <v>-48</v>
      </c>
      <c r="L1248" t="s">
        <v>24</v>
      </c>
      <c r="M1248" t="s">
        <v>25</v>
      </c>
    </row>
    <row r="1249" spans="1:13" hidden="1" x14ac:dyDescent="0.25">
      <c r="A1249" s="5">
        <v>45931</v>
      </c>
      <c r="B1249" t="s">
        <v>569</v>
      </c>
      <c r="C1249" t="s">
        <v>1026</v>
      </c>
      <c r="D1249" t="s">
        <v>300</v>
      </c>
      <c r="E1249" t="str">
        <f t="shared" si="25"/>
        <v>VAR</v>
      </c>
      <c r="F1249" t="s">
        <v>199</v>
      </c>
      <c r="G1249" t="s">
        <v>199</v>
      </c>
      <c r="J1249" t="s">
        <v>17</v>
      </c>
      <c r="K1249" s="23">
        <v>-1000</v>
      </c>
      <c r="L1249" t="s">
        <v>24</v>
      </c>
      <c r="M1249" t="s">
        <v>25</v>
      </c>
    </row>
    <row r="1250" spans="1:13" hidden="1" x14ac:dyDescent="0.25">
      <c r="A1250" s="5">
        <v>45931</v>
      </c>
      <c r="B1250" t="s">
        <v>569</v>
      </c>
      <c r="C1250" t="s">
        <v>1026</v>
      </c>
      <c r="D1250" t="s">
        <v>300</v>
      </c>
      <c r="E1250" t="str">
        <f t="shared" si="25"/>
        <v>VAR</v>
      </c>
      <c r="F1250" t="s">
        <v>831</v>
      </c>
      <c r="G1250" t="s">
        <v>831</v>
      </c>
      <c r="J1250" t="s">
        <v>17</v>
      </c>
      <c r="K1250" s="23">
        <v>-1000</v>
      </c>
      <c r="L1250" t="s">
        <v>24</v>
      </c>
      <c r="M1250" t="s">
        <v>25</v>
      </c>
    </row>
    <row r="1251" spans="1:13" hidden="1" x14ac:dyDescent="0.25">
      <c r="A1251" s="5">
        <v>45931</v>
      </c>
      <c r="B1251" t="s">
        <v>569</v>
      </c>
      <c r="C1251" t="s">
        <v>1026</v>
      </c>
      <c r="D1251" t="s">
        <v>300</v>
      </c>
      <c r="E1251" t="str">
        <f t="shared" si="25"/>
        <v>VAR</v>
      </c>
      <c r="F1251" t="s">
        <v>944</v>
      </c>
      <c r="G1251" t="s">
        <v>944</v>
      </c>
      <c r="J1251" t="s">
        <v>17</v>
      </c>
      <c r="K1251" s="23">
        <v>-1000</v>
      </c>
      <c r="L1251" t="s">
        <v>24</v>
      </c>
      <c r="M1251" t="s">
        <v>25</v>
      </c>
    </row>
    <row r="1252" spans="1:13" hidden="1" x14ac:dyDescent="0.25">
      <c r="A1252" s="5">
        <v>45931</v>
      </c>
      <c r="B1252" t="s">
        <v>569</v>
      </c>
      <c r="C1252" t="s">
        <v>1026</v>
      </c>
      <c r="D1252" t="s">
        <v>300</v>
      </c>
      <c r="E1252" t="str">
        <f t="shared" si="25"/>
        <v>VAR</v>
      </c>
      <c r="F1252" t="s">
        <v>209</v>
      </c>
      <c r="G1252" t="s">
        <v>209</v>
      </c>
      <c r="J1252" t="s">
        <v>17</v>
      </c>
      <c r="K1252" s="23">
        <v>-1000</v>
      </c>
      <c r="L1252" t="s">
        <v>24</v>
      </c>
      <c r="M1252" t="s">
        <v>25</v>
      </c>
    </row>
    <row r="1253" spans="1:13" hidden="1" x14ac:dyDescent="0.25">
      <c r="A1253" s="5">
        <v>45931</v>
      </c>
      <c r="B1253" t="s">
        <v>569</v>
      </c>
      <c r="C1253" t="s">
        <v>718</v>
      </c>
      <c r="D1253" t="s">
        <v>56</v>
      </c>
      <c r="E1253" t="str">
        <f t="shared" si="25"/>
        <v>Honorários</v>
      </c>
      <c r="F1253" t="s">
        <v>81</v>
      </c>
      <c r="G1253" t="s">
        <v>81</v>
      </c>
      <c r="I1253" t="s">
        <v>82</v>
      </c>
      <c r="J1253" t="s">
        <v>143</v>
      </c>
      <c r="K1253" s="23">
        <v>500</v>
      </c>
      <c r="L1253" t="s">
        <v>18</v>
      </c>
      <c r="M1253" t="s">
        <v>19</v>
      </c>
    </row>
    <row r="1254" spans="1:13" hidden="1" x14ac:dyDescent="0.25">
      <c r="A1254" s="5">
        <v>45931</v>
      </c>
      <c r="B1254" t="s">
        <v>569</v>
      </c>
      <c r="C1254" t="s">
        <v>1026</v>
      </c>
      <c r="D1254" t="s">
        <v>300</v>
      </c>
      <c r="E1254" t="str">
        <f t="shared" si="25"/>
        <v>VAR</v>
      </c>
      <c r="F1254" t="s">
        <v>17</v>
      </c>
      <c r="G1254" t="s">
        <v>17</v>
      </c>
      <c r="J1254" t="s">
        <v>17</v>
      </c>
      <c r="K1254" s="23">
        <v>-1000</v>
      </c>
      <c r="L1254" t="s">
        <v>24</v>
      </c>
      <c r="M1254" t="s">
        <v>25</v>
      </c>
    </row>
    <row r="1255" spans="1:13" hidden="1" x14ac:dyDescent="0.25">
      <c r="A1255" s="5">
        <v>45931</v>
      </c>
      <c r="B1255" t="s">
        <v>568</v>
      </c>
      <c r="C1255" t="s">
        <v>1032</v>
      </c>
      <c r="D1255" t="s">
        <v>998</v>
      </c>
      <c r="E1255" t="str">
        <f t="shared" si="25"/>
        <v>ADM</v>
      </c>
      <c r="F1255" t="s">
        <v>1033</v>
      </c>
      <c r="G1255" t="s">
        <v>1033</v>
      </c>
      <c r="J1255" t="s">
        <v>143</v>
      </c>
      <c r="K1255" s="23">
        <v>-500</v>
      </c>
      <c r="L1255" t="s">
        <v>24</v>
      </c>
      <c r="M1255" t="s">
        <v>25</v>
      </c>
    </row>
    <row r="1256" spans="1:13" hidden="1" x14ac:dyDescent="0.25">
      <c r="A1256" s="5">
        <v>45932</v>
      </c>
      <c r="B1256" t="s">
        <v>20</v>
      </c>
      <c r="C1256" t="s">
        <v>37</v>
      </c>
      <c r="D1256" t="s">
        <v>30</v>
      </c>
      <c r="E1256" t="str">
        <f t="shared" si="25"/>
        <v>ADM</v>
      </c>
      <c r="F1256" t="s">
        <v>23</v>
      </c>
      <c r="G1256" t="s">
        <v>23</v>
      </c>
      <c r="J1256" t="s">
        <v>17</v>
      </c>
      <c r="K1256" s="23">
        <v>-80.91</v>
      </c>
      <c r="L1256" t="s">
        <v>24</v>
      </c>
      <c r="M1256" t="s">
        <v>25</v>
      </c>
    </row>
    <row r="1257" spans="1:13" hidden="1" x14ac:dyDescent="0.25">
      <c r="A1257" s="5">
        <v>45932</v>
      </c>
      <c r="B1257" t="s">
        <v>568</v>
      </c>
      <c r="C1257" t="s">
        <v>1034</v>
      </c>
      <c r="D1257" t="s">
        <v>149</v>
      </c>
      <c r="E1257" t="str">
        <f t="shared" si="25"/>
        <v>ADM</v>
      </c>
      <c r="F1257" t="s">
        <v>1035</v>
      </c>
      <c r="G1257" t="s">
        <v>1035</v>
      </c>
      <c r="J1257" t="s">
        <v>143</v>
      </c>
      <c r="K1257" s="23">
        <v>-300</v>
      </c>
      <c r="L1257" t="s">
        <v>24</v>
      </c>
      <c r="M1257" t="s">
        <v>25</v>
      </c>
    </row>
    <row r="1258" spans="1:13" hidden="1" x14ac:dyDescent="0.25">
      <c r="A1258" s="5">
        <v>45932</v>
      </c>
      <c r="B1258" t="s">
        <v>568</v>
      </c>
      <c r="C1258" t="s">
        <v>917</v>
      </c>
      <c r="D1258" t="s">
        <v>198</v>
      </c>
      <c r="E1258" t="str">
        <f t="shared" si="25"/>
        <v>PES</v>
      </c>
      <c r="F1258" t="s">
        <v>918</v>
      </c>
      <c r="G1258" t="s">
        <v>918</v>
      </c>
      <c r="J1258" t="s">
        <v>143</v>
      </c>
      <c r="K1258" s="23">
        <v>-1300</v>
      </c>
      <c r="L1258" t="s">
        <v>24</v>
      </c>
      <c r="M1258" t="s">
        <v>25</v>
      </c>
    </row>
    <row r="1259" spans="1:13" hidden="1" x14ac:dyDescent="0.25">
      <c r="A1259" s="5">
        <v>45932</v>
      </c>
      <c r="B1259" t="s">
        <v>20</v>
      </c>
      <c r="C1259" t="s">
        <v>387</v>
      </c>
      <c r="D1259" t="s">
        <v>28</v>
      </c>
      <c r="E1259" t="str">
        <f t="shared" si="25"/>
        <v>ADM</v>
      </c>
      <c r="F1259" t="s">
        <v>23</v>
      </c>
      <c r="G1259" t="s">
        <v>23</v>
      </c>
      <c r="J1259" t="s">
        <v>143</v>
      </c>
      <c r="K1259" s="23">
        <v>-35.9</v>
      </c>
      <c r="L1259" t="s">
        <v>24</v>
      </c>
      <c r="M1259" t="s">
        <v>25</v>
      </c>
    </row>
    <row r="1260" spans="1:13" hidden="1" x14ac:dyDescent="0.25">
      <c r="A1260" s="5">
        <v>45932</v>
      </c>
      <c r="B1260" t="s">
        <v>569</v>
      </c>
      <c r="C1260" t="s">
        <v>914</v>
      </c>
      <c r="D1260" t="s">
        <v>56</v>
      </c>
      <c r="E1260" t="str">
        <f t="shared" si="25"/>
        <v>Honorários</v>
      </c>
      <c r="F1260" t="s">
        <v>726</v>
      </c>
      <c r="G1260" t="s">
        <v>726</v>
      </c>
      <c r="I1260" t="s">
        <v>727</v>
      </c>
      <c r="J1260" t="s">
        <v>143</v>
      </c>
      <c r="K1260" s="23">
        <v>557</v>
      </c>
      <c r="L1260" t="s">
        <v>18</v>
      </c>
      <c r="M1260" t="s">
        <v>19</v>
      </c>
    </row>
    <row r="1261" spans="1:13" hidden="1" x14ac:dyDescent="0.25">
      <c r="A1261" s="5">
        <v>45932</v>
      </c>
      <c r="B1261" t="s">
        <v>20</v>
      </c>
      <c r="C1261" t="s">
        <v>41</v>
      </c>
      <c r="D1261" t="s">
        <v>30</v>
      </c>
      <c r="E1261" t="str">
        <f t="shared" si="25"/>
        <v>ADM</v>
      </c>
      <c r="F1261" t="s">
        <v>23</v>
      </c>
      <c r="G1261" t="s">
        <v>23</v>
      </c>
      <c r="J1261" t="s">
        <v>17</v>
      </c>
      <c r="K1261" s="23">
        <v>-14.99</v>
      </c>
      <c r="L1261" t="s">
        <v>24</v>
      </c>
      <c r="M1261" t="s">
        <v>25</v>
      </c>
    </row>
    <row r="1262" spans="1:13" hidden="1" x14ac:dyDescent="0.25">
      <c r="A1262" s="5">
        <v>45932</v>
      </c>
      <c r="B1262" t="s">
        <v>20</v>
      </c>
      <c r="C1262" t="s">
        <v>1036</v>
      </c>
      <c r="D1262" t="s">
        <v>89</v>
      </c>
      <c r="E1262" t="str">
        <f t="shared" si="25"/>
        <v>ADM</v>
      </c>
      <c r="F1262" t="s">
        <v>23</v>
      </c>
      <c r="G1262" t="s">
        <v>23</v>
      </c>
      <c r="J1262" t="s">
        <v>143</v>
      </c>
      <c r="K1262" s="23">
        <v>-203</v>
      </c>
      <c r="L1262" t="s">
        <v>24</v>
      </c>
      <c r="M1262" t="s">
        <v>25</v>
      </c>
    </row>
    <row r="1263" spans="1:13" hidden="1" x14ac:dyDescent="0.25">
      <c r="A1263" s="5">
        <v>45932</v>
      </c>
      <c r="B1263" t="s">
        <v>20</v>
      </c>
      <c r="C1263" t="s">
        <v>284</v>
      </c>
      <c r="D1263" t="s">
        <v>39</v>
      </c>
      <c r="E1263" t="str">
        <f t="shared" si="25"/>
        <v>INV</v>
      </c>
      <c r="F1263" t="s">
        <v>23</v>
      </c>
      <c r="G1263" t="s">
        <v>23</v>
      </c>
      <c r="H1263" t="s">
        <v>285</v>
      </c>
      <c r="J1263" t="s">
        <v>143</v>
      </c>
      <c r="K1263" s="23">
        <v>-333.24</v>
      </c>
      <c r="L1263" t="s">
        <v>24</v>
      </c>
      <c r="M1263" t="s">
        <v>25</v>
      </c>
    </row>
    <row r="1264" spans="1:13" hidden="1" x14ac:dyDescent="0.25">
      <c r="A1264" s="5">
        <v>45932</v>
      </c>
      <c r="B1264" t="s">
        <v>20</v>
      </c>
      <c r="C1264" t="s">
        <v>540</v>
      </c>
      <c r="D1264" t="s">
        <v>28</v>
      </c>
      <c r="E1264" t="str">
        <f t="shared" si="25"/>
        <v>ADM</v>
      </c>
      <c r="F1264" t="s">
        <v>23</v>
      </c>
      <c r="G1264" t="s">
        <v>23</v>
      </c>
      <c r="J1264" t="s">
        <v>143</v>
      </c>
      <c r="K1264" s="23">
        <v>-26.94</v>
      </c>
      <c r="L1264" t="s">
        <v>24</v>
      </c>
      <c r="M1264" t="s">
        <v>25</v>
      </c>
    </row>
    <row r="1265" spans="1:13" hidden="1" x14ac:dyDescent="0.25">
      <c r="A1265" s="5">
        <v>45932</v>
      </c>
      <c r="B1265" t="s">
        <v>20</v>
      </c>
      <c r="C1265" t="s">
        <v>1037</v>
      </c>
      <c r="D1265" t="s">
        <v>89</v>
      </c>
      <c r="E1265" t="str">
        <f t="shared" si="25"/>
        <v>ADM</v>
      </c>
      <c r="F1265" t="s">
        <v>23</v>
      </c>
      <c r="G1265" t="s">
        <v>23</v>
      </c>
      <c r="J1265" t="s">
        <v>143</v>
      </c>
      <c r="K1265" s="23">
        <v>-195.68</v>
      </c>
      <c r="L1265" t="s">
        <v>24</v>
      </c>
      <c r="M1265" t="s">
        <v>25</v>
      </c>
    </row>
    <row r="1266" spans="1:13" hidden="1" x14ac:dyDescent="0.25">
      <c r="A1266" s="5">
        <v>45932</v>
      </c>
      <c r="B1266" t="s">
        <v>20</v>
      </c>
      <c r="C1266" t="s">
        <v>46</v>
      </c>
      <c r="D1266" t="s">
        <v>30</v>
      </c>
      <c r="E1266" t="str">
        <f t="shared" si="25"/>
        <v>ADM</v>
      </c>
      <c r="F1266" t="s">
        <v>23</v>
      </c>
      <c r="G1266" t="s">
        <v>23</v>
      </c>
      <c r="J1266" t="s">
        <v>17</v>
      </c>
      <c r="K1266" s="23">
        <v>-119.9</v>
      </c>
      <c r="L1266" t="s">
        <v>24</v>
      </c>
      <c r="M1266" t="s">
        <v>25</v>
      </c>
    </row>
    <row r="1267" spans="1:13" hidden="1" x14ac:dyDescent="0.25">
      <c r="A1267" s="5">
        <v>45932</v>
      </c>
      <c r="B1267" t="s">
        <v>20</v>
      </c>
      <c r="C1267" t="s">
        <v>45</v>
      </c>
      <c r="D1267" t="s">
        <v>15</v>
      </c>
      <c r="E1267" t="str">
        <f t="shared" si="25"/>
        <v>ADM</v>
      </c>
      <c r="F1267" t="s">
        <v>23</v>
      </c>
      <c r="G1267" t="s">
        <v>23</v>
      </c>
      <c r="J1267" t="s">
        <v>17</v>
      </c>
      <c r="K1267" s="23">
        <v>1811.21</v>
      </c>
      <c r="L1267" t="s">
        <v>18</v>
      </c>
      <c r="M1267" t="s">
        <v>19</v>
      </c>
    </row>
    <row r="1268" spans="1:13" hidden="1" x14ac:dyDescent="0.25">
      <c r="A1268" s="5">
        <v>45932</v>
      </c>
      <c r="B1268" t="s">
        <v>20</v>
      </c>
      <c r="C1268" t="s">
        <v>1038</v>
      </c>
      <c r="D1268" t="s">
        <v>149</v>
      </c>
      <c r="E1268" t="str">
        <f t="shared" si="25"/>
        <v>ADM</v>
      </c>
      <c r="F1268" t="s">
        <v>23</v>
      </c>
      <c r="G1268" t="s">
        <v>23</v>
      </c>
      <c r="J1268" t="s">
        <v>143</v>
      </c>
      <c r="K1268" s="23">
        <v>-553.05999999999995</v>
      </c>
      <c r="L1268" t="s">
        <v>24</v>
      </c>
      <c r="M1268" t="s">
        <v>25</v>
      </c>
    </row>
    <row r="1269" spans="1:13" hidden="1" x14ac:dyDescent="0.25">
      <c r="A1269" s="5">
        <v>45932</v>
      </c>
      <c r="B1269" t="s">
        <v>568</v>
      </c>
      <c r="C1269" t="s">
        <v>1039</v>
      </c>
      <c r="D1269" t="s">
        <v>56</v>
      </c>
      <c r="E1269" t="str">
        <f t="shared" si="25"/>
        <v>Honorários</v>
      </c>
      <c r="F1269" t="s">
        <v>1040</v>
      </c>
      <c r="G1269" t="s">
        <v>1040</v>
      </c>
      <c r="I1269" t="s">
        <v>196</v>
      </c>
      <c r="J1269" t="s">
        <v>143</v>
      </c>
      <c r="K1269" s="23">
        <v>502.03</v>
      </c>
      <c r="L1269" t="s">
        <v>18</v>
      </c>
      <c r="M1269" t="s">
        <v>19</v>
      </c>
    </row>
    <row r="1270" spans="1:13" hidden="1" x14ac:dyDescent="0.25">
      <c r="A1270" s="5">
        <v>45932</v>
      </c>
      <c r="B1270" t="s">
        <v>20</v>
      </c>
      <c r="C1270" t="s">
        <v>573</v>
      </c>
      <c r="D1270" t="s">
        <v>382</v>
      </c>
      <c r="E1270" t="str">
        <f t="shared" si="25"/>
        <v>PES</v>
      </c>
      <c r="F1270" t="s">
        <v>23</v>
      </c>
      <c r="G1270" t="s">
        <v>23</v>
      </c>
      <c r="J1270" t="s">
        <v>143</v>
      </c>
      <c r="K1270" s="23">
        <v>-59.9</v>
      </c>
      <c r="L1270" t="s">
        <v>24</v>
      </c>
      <c r="M1270" t="s">
        <v>25</v>
      </c>
    </row>
    <row r="1271" spans="1:13" hidden="1" x14ac:dyDescent="0.25">
      <c r="A1271" s="5">
        <v>45932</v>
      </c>
      <c r="B1271" t="s">
        <v>568</v>
      </c>
      <c r="C1271" t="s">
        <v>722</v>
      </c>
      <c r="D1271" t="s">
        <v>56</v>
      </c>
      <c r="E1271" t="str">
        <f t="shared" si="25"/>
        <v>Honorários</v>
      </c>
      <c r="F1271" t="s">
        <v>723</v>
      </c>
      <c r="G1271" t="s">
        <v>723</v>
      </c>
      <c r="I1271" t="s">
        <v>724</v>
      </c>
      <c r="J1271" t="s">
        <v>143</v>
      </c>
      <c r="K1271" s="23">
        <v>500</v>
      </c>
      <c r="L1271" t="s">
        <v>18</v>
      </c>
      <c r="M1271" t="s">
        <v>83</v>
      </c>
    </row>
    <row r="1272" spans="1:13" hidden="1" x14ac:dyDescent="0.25">
      <c r="A1272" s="5">
        <v>45932</v>
      </c>
      <c r="B1272" t="s">
        <v>569</v>
      </c>
      <c r="C1272" t="s">
        <v>640</v>
      </c>
      <c r="D1272" t="s">
        <v>56</v>
      </c>
      <c r="E1272" t="str">
        <f t="shared" si="25"/>
        <v>Honorários</v>
      </c>
      <c r="F1272" t="s">
        <v>1041</v>
      </c>
      <c r="G1272" t="s">
        <v>1041</v>
      </c>
      <c r="I1272" t="s">
        <v>82</v>
      </c>
      <c r="J1272" t="s">
        <v>143</v>
      </c>
      <c r="K1272" s="23">
        <v>1366.2</v>
      </c>
      <c r="L1272" t="s">
        <v>18</v>
      </c>
      <c r="M1272" t="s">
        <v>19</v>
      </c>
    </row>
    <row r="1273" spans="1:13" hidden="1" x14ac:dyDescent="0.25">
      <c r="A1273" s="5">
        <v>45932</v>
      </c>
      <c r="B1273" t="s">
        <v>20</v>
      </c>
      <c r="C1273" t="s">
        <v>41</v>
      </c>
      <c r="D1273" t="s">
        <v>30</v>
      </c>
      <c r="E1273" t="str">
        <f t="shared" si="25"/>
        <v>ADM</v>
      </c>
      <c r="F1273" t="s">
        <v>23</v>
      </c>
      <c r="G1273" t="s">
        <v>23</v>
      </c>
      <c r="J1273" t="s">
        <v>17</v>
      </c>
      <c r="K1273" s="23">
        <v>-49.99</v>
      </c>
      <c r="L1273" t="s">
        <v>24</v>
      </c>
      <c r="M1273" t="s">
        <v>25</v>
      </c>
    </row>
    <row r="1274" spans="1:13" hidden="1" x14ac:dyDescent="0.25">
      <c r="A1274" s="5">
        <v>45932</v>
      </c>
      <c r="B1274" t="s">
        <v>20</v>
      </c>
      <c r="C1274" t="s">
        <v>40</v>
      </c>
      <c r="D1274" t="s">
        <v>30</v>
      </c>
      <c r="E1274" t="str">
        <f t="shared" si="25"/>
        <v>ADM</v>
      </c>
      <c r="F1274" t="s">
        <v>23</v>
      </c>
      <c r="G1274" t="s">
        <v>23</v>
      </c>
      <c r="J1274" t="s">
        <v>17</v>
      </c>
      <c r="K1274" s="23">
        <v>-19.899999999999999</v>
      </c>
      <c r="L1274" t="s">
        <v>24</v>
      </c>
      <c r="M1274" t="s">
        <v>25</v>
      </c>
    </row>
    <row r="1275" spans="1:13" hidden="1" x14ac:dyDescent="0.25">
      <c r="A1275" s="5">
        <v>45932</v>
      </c>
      <c r="B1275" t="s">
        <v>20</v>
      </c>
      <c r="C1275" t="s">
        <v>32</v>
      </c>
      <c r="D1275" t="s">
        <v>30</v>
      </c>
      <c r="E1275" t="str">
        <f t="shared" si="25"/>
        <v>ADM</v>
      </c>
      <c r="F1275" t="s">
        <v>23</v>
      </c>
      <c r="G1275" t="s">
        <v>23</v>
      </c>
      <c r="J1275" t="s">
        <v>17</v>
      </c>
      <c r="K1275" s="23">
        <v>-58.9</v>
      </c>
      <c r="L1275" t="s">
        <v>24</v>
      </c>
      <c r="M1275" t="s">
        <v>25</v>
      </c>
    </row>
    <row r="1276" spans="1:13" hidden="1" x14ac:dyDescent="0.25">
      <c r="A1276" s="5">
        <v>45932</v>
      </c>
      <c r="B1276" t="s">
        <v>20</v>
      </c>
      <c r="C1276" t="s">
        <v>32</v>
      </c>
      <c r="D1276" t="s">
        <v>30</v>
      </c>
      <c r="E1276" t="str">
        <f t="shared" si="25"/>
        <v>ADM</v>
      </c>
      <c r="F1276" t="s">
        <v>23</v>
      </c>
      <c r="G1276" t="s">
        <v>23</v>
      </c>
      <c r="J1276" t="s">
        <v>17</v>
      </c>
      <c r="K1276" s="23">
        <v>-58.9</v>
      </c>
      <c r="L1276" t="s">
        <v>24</v>
      </c>
      <c r="M1276" t="s">
        <v>25</v>
      </c>
    </row>
    <row r="1277" spans="1:13" hidden="1" x14ac:dyDescent="0.25">
      <c r="A1277" s="5">
        <v>45932</v>
      </c>
      <c r="B1277" t="s">
        <v>568</v>
      </c>
      <c r="C1277" t="s">
        <v>1042</v>
      </c>
      <c r="D1277" t="s">
        <v>72</v>
      </c>
      <c r="E1277" t="str">
        <f t="shared" si="25"/>
        <v>FIN</v>
      </c>
      <c r="F1277" t="s">
        <v>788</v>
      </c>
      <c r="G1277" t="s">
        <v>788</v>
      </c>
      <c r="J1277" t="s">
        <v>143</v>
      </c>
      <c r="K1277" s="23">
        <v>-103.85</v>
      </c>
      <c r="L1277" t="s">
        <v>24</v>
      </c>
      <c r="M1277" t="s">
        <v>25</v>
      </c>
    </row>
    <row r="1278" spans="1:13" hidden="1" x14ac:dyDescent="0.25">
      <c r="A1278" s="5">
        <v>45933</v>
      </c>
      <c r="B1278" t="s">
        <v>568</v>
      </c>
      <c r="C1278" t="s">
        <v>843</v>
      </c>
      <c r="D1278" t="s">
        <v>56</v>
      </c>
      <c r="E1278" t="str">
        <f t="shared" si="25"/>
        <v>Honorários</v>
      </c>
      <c r="F1278" t="s">
        <v>483</v>
      </c>
      <c r="G1278" t="s">
        <v>483</v>
      </c>
      <c r="I1278" t="s">
        <v>93</v>
      </c>
      <c r="J1278" t="s">
        <v>143</v>
      </c>
      <c r="K1278" s="23">
        <v>489.47999999999996</v>
      </c>
      <c r="L1278" t="s">
        <v>18</v>
      </c>
      <c r="M1278" t="s">
        <v>19</v>
      </c>
    </row>
    <row r="1279" spans="1:13" hidden="1" x14ac:dyDescent="0.25">
      <c r="A1279" s="5">
        <v>45933</v>
      </c>
      <c r="B1279" t="s">
        <v>569</v>
      </c>
      <c r="C1279" t="s">
        <v>1043</v>
      </c>
      <c r="D1279" t="s">
        <v>99</v>
      </c>
      <c r="E1279" t="str">
        <f t="shared" si="25"/>
        <v>ADM</v>
      </c>
      <c r="F1279" t="s">
        <v>100</v>
      </c>
      <c r="G1279" t="s">
        <v>100</v>
      </c>
      <c r="J1279" t="s">
        <v>143</v>
      </c>
      <c r="K1279" s="23">
        <v>-340</v>
      </c>
      <c r="L1279" t="s">
        <v>24</v>
      </c>
      <c r="M1279" t="s">
        <v>25</v>
      </c>
    </row>
    <row r="1280" spans="1:13" hidden="1" x14ac:dyDescent="0.25">
      <c r="A1280" s="5">
        <v>45933</v>
      </c>
      <c r="B1280" t="s">
        <v>568</v>
      </c>
      <c r="C1280" t="s">
        <v>1044</v>
      </c>
      <c r="D1280" t="s">
        <v>1045</v>
      </c>
      <c r="E1280" t="str">
        <f t="shared" si="25"/>
        <v>ADM</v>
      </c>
      <c r="F1280" t="s">
        <v>1046</v>
      </c>
      <c r="G1280" t="s">
        <v>1046</v>
      </c>
      <c r="J1280" t="s">
        <v>143</v>
      </c>
      <c r="K1280" s="23">
        <v>-1500</v>
      </c>
      <c r="L1280" t="s">
        <v>24</v>
      </c>
      <c r="M1280" t="s">
        <v>25</v>
      </c>
    </row>
    <row r="1281" spans="1:13" hidden="1" x14ac:dyDescent="0.25">
      <c r="A1281" s="5">
        <v>45933</v>
      </c>
      <c r="B1281" t="s">
        <v>569</v>
      </c>
      <c r="C1281" t="s">
        <v>1047</v>
      </c>
      <c r="D1281" t="s">
        <v>28</v>
      </c>
      <c r="E1281" t="str">
        <f t="shared" si="25"/>
        <v>ADM</v>
      </c>
      <c r="F1281" t="s">
        <v>540</v>
      </c>
      <c r="G1281" t="s">
        <v>540</v>
      </c>
      <c r="J1281" t="s">
        <v>143</v>
      </c>
      <c r="K1281" s="23">
        <v>-62.09</v>
      </c>
      <c r="L1281" t="s">
        <v>24</v>
      </c>
      <c r="M1281" t="s">
        <v>25</v>
      </c>
    </row>
    <row r="1282" spans="1:13" hidden="1" x14ac:dyDescent="0.25">
      <c r="A1282" s="5">
        <v>45933</v>
      </c>
      <c r="B1282" t="s">
        <v>569</v>
      </c>
      <c r="C1282" t="s">
        <v>1048</v>
      </c>
      <c r="D1282" t="s">
        <v>900</v>
      </c>
      <c r="E1282" t="str">
        <f t="shared" si="25"/>
        <v>PES</v>
      </c>
      <c r="F1282" t="s">
        <v>875</v>
      </c>
      <c r="G1282" t="s">
        <v>875</v>
      </c>
      <c r="J1282" t="s">
        <v>143</v>
      </c>
      <c r="K1282" s="23">
        <v>-350</v>
      </c>
      <c r="L1282" t="s">
        <v>24</v>
      </c>
      <c r="M1282" t="s">
        <v>25</v>
      </c>
    </row>
    <row r="1283" spans="1:13" hidden="1" x14ac:dyDescent="0.25">
      <c r="A1283" s="5">
        <v>45936</v>
      </c>
      <c r="B1283" t="s">
        <v>569</v>
      </c>
      <c r="C1283" t="s">
        <v>1049</v>
      </c>
      <c r="D1283" t="s">
        <v>448</v>
      </c>
      <c r="E1283" t="str">
        <f t="shared" si="25"/>
        <v>COM</v>
      </c>
      <c r="F1283" t="s">
        <v>1050</v>
      </c>
      <c r="G1283" t="s">
        <v>1050</v>
      </c>
      <c r="J1283" t="s">
        <v>143</v>
      </c>
      <c r="K1283" s="23">
        <v>-112.6</v>
      </c>
      <c r="L1283" t="s">
        <v>24</v>
      </c>
      <c r="M1283" t="s">
        <v>25</v>
      </c>
    </row>
    <row r="1284" spans="1:13" hidden="1" x14ac:dyDescent="0.25">
      <c r="A1284" s="5">
        <v>45936</v>
      </c>
      <c r="B1284" t="s">
        <v>568</v>
      </c>
      <c r="C1284" t="s">
        <v>394</v>
      </c>
      <c r="D1284" t="s">
        <v>96</v>
      </c>
      <c r="E1284" t="str">
        <f t="shared" si="25"/>
        <v>ADM</v>
      </c>
      <c r="F1284" t="s">
        <v>97</v>
      </c>
      <c r="G1284" t="s">
        <v>97</v>
      </c>
      <c r="J1284" t="s">
        <v>17</v>
      </c>
      <c r="K1284" s="23">
        <v>-66.97</v>
      </c>
      <c r="L1284" t="s">
        <v>24</v>
      </c>
      <c r="M1284" t="s">
        <v>25</v>
      </c>
    </row>
    <row r="1285" spans="1:13" hidden="1" x14ac:dyDescent="0.25">
      <c r="A1285" s="5">
        <v>45936</v>
      </c>
      <c r="B1285" t="s">
        <v>568</v>
      </c>
      <c r="C1285" t="s">
        <v>45</v>
      </c>
      <c r="D1285" t="s">
        <v>15</v>
      </c>
      <c r="E1285" t="str">
        <f t="shared" si="25"/>
        <v>ADM</v>
      </c>
      <c r="F1285" t="s">
        <v>23</v>
      </c>
      <c r="G1285" t="s">
        <v>23</v>
      </c>
      <c r="J1285" t="s">
        <v>143</v>
      </c>
      <c r="K1285" s="23">
        <v>-1811.21</v>
      </c>
      <c r="L1285" t="s">
        <v>24</v>
      </c>
      <c r="M1285" t="s">
        <v>25</v>
      </c>
    </row>
    <row r="1286" spans="1:13" hidden="1" x14ac:dyDescent="0.25">
      <c r="A1286" s="5">
        <v>45936</v>
      </c>
      <c r="B1286" t="s">
        <v>568</v>
      </c>
      <c r="C1286" t="s">
        <v>389</v>
      </c>
      <c r="D1286" t="s">
        <v>96</v>
      </c>
      <c r="E1286" t="str">
        <f t="shared" si="25"/>
        <v>ADM</v>
      </c>
      <c r="F1286" t="s">
        <v>97</v>
      </c>
      <c r="G1286" t="s">
        <v>97</v>
      </c>
      <c r="J1286" t="s">
        <v>17</v>
      </c>
      <c r="K1286" s="23">
        <v>-1221.6400000000001</v>
      </c>
      <c r="L1286" t="s">
        <v>24</v>
      </c>
      <c r="M1286" t="s">
        <v>25</v>
      </c>
    </row>
    <row r="1287" spans="1:13" hidden="1" x14ac:dyDescent="0.25">
      <c r="A1287" s="5">
        <v>45936</v>
      </c>
      <c r="B1287" t="s">
        <v>33</v>
      </c>
      <c r="C1287" t="s">
        <v>671</v>
      </c>
      <c r="D1287" t="s">
        <v>15</v>
      </c>
      <c r="E1287" t="str">
        <f t="shared" si="25"/>
        <v>ADM</v>
      </c>
      <c r="F1287" t="s">
        <v>23</v>
      </c>
      <c r="G1287" t="s">
        <v>23</v>
      </c>
      <c r="J1287" t="s">
        <v>143</v>
      </c>
      <c r="K1287" s="23">
        <v>2358.41</v>
      </c>
      <c r="L1287" t="s">
        <v>18</v>
      </c>
      <c r="M1287" t="s">
        <v>19</v>
      </c>
    </row>
    <row r="1288" spans="1:13" hidden="1" x14ac:dyDescent="0.25">
      <c r="A1288" s="5">
        <v>45936</v>
      </c>
      <c r="B1288" t="s">
        <v>33</v>
      </c>
      <c r="C1288" t="s">
        <v>677</v>
      </c>
      <c r="D1288" t="s">
        <v>15</v>
      </c>
      <c r="E1288" t="str">
        <f t="shared" si="25"/>
        <v>ADM</v>
      </c>
      <c r="F1288" t="s">
        <v>23</v>
      </c>
      <c r="G1288" t="s">
        <v>23</v>
      </c>
      <c r="J1288" t="s">
        <v>143</v>
      </c>
      <c r="K1288" s="23">
        <v>-224.99</v>
      </c>
      <c r="L1288" t="s">
        <v>24</v>
      </c>
      <c r="M1288" t="s">
        <v>25</v>
      </c>
    </row>
    <row r="1289" spans="1:13" hidden="1" x14ac:dyDescent="0.25">
      <c r="A1289" s="5">
        <v>45936</v>
      </c>
      <c r="B1289" t="s">
        <v>568</v>
      </c>
      <c r="C1289" t="s">
        <v>118</v>
      </c>
      <c r="D1289" t="s">
        <v>113</v>
      </c>
      <c r="E1289" t="str">
        <f t="shared" si="25"/>
        <v>ADM</v>
      </c>
      <c r="F1289" t="s">
        <v>114</v>
      </c>
      <c r="G1289" t="s">
        <v>114</v>
      </c>
      <c r="J1289" t="s">
        <v>17</v>
      </c>
      <c r="K1289" s="23">
        <v>-137.37</v>
      </c>
      <c r="L1289" t="s">
        <v>24</v>
      </c>
      <c r="M1289" t="s">
        <v>25</v>
      </c>
    </row>
    <row r="1290" spans="1:13" hidden="1" x14ac:dyDescent="0.25">
      <c r="A1290" s="5">
        <v>45936</v>
      </c>
      <c r="B1290" t="s">
        <v>33</v>
      </c>
      <c r="C1290" t="s">
        <v>803</v>
      </c>
      <c r="D1290" t="s">
        <v>508</v>
      </c>
      <c r="E1290" t="str">
        <f t="shared" si="25"/>
        <v>ADM</v>
      </c>
      <c r="F1290" t="s">
        <v>23</v>
      </c>
      <c r="G1290" t="s">
        <v>23</v>
      </c>
      <c r="J1290" t="s">
        <v>143</v>
      </c>
      <c r="K1290" s="23">
        <v>-300.05</v>
      </c>
      <c r="L1290" t="s">
        <v>24</v>
      </c>
      <c r="M1290" t="s">
        <v>25</v>
      </c>
    </row>
    <row r="1291" spans="1:13" hidden="1" x14ac:dyDescent="0.25">
      <c r="A1291" s="5">
        <v>45936</v>
      </c>
      <c r="B1291" t="s">
        <v>33</v>
      </c>
      <c r="C1291" t="s">
        <v>1051</v>
      </c>
      <c r="D1291" t="s">
        <v>224</v>
      </c>
      <c r="E1291" t="str">
        <f t="shared" si="25"/>
        <v>COM</v>
      </c>
      <c r="F1291" t="s">
        <v>23</v>
      </c>
      <c r="G1291" t="s">
        <v>23</v>
      </c>
      <c r="J1291" t="s">
        <v>143</v>
      </c>
      <c r="K1291" s="23">
        <v>-319.41000000000003</v>
      </c>
      <c r="L1291" t="s">
        <v>24</v>
      </c>
      <c r="M1291" t="s">
        <v>25</v>
      </c>
    </row>
    <row r="1292" spans="1:13" hidden="1" x14ac:dyDescent="0.25">
      <c r="A1292" s="5">
        <v>45936</v>
      </c>
      <c r="B1292" t="s">
        <v>33</v>
      </c>
      <c r="C1292" t="s">
        <v>1052</v>
      </c>
      <c r="D1292" t="s">
        <v>224</v>
      </c>
      <c r="E1292" t="str">
        <f t="shared" si="25"/>
        <v>COM</v>
      </c>
      <c r="F1292" t="s">
        <v>788</v>
      </c>
      <c r="G1292" t="s">
        <v>788</v>
      </c>
      <c r="J1292" t="s">
        <v>143</v>
      </c>
      <c r="K1292" s="23">
        <v>-420</v>
      </c>
      <c r="L1292" t="s">
        <v>24</v>
      </c>
      <c r="M1292" t="s">
        <v>25</v>
      </c>
    </row>
    <row r="1293" spans="1:13" hidden="1" x14ac:dyDescent="0.25">
      <c r="A1293" s="5">
        <v>45936</v>
      </c>
      <c r="B1293" t="s">
        <v>568</v>
      </c>
      <c r="C1293" t="s">
        <v>388</v>
      </c>
      <c r="D1293" t="s">
        <v>96</v>
      </c>
      <c r="E1293" t="str">
        <f t="shared" si="25"/>
        <v>ADM</v>
      </c>
      <c r="F1293" t="s">
        <v>97</v>
      </c>
      <c r="G1293" t="s">
        <v>97</v>
      </c>
      <c r="J1293" t="s">
        <v>17</v>
      </c>
      <c r="K1293" s="23">
        <v>-1221.04</v>
      </c>
      <c r="L1293" t="s">
        <v>24</v>
      </c>
      <c r="M1293" t="s">
        <v>25</v>
      </c>
    </row>
    <row r="1294" spans="1:13" hidden="1" x14ac:dyDescent="0.25">
      <c r="A1294" s="5">
        <v>45936</v>
      </c>
      <c r="B1294" t="s">
        <v>33</v>
      </c>
      <c r="C1294" t="s">
        <v>1053</v>
      </c>
      <c r="D1294" t="s">
        <v>224</v>
      </c>
      <c r="E1294" t="str">
        <f t="shared" si="25"/>
        <v>COM</v>
      </c>
      <c r="F1294" t="s">
        <v>788</v>
      </c>
      <c r="G1294" t="s">
        <v>788</v>
      </c>
      <c r="J1294" t="s">
        <v>143</v>
      </c>
      <c r="K1294" s="23">
        <v>-271.8</v>
      </c>
      <c r="L1294" t="s">
        <v>24</v>
      </c>
      <c r="M1294" t="s">
        <v>25</v>
      </c>
    </row>
    <row r="1295" spans="1:13" hidden="1" x14ac:dyDescent="0.25">
      <c r="A1295" s="5">
        <v>45936</v>
      </c>
      <c r="B1295" t="s">
        <v>33</v>
      </c>
      <c r="C1295" t="s">
        <v>1054</v>
      </c>
      <c r="D1295" t="s">
        <v>224</v>
      </c>
      <c r="E1295" t="str">
        <f t="shared" si="25"/>
        <v>COM</v>
      </c>
      <c r="F1295" t="s">
        <v>23</v>
      </c>
      <c r="G1295" t="s">
        <v>23</v>
      </c>
      <c r="J1295" t="s">
        <v>143</v>
      </c>
      <c r="K1295" s="23">
        <v>-242.06</v>
      </c>
      <c r="L1295" t="s">
        <v>24</v>
      </c>
      <c r="M1295" t="s">
        <v>25</v>
      </c>
    </row>
    <row r="1296" spans="1:13" hidden="1" x14ac:dyDescent="0.25">
      <c r="A1296" s="5">
        <v>45936</v>
      </c>
      <c r="B1296" t="s">
        <v>568</v>
      </c>
      <c r="C1296" t="s">
        <v>390</v>
      </c>
      <c r="D1296" t="s">
        <v>96</v>
      </c>
      <c r="E1296" t="str">
        <f t="shared" si="25"/>
        <v>ADM</v>
      </c>
      <c r="F1296" t="s">
        <v>97</v>
      </c>
      <c r="G1296" t="s">
        <v>97</v>
      </c>
      <c r="J1296" t="s">
        <v>17</v>
      </c>
      <c r="K1296" s="23">
        <v>-66.97</v>
      </c>
      <c r="L1296" t="s">
        <v>24</v>
      </c>
      <c r="M1296" t="s">
        <v>25</v>
      </c>
    </row>
    <row r="1297" spans="1:13" hidden="1" x14ac:dyDescent="0.25">
      <c r="A1297" s="5">
        <v>45936</v>
      </c>
      <c r="B1297" t="s">
        <v>569</v>
      </c>
      <c r="C1297" t="s">
        <v>1055</v>
      </c>
      <c r="D1297" t="s">
        <v>611</v>
      </c>
      <c r="E1297" t="str">
        <f t="shared" si="25"/>
        <v>COM</v>
      </c>
      <c r="F1297" t="s">
        <v>1056</v>
      </c>
      <c r="G1297" t="s">
        <v>1056</v>
      </c>
      <c r="J1297" t="s">
        <v>143</v>
      </c>
      <c r="K1297" s="23">
        <v>-50</v>
      </c>
      <c r="L1297" t="s">
        <v>24</v>
      </c>
      <c r="M1297" t="s">
        <v>25</v>
      </c>
    </row>
    <row r="1298" spans="1:13" hidden="1" x14ac:dyDescent="0.25">
      <c r="A1298" s="5">
        <v>45936</v>
      </c>
      <c r="B1298" t="s">
        <v>568</v>
      </c>
      <c r="C1298" t="s">
        <v>391</v>
      </c>
      <c r="D1298" t="s">
        <v>96</v>
      </c>
      <c r="E1298" t="str">
        <f t="shared" si="25"/>
        <v>ADM</v>
      </c>
      <c r="F1298" t="s">
        <v>97</v>
      </c>
      <c r="G1298" t="s">
        <v>97</v>
      </c>
      <c r="J1298" t="s">
        <v>17</v>
      </c>
      <c r="K1298" s="23">
        <v>-66.97</v>
      </c>
      <c r="L1298" t="s">
        <v>24</v>
      </c>
      <c r="M1298" t="s">
        <v>25</v>
      </c>
    </row>
    <row r="1299" spans="1:13" hidden="1" x14ac:dyDescent="0.25">
      <c r="A1299" s="5">
        <v>45936</v>
      </c>
      <c r="B1299" t="s">
        <v>33</v>
      </c>
      <c r="C1299" t="s">
        <v>1057</v>
      </c>
      <c r="D1299" t="s">
        <v>224</v>
      </c>
      <c r="E1299" t="str">
        <f t="shared" ref="E1299:E1362" si="26">IF(ISERROR(FIND("-",D1299,1)),D1299,LEFT(D1299,3))</f>
        <v>COM</v>
      </c>
      <c r="F1299" t="s">
        <v>23</v>
      </c>
      <c r="G1299" t="s">
        <v>23</v>
      </c>
      <c r="J1299" t="s">
        <v>143</v>
      </c>
      <c r="K1299" s="23">
        <v>-236.1</v>
      </c>
      <c r="L1299" t="s">
        <v>24</v>
      </c>
      <c r="M1299" t="s">
        <v>25</v>
      </c>
    </row>
    <row r="1300" spans="1:13" hidden="1" x14ac:dyDescent="0.25">
      <c r="A1300" s="5">
        <v>45936</v>
      </c>
      <c r="B1300" t="s">
        <v>569</v>
      </c>
      <c r="C1300" t="s">
        <v>1058</v>
      </c>
      <c r="D1300" t="s">
        <v>28</v>
      </c>
      <c r="E1300" t="str">
        <f t="shared" si="26"/>
        <v>ADM</v>
      </c>
      <c r="F1300" t="s">
        <v>540</v>
      </c>
      <c r="G1300" t="s">
        <v>540</v>
      </c>
      <c r="J1300" t="s">
        <v>143</v>
      </c>
      <c r="K1300" s="23">
        <v>-19.899999999999999</v>
      </c>
      <c r="L1300" t="s">
        <v>24</v>
      </c>
      <c r="M1300" t="s">
        <v>25</v>
      </c>
    </row>
    <row r="1301" spans="1:13" hidden="1" x14ac:dyDescent="0.25">
      <c r="A1301" s="5">
        <v>45936</v>
      </c>
      <c r="B1301" t="s">
        <v>33</v>
      </c>
      <c r="C1301" t="s">
        <v>1052</v>
      </c>
      <c r="D1301" t="s">
        <v>224</v>
      </c>
      <c r="E1301" t="str">
        <f t="shared" si="26"/>
        <v>COM</v>
      </c>
      <c r="F1301" t="s">
        <v>788</v>
      </c>
      <c r="G1301" t="s">
        <v>788</v>
      </c>
      <c r="J1301" t="s">
        <v>143</v>
      </c>
      <c r="K1301" s="23">
        <v>-344</v>
      </c>
      <c r="L1301" t="s">
        <v>24</v>
      </c>
      <c r="M1301" t="s">
        <v>25</v>
      </c>
    </row>
    <row r="1302" spans="1:13" hidden="1" x14ac:dyDescent="0.25">
      <c r="A1302" s="5">
        <v>45936</v>
      </c>
      <c r="B1302" t="s">
        <v>568</v>
      </c>
      <c r="C1302" t="s">
        <v>393</v>
      </c>
      <c r="D1302" t="s">
        <v>96</v>
      </c>
      <c r="E1302" t="str">
        <f t="shared" si="26"/>
        <v>ADM</v>
      </c>
      <c r="F1302" t="s">
        <v>97</v>
      </c>
      <c r="G1302" t="s">
        <v>97</v>
      </c>
      <c r="J1302" t="s">
        <v>17</v>
      </c>
      <c r="K1302" s="23">
        <v>-66.97</v>
      </c>
      <c r="L1302" t="s">
        <v>24</v>
      </c>
      <c r="M1302" t="s">
        <v>25</v>
      </c>
    </row>
    <row r="1303" spans="1:13" hidden="1" x14ac:dyDescent="0.25">
      <c r="A1303" s="5">
        <v>45936</v>
      </c>
      <c r="B1303" t="s">
        <v>568</v>
      </c>
      <c r="C1303" t="s">
        <v>392</v>
      </c>
      <c r="D1303" t="s">
        <v>96</v>
      </c>
      <c r="E1303" t="str">
        <f t="shared" si="26"/>
        <v>ADM</v>
      </c>
      <c r="F1303" t="s">
        <v>97</v>
      </c>
      <c r="G1303" t="s">
        <v>97</v>
      </c>
      <c r="J1303" t="s">
        <v>17</v>
      </c>
      <c r="K1303" s="23">
        <v>-66.97</v>
      </c>
      <c r="L1303" t="s">
        <v>24</v>
      </c>
      <c r="M1303" t="s">
        <v>25</v>
      </c>
    </row>
    <row r="1304" spans="1:13" hidden="1" x14ac:dyDescent="0.25">
      <c r="A1304" s="5">
        <v>45937</v>
      </c>
      <c r="B1304" t="s">
        <v>569</v>
      </c>
      <c r="C1304" t="s">
        <v>1059</v>
      </c>
      <c r="D1304" t="s">
        <v>300</v>
      </c>
      <c r="E1304" t="str">
        <f t="shared" si="26"/>
        <v>VAR</v>
      </c>
      <c r="F1304" t="s">
        <v>1060</v>
      </c>
      <c r="G1304" t="s">
        <v>1060</v>
      </c>
      <c r="J1304" t="s">
        <v>143</v>
      </c>
      <c r="K1304" s="23">
        <v>-100</v>
      </c>
      <c r="L1304" t="s">
        <v>24</v>
      </c>
      <c r="M1304" t="s">
        <v>25</v>
      </c>
    </row>
    <row r="1305" spans="1:13" hidden="1" x14ac:dyDescent="0.25">
      <c r="A1305" s="5">
        <v>45937</v>
      </c>
      <c r="B1305" t="s">
        <v>569</v>
      </c>
      <c r="C1305" t="s">
        <v>1061</v>
      </c>
      <c r="D1305" t="s">
        <v>300</v>
      </c>
      <c r="E1305" t="str">
        <f t="shared" si="26"/>
        <v>VAR</v>
      </c>
      <c r="F1305" t="s">
        <v>1062</v>
      </c>
      <c r="G1305" t="s">
        <v>1062</v>
      </c>
      <c r="J1305" t="s">
        <v>143</v>
      </c>
      <c r="K1305" s="23">
        <v>-300</v>
      </c>
      <c r="L1305" t="s">
        <v>24</v>
      </c>
      <c r="M1305" t="s">
        <v>25</v>
      </c>
    </row>
    <row r="1306" spans="1:13" hidden="1" x14ac:dyDescent="0.25">
      <c r="A1306" s="5">
        <v>45937</v>
      </c>
      <c r="B1306" t="s">
        <v>569</v>
      </c>
      <c r="C1306" t="s">
        <v>1063</v>
      </c>
      <c r="D1306" t="s">
        <v>300</v>
      </c>
      <c r="E1306" t="str">
        <f t="shared" si="26"/>
        <v>VAR</v>
      </c>
      <c r="F1306" t="s">
        <v>1064</v>
      </c>
      <c r="G1306" t="s">
        <v>1064</v>
      </c>
      <c r="J1306" t="s">
        <v>143</v>
      </c>
      <c r="K1306" s="23">
        <v>-300</v>
      </c>
      <c r="L1306" t="s">
        <v>24</v>
      </c>
      <c r="M1306" t="s">
        <v>25</v>
      </c>
    </row>
    <row r="1307" spans="1:13" hidden="1" x14ac:dyDescent="0.25">
      <c r="A1307" s="5">
        <v>45937</v>
      </c>
      <c r="B1307" t="s">
        <v>569</v>
      </c>
      <c r="C1307" t="s">
        <v>1065</v>
      </c>
      <c r="D1307" t="s">
        <v>300</v>
      </c>
      <c r="E1307" t="str">
        <f t="shared" si="26"/>
        <v>VAR</v>
      </c>
      <c r="F1307" t="s">
        <v>1066</v>
      </c>
      <c r="G1307" t="s">
        <v>1066</v>
      </c>
      <c r="J1307" t="s">
        <v>143</v>
      </c>
      <c r="K1307" s="23">
        <v>-100</v>
      </c>
      <c r="L1307" t="s">
        <v>24</v>
      </c>
      <c r="M1307" t="s">
        <v>25</v>
      </c>
    </row>
    <row r="1308" spans="1:13" hidden="1" x14ac:dyDescent="0.25">
      <c r="A1308" s="5">
        <v>45938</v>
      </c>
      <c r="B1308" t="s">
        <v>568</v>
      </c>
      <c r="C1308" t="s">
        <v>437</v>
      </c>
      <c r="D1308" t="s">
        <v>113</v>
      </c>
      <c r="E1308" t="str">
        <f t="shared" si="26"/>
        <v>ADM</v>
      </c>
      <c r="F1308" t="s">
        <v>438</v>
      </c>
      <c r="G1308" t="s">
        <v>438</v>
      </c>
      <c r="J1308" t="s">
        <v>17</v>
      </c>
      <c r="K1308" s="23">
        <v>-260.58</v>
      </c>
      <c r="L1308" t="s">
        <v>24</v>
      </c>
      <c r="M1308" t="s">
        <v>25</v>
      </c>
    </row>
    <row r="1309" spans="1:13" hidden="1" x14ac:dyDescent="0.25">
      <c r="A1309" s="5">
        <v>45938</v>
      </c>
      <c r="B1309" t="s">
        <v>568</v>
      </c>
      <c r="C1309" t="s">
        <v>1067</v>
      </c>
      <c r="D1309" t="s">
        <v>149</v>
      </c>
      <c r="E1309" t="str">
        <f t="shared" si="26"/>
        <v>ADM</v>
      </c>
      <c r="F1309" t="s">
        <v>1000</v>
      </c>
      <c r="G1309" t="s">
        <v>1000</v>
      </c>
      <c r="J1309" t="s">
        <v>143</v>
      </c>
      <c r="K1309" s="23">
        <v>-3300</v>
      </c>
      <c r="L1309" t="s">
        <v>24</v>
      </c>
      <c r="M1309" t="s">
        <v>25</v>
      </c>
    </row>
    <row r="1310" spans="1:13" hidden="1" x14ac:dyDescent="0.25">
      <c r="A1310" s="5">
        <v>45938</v>
      </c>
      <c r="B1310" t="s">
        <v>568</v>
      </c>
      <c r="C1310" t="s">
        <v>1068</v>
      </c>
      <c r="D1310" t="s">
        <v>149</v>
      </c>
      <c r="E1310" t="str">
        <f t="shared" si="26"/>
        <v>ADM</v>
      </c>
      <c r="F1310" t="s">
        <v>1000</v>
      </c>
      <c r="G1310" t="s">
        <v>1000</v>
      </c>
      <c r="J1310" t="s">
        <v>143</v>
      </c>
      <c r="K1310" s="23">
        <v>-700</v>
      </c>
      <c r="L1310" t="s">
        <v>24</v>
      </c>
      <c r="M1310" t="s">
        <v>25</v>
      </c>
    </row>
    <row r="1311" spans="1:13" hidden="1" x14ac:dyDescent="0.25">
      <c r="A1311" s="5">
        <v>45939</v>
      </c>
      <c r="B1311" t="s">
        <v>568</v>
      </c>
      <c r="C1311" t="s">
        <v>1069</v>
      </c>
      <c r="D1311" t="s">
        <v>1070</v>
      </c>
      <c r="E1311" t="str">
        <f t="shared" si="26"/>
        <v>PES</v>
      </c>
      <c r="F1311" t="s">
        <v>1050</v>
      </c>
      <c r="G1311" t="s">
        <v>1050</v>
      </c>
      <c r="J1311" t="s">
        <v>143</v>
      </c>
      <c r="K1311" s="23">
        <v>-131.5</v>
      </c>
      <c r="L1311" t="s">
        <v>24</v>
      </c>
      <c r="M1311" t="s">
        <v>25</v>
      </c>
    </row>
    <row r="1312" spans="1:13" hidden="1" x14ac:dyDescent="0.25">
      <c r="A1312" s="5">
        <v>45939</v>
      </c>
      <c r="B1312" t="s">
        <v>569</v>
      </c>
      <c r="C1312" t="s">
        <v>1071</v>
      </c>
      <c r="D1312" t="s">
        <v>626</v>
      </c>
      <c r="E1312" t="str">
        <f t="shared" si="26"/>
        <v>Reembolso</v>
      </c>
      <c r="F1312" t="s">
        <v>875</v>
      </c>
      <c r="G1312" t="s">
        <v>875</v>
      </c>
      <c r="J1312" t="s">
        <v>143</v>
      </c>
      <c r="K1312" s="23">
        <v>-34.799999999999997</v>
      </c>
      <c r="L1312" t="s">
        <v>24</v>
      </c>
      <c r="M1312" t="s">
        <v>25</v>
      </c>
    </row>
    <row r="1313" spans="1:13" hidden="1" x14ac:dyDescent="0.25">
      <c r="A1313" s="5">
        <v>45939</v>
      </c>
      <c r="B1313" t="s">
        <v>569</v>
      </c>
      <c r="C1313" t="s">
        <v>1072</v>
      </c>
      <c r="D1313" t="s">
        <v>77</v>
      </c>
      <c r="E1313" t="str">
        <f t="shared" si="26"/>
        <v>Despesa do cliente</v>
      </c>
      <c r="F1313" t="s">
        <v>1073</v>
      </c>
      <c r="G1313" t="s">
        <v>1073</v>
      </c>
      <c r="I1313" t="s">
        <v>75</v>
      </c>
      <c r="J1313" t="s">
        <v>143</v>
      </c>
      <c r="K1313" s="23">
        <v>-166.98</v>
      </c>
      <c r="L1313" t="s">
        <v>24</v>
      </c>
      <c r="M1313" t="s">
        <v>25</v>
      </c>
    </row>
    <row r="1314" spans="1:13" hidden="1" x14ac:dyDescent="0.25">
      <c r="A1314" s="5">
        <v>45939</v>
      </c>
      <c r="B1314" t="s">
        <v>568</v>
      </c>
      <c r="C1314" t="s">
        <v>1074</v>
      </c>
      <c r="D1314" t="s">
        <v>1070</v>
      </c>
      <c r="E1314" t="str">
        <f t="shared" si="26"/>
        <v>PES</v>
      </c>
      <c r="F1314" t="s">
        <v>1050</v>
      </c>
      <c r="G1314" t="s">
        <v>1050</v>
      </c>
      <c r="J1314" t="s">
        <v>143</v>
      </c>
      <c r="K1314" s="23">
        <v>-1200</v>
      </c>
      <c r="L1314" t="s">
        <v>24</v>
      </c>
      <c r="M1314" t="s">
        <v>25</v>
      </c>
    </row>
    <row r="1315" spans="1:13" hidden="1" x14ac:dyDescent="0.25">
      <c r="A1315" s="5">
        <v>45939</v>
      </c>
      <c r="B1315" t="s">
        <v>568</v>
      </c>
      <c r="C1315" t="s">
        <v>1075</v>
      </c>
      <c r="D1315" s="17" t="s">
        <v>15</v>
      </c>
      <c r="E1315" t="str">
        <f t="shared" si="26"/>
        <v>ADM</v>
      </c>
      <c r="F1315" t="s">
        <v>23</v>
      </c>
      <c r="G1315" t="s">
        <v>23</v>
      </c>
      <c r="J1315" t="s">
        <v>143</v>
      </c>
      <c r="K1315" s="23">
        <v>-2358.41</v>
      </c>
      <c r="L1315" t="s">
        <v>24</v>
      </c>
      <c r="M1315" t="s">
        <v>25</v>
      </c>
    </row>
    <row r="1316" spans="1:13" hidden="1" x14ac:dyDescent="0.25">
      <c r="A1316" s="5">
        <v>45939</v>
      </c>
      <c r="B1316" t="s">
        <v>568</v>
      </c>
      <c r="C1316" t="s">
        <v>1076</v>
      </c>
      <c r="D1316" t="s">
        <v>308</v>
      </c>
      <c r="E1316" t="str">
        <f t="shared" si="26"/>
        <v>T&amp;O</v>
      </c>
      <c r="F1316" t="s">
        <v>1050</v>
      </c>
      <c r="G1316" t="s">
        <v>1050</v>
      </c>
      <c r="J1316" t="s">
        <v>143</v>
      </c>
      <c r="K1316" s="23">
        <v>-2.5</v>
      </c>
      <c r="L1316" t="s">
        <v>24</v>
      </c>
      <c r="M1316" t="s">
        <v>25</v>
      </c>
    </row>
    <row r="1317" spans="1:13" hidden="1" x14ac:dyDescent="0.25">
      <c r="A1317" s="5">
        <v>45939</v>
      </c>
      <c r="B1317" t="s">
        <v>569</v>
      </c>
      <c r="C1317" t="s">
        <v>1077</v>
      </c>
      <c r="D1317" t="s">
        <v>52</v>
      </c>
      <c r="E1317" t="str">
        <f t="shared" si="26"/>
        <v>ADM</v>
      </c>
      <c r="F1317" t="s">
        <v>1078</v>
      </c>
      <c r="G1317" t="s">
        <v>1078</v>
      </c>
      <c r="J1317" t="s">
        <v>143</v>
      </c>
      <c r="K1317" s="23">
        <v>-759</v>
      </c>
      <c r="L1317" t="s">
        <v>24</v>
      </c>
      <c r="M1317" t="s">
        <v>25</v>
      </c>
    </row>
    <row r="1318" spans="1:13" hidden="1" x14ac:dyDescent="0.25">
      <c r="A1318" s="5">
        <v>45940</v>
      </c>
      <c r="B1318" t="s">
        <v>569</v>
      </c>
      <c r="C1318" t="s">
        <v>1079</v>
      </c>
      <c r="D1318" t="s">
        <v>900</v>
      </c>
      <c r="E1318" t="str">
        <f t="shared" si="26"/>
        <v>PES</v>
      </c>
      <c r="F1318" t="s">
        <v>875</v>
      </c>
      <c r="G1318" t="s">
        <v>875</v>
      </c>
      <c r="J1318" t="s">
        <v>143</v>
      </c>
      <c r="K1318" s="23">
        <v>-550</v>
      </c>
      <c r="L1318" t="s">
        <v>24</v>
      </c>
      <c r="M1318" t="s">
        <v>25</v>
      </c>
    </row>
    <row r="1319" spans="1:13" hidden="1" x14ac:dyDescent="0.25">
      <c r="A1319" s="5">
        <v>45940</v>
      </c>
      <c r="B1319" t="s">
        <v>569</v>
      </c>
      <c r="C1319" t="s">
        <v>119</v>
      </c>
      <c r="D1319" t="s">
        <v>72</v>
      </c>
      <c r="E1319" t="str">
        <f t="shared" si="26"/>
        <v>FIN</v>
      </c>
      <c r="F1319" t="s">
        <v>120</v>
      </c>
      <c r="G1319" t="s">
        <v>120</v>
      </c>
      <c r="J1319" t="s">
        <v>17</v>
      </c>
      <c r="K1319" s="23">
        <v>-7.95</v>
      </c>
      <c r="L1319" t="s">
        <v>24</v>
      </c>
      <c r="M1319" t="s">
        <v>25</v>
      </c>
    </row>
    <row r="1320" spans="1:13" hidden="1" x14ac:dyDescent="0.25">
      <c r="A1320" s="5">
        <v>45940</v>
      </c>
      <c r="B1320" t="s">
        <v>569</v>
      </c>
      <c r="C1320" t="s">
        <v>1043</v>
      </c>
      <c r="D1320" t="s">
        <v>99</v>
      </c>
      <c r="E1320" t="str">
        <f t="shared" si="26"/>
        <v>ADM</v>
      </c>
      <c r="F1320" t="s">
        <v>100</v>
      </c>
      <c r="G1320" t="s">
        <v>100</v>
      </c>
      <c r="J1320" t="s">
        <v>143</v>
      </c>
      <c r="K1320" s="23">
        <v>-340</v>
      </c>
      <c r="L1320" t="s">
        <v>24</v>
      </c>
      <c r="M1320" t="s">
        <v>25</v>
      </c>
    </row>
    <row r="1321" spans="1:13" hidden="1" x14ac:dyDescent="0.25">
      <c r="A1321" s="5">
        <v>45940</v>
      </c>
      <c r="B1321" t="s">
        <v>568</v>
      </c>
      <c r="C1321" t="s">
        <v>965</v>
      </c>
      <c r="D1321" t="s">
        <v>56</v>
      </c>
      <c r="E1321" t="str">
        <f t="shared" si="26"/>
        <v>Honorários</v>
      </c>
      <c r="F1321" t="s">
        <v>966</v>
      </c>
      <c r="G1321" t="s">
        <v>966</v>
      </c>
      <c r="I1321" t="s">
        <v>605</v>
      </c>
      <c r="J1321" t="s">
        <v>143</v>
      </c>
      <c r="K1321" s="23">
        <v>1030.8400000000001</v>
      </c>
      <c r="L1321" t="s">
        <v>18</v>
      </c>
      <c r="M1321" t="s">
        <v>19</v>
      </c>
    </row>
    <row r="1322" spans="1:13" hidden="1" x14ac:dyDescent="0.25">
      <c r="A1322" s="5">
        <v>45940</v>
      </c>
      <c r="B1322" t="s">
        <v>568</v>
      </c>
      <c r="C1322" t="s">
        <v>127</v>
      </c>
      <c r="D1322" t="s">
        <v>128</v>
      </c>
      <c r="E1322" t="str">
        <f t="shared" si="26"/>
        <v>PES</v>
      </c>
      <c r="F1322" t="s">
        <v>129</v>
      </c>
      <c r="G1322" t="s">
        <v>129</v>
      </c>
      <c r="J1322" t="s">
        <v>17</v>
      </c>
      <c r="K1322" s="23">
        <v>-106.73</v>
      </c>
      <c r="L1322" t="s">
        <v>24</v>
      </c>
      <c r="M1322" t="s">
        <v>25</v>
      </c>
    </row>
    <row r="1323" spans="1:13" hidden="1" x14ac:dyDescent="0.25">
      <c r="A1323" s="5">
        <v>45940</v>
      </c>
      <c r="B1323" t="s">
        <v>569</v>
      </c>
      <c r="C1323" t="s">
        <v>932</v>
      </c>
      <c r="D1323" t="s">
        <v>56</v>
      </c>
      <c r="E1323" t="str">
        <f t="shared" si="26"/>
        <v>Honorários</v>
      </c>
      <c r="F1323" t="s">
        <v>933</v>
      </c>
      <c r="G1323" t="s">
        <v>933</v>
      </c>
      <c r="I1323" t="s">
        <v>934</v>
      </c>
      <c r="J1323" t="s">
        <v>143</v>
      </c>
      <c r="K1323" s="23">
        <v>1500</v>
      </c>
      <c r="L1323" t="s">
        <v>18</v>
      </c>
      <c r="M1323" t="s">
        <v>19</v>
      </c>
    </row>
    <row r="1324" spans="1:13" hidden="1" x14ac:dyDescent="0.25">
      <c r="A1324" s="5">
        <v>45943</v>
      </c>
      <c r="B1324" t="s">
        <v>13</v>
      </c>
      <c r="C1324" t="s">
        <v>14</v>
      </c>
      <c r="D1324" t="s">
        <v>15</v>
      </c>
      <c r="E1324" t="str">
        <f t="shared" si="26"/>
        <v>ADM</v>
      </c>
      <c r="F1324" t="s">
        <v>16</v>
      </c>
      <c r="G1324" t="s">
        <v>16</v>
      </c>
      <c r="J1324" t="s">
        <v>143</v>
      </c>
      <c r="K1324" s="23">
        <v>1116.07</v>
      </c>
      <c r="L1324" t="s">
        <v>18</v>
      </c>
      <c r="M1324" t="s">
        <v>19</v>
      </c>
    </row>
    <row r="1325" spans="1:13" hidden="1" x14ac:dyDescent="0.25">
      <c r="A1325" s="5">
        <v>45943</v>
      </c>
      <c r="B1325" t="s">
        <v>568</v>
      </c>
      <c r="C1325" t="s">
        <v>763</v>
      </c>
      <c r="D1325" t="s">
        <v>56</v>
      </c>
      <c r="E1325" t="str">
        <f t="shared" si="26"/>
        <v>Honorários</v>
      </c>
      <c r="F1325" t="s">
        <v>764</v>
      </c>
      <c r="G1325" t="s">
        <v>764</v>
      </c>
      <c r="I1325" t="s">
        <v>93</v>
      </c>
      <c r="J1325" t="s">
        <v>143</v>
      </c>
      <c r="K1325" s="23">
        <v>707.94999999999993</v>
      </c>
      <c r="L1325" t="s">
        <v>18</v>
      </c>
      <c r="M1325" t="s">
        <v>19</v>
      </c>
    </row>
    <row r="1326" spans="1:13" hidden="1" x14ac:dyDescent="0.25">
      <c r="A1326" s="5">
        <v>45943</v>
      </c>
      <c r="B1326" t="s">
        <v>13</v>
      </c>
      <c r="C1326" t="s">
        <v>1080</v>
      </c>
      <c r="D1326" t="s">
        <v>382</v>
      </c>
      <c r="E1326" t="str">
        <f t="shared" si="26"/>
        <v>PES</v>
      </c>
      <c r="F1326" t="s">
        <v>955</v>
      </c>
      <c r="G1326" t="s">
        <v>955</v>
      </c>
      <c r="J1326" t="s">
        <v>143</v>
      </c>
      <c r="K1326" s="23">
        <v>-229</v>
      </c>
      <c r="L1326" t="s">
        <v>24</v>
      </c>
      <c r="M1326" t="s">
        <v>25</v>
      </c>
    </row>
    <row r="1327" spans="1:13" hidden="1" x14ac:dyDescent="0.25">
      <c r="A1327" s="5">
        <v>45943</v>
      </c>
      <c r="B1327" t="s">
        <v>13</v>
      </c>
      <c r="C1327" t="s">
        <v>29</v>
      </c>
      <c r="D1327" t="s">
        <v>30</v>
      </c>
      <c r="E1327" t="str">
        <f t="shared" si="26"/>
        <v>ADM</v>
      </c>
      <c r="F1327" t="s">
        <v>16</v>
      </c>
      <c r="G1327" t="s">
        <v>16</v>
      </c>
      <c r="J1327" t="s">
        <v>17</v>
      </c>
      <c r="K1327" s="23">
        <v>-653.29999999999995</v>
      </c>
      <c r="L1327" t="s">
        <v>24</v>
      </c>
      <c r="M1327" t="s">
        <v>25</v>
      </c>
    </row>
    <row r="1328" spans="1:13" hidden="1" x14ac:dyDescent="0.25">
      <c r="A1328" s="5">
        <v>45943</v>
      </c>
      <c r="B1328" t="s">
        <v>13</v>
      </c>
      <c r="C1328" t="s">
        <v>1081</v>
      </c>
      <c r="D1328" t="s">
        <v>30</v>
      </c>
      <c r="E1328" t="str">
        <f t="shared" si="26"/>
        <v>ADM</v>
      </c>
      <c r="F1328" t="s">
        <v>1082</v>
      </c>
      <c r="G1328" t="s">
        <v>1082</v>
      </c>
      <c r="J1328" t="s">
        <v>143</v>
      </c>
      <c r="K1328" s="23">
        <v>-111.57</v>
      </c>
      <c r="L1328" t="s">
        <v>24</v>
      </c>
      <c r="M1328" t="s">
        <v>25</v>
      </c>
    </row>
    <row r="1329" spans="1:13" hidden="1" x14ac:dyDescent="0.25">
      <c r="A1329" s="5">
        <v>45943</v>
      </c>
      <c r="B1329" t="s">
        <v>569</v>
      </c>
      <c r="C1329" t="s">
        <v>1083</v>
      </c>
      <c r="D1329" t="s">
        <v>300</v>
      </c>
      <c r="E1329" t="str">
        <f t="shared" si="26"/>
        <v>VAR</v>
      </c>
      <c r="F1329" t="s">
        <v>933</v>
      </c>
      <c r="G1329" t="s">
        <v>933</v>
      </c>
      <c r="I1329" t="s">
        <v>934</v>
      </c>
      <c r="J1329" t="s">
        <v>143</v>
      </c>
      <c r="K1329" s="23">
        <v>-750</v>
      </c>
      <c r="L1329" t="s">
        <v>24</v>
      </c>
      <c r="M1329" t="s">
        <v>25</v>
      </c>
    </row>
    <row r="1330" spans="1:13" hidden="1" x14ac:dyDescent="0.25">
      <c r="A1330" s="5">
        <v>45943</v>
      </c>
      <c r="B1330" t="s">
        <v>13</v>
      </c>
      <c r="C1330" t="s">
        <v>35</v>
      </c>
      <c r="D1330" t="s">
        <v>508</v>
      </c>
      <c r="E1330" t="str">
        <f t="shared" si="26"/>
        <v>ADM</v>
      </c>
      <c r="F1330" t="s">
        <v>1084</v>
      </c>
      <c r="G1330" t="s">
        <v>1084</v>
      </c>
      <c r="J1330" t="s">
        <v>143</v>
      </c>
      <c r="K1330" s="23">
        <v>-118.3</v>
      </c>
      <c r="L1330" t="s">
        <v>24</v>
      </c>
      <c r="M1330" t="s">
        <v>25</v>
      </c>
    </row>
    <row r="1331" spans="1:13" hidden="1" x14ac:dyDescent="0.25">
      <c r="A1331" s="5">
        <v>45943</v>
      </c>
      <c r="B1331" t="s">
        <v>13</v>
      </c>
      <c r="C1331" t="s">
        <v>1081</v>
      </c>
      <c r="D1331" t="s">
        <v>30</v>
      </c>
      <c r="E1331" t="str">
        <f t="shared" si="26"/>
        <v>ADM</v>
      </c>
      <c r="F1331" t="s">
        <v>1082</v>
      </c>
      <c r="G1331" t="s">
        <v>1082</v>
      </c>
      <c r="J1331" t="s">
        <v>143</v>
      </c>
      <c r="K1331" s="23">
        <v>-3.9</v>
      </c>
      <c r="L1331" t="s">
        <v>24</v>
      </c>
      <c r="M1331" t="s">
        <v>25</v>
      </c>
    </row>
    <row r="1332" spans="1:13" hidden="1" x14ac:dyDescent="0.25">
      <c r="A1332" s="5">
        <v>45944</v>
      </c>
      <c r="B1332" t="s">
        <v>568</v>
      </c>
      <c r="C1332" t="s">
        <v>1085</v>
      </c>
      <c r="D1332" t="s">
        <v>149</v>
      </c>
      <c r="E1332" t="str">
        <f t="shared" si="26"/>
        <v>ADM</v>
      </c>
      <c r="F1332" t="s">
        <v>1035</v>
      </c>
      <c r="G1332" t="s">
        <v>1035</v>
      </c>
      <c r="J1332" t="s">
        <v>143</v>
      </c>
      <c r="K1332" s="23">
        <v>-900</v>
      </c>
      <c r="L1332" t="s">
        <v>24</v>
      </c>
      <c r="M1332" t="s">
        <v>25</v>
      </c>
    </row>
    <row r="1333" spans="1:13" hidden="1" x14ac:dyDescent="0.25">
      <c r="A1333" s="5">
        <v>45944</v>
      </c>
      <c r="B1333" t="s">
        <v>569</v>
      </c>
      <c r="C1333" t="s">
        <v>1086</v>
      </c>
      <c r="D1333" t="s">
        <v>56</v>
      </c>
      <c r="E1333" t="str">
        <f t="shared" si="26"/>
        <v>Honorários</v>
      </c>
      <c r="F1333" t="s">
        <v>313</v>
      </c>
      <c r="G1333" t="s">
        <v>313</v>
      </c>
      <c r="I1333" t="s">
        <v>75</v>
      </c>
      <c r="J1333" t="s">
        <v>143</v>
      </c>
      <c r="K1333" s="23">
        <v>2154.7800000000002</v>
      </c>
      <c r="L1333" t="s">
        <v>18</v>
      </c>
      <c r="M1333" t="s">
        <v>19</v>
      </c>
    </row>
    <row r="1334" spans="1:13" hidden="1" x14ac:dyDescent="0.25">
      <c r="A1334" s="5">
        <v>45945</v>
      </c>
      <c r="B1334" t="s">
        <v>569</v>
      </c>
      <c r="C1334" t="s">
        <v>1087</v>
      </c>
      <c r="D1334" t="s">
        <v>28</v>
      </c>
      <c r="E1334" t="str">
        <f t="shared" si="26"/>
        <v>ADM</v>
      </c>
      <c r="F1334" t="s">
        <v>1088</v>
      </c>
      <c r="G1334" t="s">
        <v>1088</v>
      </c>
      <c r="J1334" t="s">
        <v>143</v>
      </c>
      <c r="K1334" s="23">
        <v>-23.58</v>
      </c>
      <c r="L1334" t="s">
        <v>24</v>
      </c>
      <c r="M1334" t="s">
        <v>25</v>
      </c>
    </row>
    <row r="1335" spans="1:13" hidden="1" x14ac:dyDescent="0.25">
      <c r="A1335" s="5">
        <v>45945</v>
      </c>
      <c r="B1335" t="s">
        <v>569</v>
      </c>
      <c r="C1335" t="s">
        <v>1089</v>
      </c>
      <c r="D1335" t="s">
        <v>224</v>
      </c>
      <c r="E1335" t="str">
        <f t="shared" si="26"/>
        <v>COM</v>
      </c>
      <c r="F1335" t="s">
        <v>1090</v>
      </c>
      <c r="G1335" t="s">
        <v>1090</v>
      </c>
      <c r="J1335" t="s">
        <v>143</v>
      </c>
      <c r="K1335" s="23">
        <v>-7.4</v>
      </c>
      <c r="L1335" t="s">
        <v>24</v>
      </c>
      <c r="M1335" t="s">
        <v>25</v>
      </c>
    </row>
    <row r="1336" spans="1:13" hidden="1" x14ac:dyDescent="0.25">
      <c r="A1336" s="5">
        <v>45945</v>
      </c>
      <c r="B1336" t="s">
        <v>569</v>
      </c>
      <c r="C1336" t="s">
        <v>1091</v>
      </c>
      <c r="D1336" t="s">
        <v>224</v>
      </c>
      <c r="E1336" t="str">
        <f t="shared" si="26"/>
        <v>COM</v>
      </c>
      <c r="F1336" t="s">
        <v>1090</v>
      </c>
      <c r="G1336" t="s">
        <v>1090</v>
      </c>
      <c r="J1336" t="s">
        <v>143</v>
      </c>
      <c r="K1336" s="23">
        <v>-5.4</v>
      </c>
      <c r="L1336" t="s">
        <v>24</v>
      </c>
      <c r="M1336" t="s">
        <v>25</v>
      </c>
    </row>
    <row r="1337" spans="1:13" hidden="1" x14ac:dyDescent="0.25">
      <c r="A1337" s="5">
        <v>45945</v>
      </c>
      <c r="B1337" t="s">
        <v>568</v>
      </c>
      <c r="C1337" t="s">
        <v>754</v>
      </c>
      <c r="D1337" t="s">
        <v>56</v>
      </c>
      <c r="E1337" t="str">
        <f t="shared" si="26"/>
        <v>Honorários</v>
      </c>
      <c r="F1337" t="s">
        <v>739</v>
      </c>
      <c r="G1337" t="s">
        <v>739</v>
      </c>
      <c r="I1337" t="s">
        <v>740</v>
      </c>
      <c r="J1337" t="s">
        <v>143</v>
      </c>
      <c r="K1337" s="23">
        <v>577.74</v>
      </c>
      <c r="L1337" t="s">
        <v>18</v>
      </c>
      <c r="M1337" t="s">
        <v>19</v>
      </c>
    </row>
    <row r="1338" spans="1:13" hidden="1" x14ac:dyDescent="0.25">
      <c r="A1338" s="5">
        <v>45945</v>
      </c>
      <c r="B1338" t="s">
        <v>568</v>
      </c>
      <c r="C1338" t="s">
        <v>1092</v>
      </c>
      <c r="D1338" t="s">
        <v>56</v>
      </c>
      <c r="E1338" t="str">
        <f t="shared" si="26"/>
        <v>Honorários</v>
      </c>
      <c r="F1338" t="s">
        <v>521</v>
      </c>
      <c r="G1338" t="s">
        <v>521</v>
      </c>
      <c r="I1338" t="s">
        <v>75</v>
      </c>
      <c r="J1338" t="s">
        <v>143</v>
      </c>
      <c r="K1338" s="23">
        <v>18060.349999999999</v>
      </c>
      <c r="L1338" t="s">
        <v>18</v>
      </c>
      <c r="M1338" t="s">
        <v>19</v>
      </c>
    </row>
    <row r="1339" spans="1:13" hidden="1" x14ac:dyDescent="0.25">
      <c r="A1339" s="5">
        <v>45945</v>
      </c>
      <c r="B1339" t="s">
        <v>569</v>
      </c>
      <c r="C1339" t="s">
        <v>1089</v>
      </c>
      <c r="D1339" t="s">
        <v>224</v>
      </c>
      <c r="E1339" t="str">
        <f t="shared" si="26"/>
        <v>COM</v>
      </c>
      <c r="F1339" t="s">
        <v>369</v>
      </c>
      <c r="G1339" t="s">
        <v>369</v>
      </c>
      <c r="J1339" t="s">
        <v>143</v>
      </c>
      <c r="K1339" s="23">
        <v>-14.3</v>
      </c>
      <c r="L1339" t="s">
        <v>24</v>
      </c>
      <c r="M1339" t="s">
        <v>25</v>
      </c>
    </row>
    <row r="1340" spans="1:13" hidden="1" x14ac:dyDescent="0.25">
      <c r="A1340" s="5">
        <v>45945</v>
      </c>
      <c r="B1340" t="s">
        <v>568</v>
      </c>
      <c r="C1340" t="s">
        <v>1093</v>
      </c>
      <c r="D1340" t="s">
        <v>56</v>
      </c>
      <c r="E1340" t="str">
        <f t="shared" si="26"/>
        <v>Honorários</v>
      </c>
      <c r="F1340" t="s">
        <v>684</v>
      </c>
      <c r="G1340" t="s">
        <v>684</v>
      </c>
      <c r="I1340" t="s">
        <v>82</v>
      </c>
      <c r="J1340" t="s">
        <v>17</v>
      </c>
      <c r="K1340" s="23">
        <v>3898.01</v>
      </c>
      <c r="L1340" t="s">
        <v>18</v>
      </c>
      <c r="M1340" t="s">
        <v>19</v>
      </c>
    </row>
    <row r="1341" spans="1:13" hidden="1" x14ac:dyDescent="0.25">
      <c r="A1341" s="5">
        <v>45945</v>
      </c>
      <c r="B1341" t="s">
        <v>569</v>
      </c>
      <c r="C1341" t="s">
        <v>13</v>
      </c>
      <c r="D1341" t="s">
        <v>15</v>
      </c>
      <c r="E1341" t="str">
        <f t="shared" si="26"/>
        <v>ADM</v>
      </c>
      <c r="F1341" t="s">
        <v>16</v>
      </c>
      <c r="G1341" t="s">
        <v>16</v>
      </c>
      <c r="J1341" t="s">
        <v>17</v>
      </c>
      <c r="K1341" s="23">
        <v>-1116.07</v>
      </c>
      <c r="L1341" t="s">
        <v>24</v>
      </c>
      <c r="M1341" t="s">
        <v>25</v>
      </c>
    </row>
    <row r="1342" spans="1:13" hidden="1" x14ac:dyDescent="0.25">
      <c r="A1342" s="5">
        <v>45945</v>
      </c>
      <c r="B1342" t="s">
        <v>569</v>
      </c>
      <c r="C1342" t="s">
        <v>1094</v>
      </c>
      <c r="D1342" t="s">
        <v>224</v>
      </c>
      <c r="E1342" t="str">
        <f t="shared" si="26"/>
        <v>COM</v>
      </c>
      <c r="F1342" t="s">
        <v>1090</v>
      </c>
      <c r="G1342" t="s">
        <v>1090</v>
      </c>
      <c r="J1342" t="s">
        <v>143</v>
      </c>
      <c r="K1342" s="23">
        <v>-5.4</v>
      </c>
      <c r="L1342" t="s">
        <v>24</v>
      </c>
      <c r="M1342" t="s">
        <v>25</v>
      </c>
    </row>
    <row r="1343" spans="1:13" hidden="1" x14ac:dyDescent="0.25">
      <c r="A1343" s="5">
        <v>45946</v>
      </c>
      <c r="B1343" t="s">
        <v>568</v>
      </c>
      <c r="C1343" t="s">
        <v>640</v>
      </c>
      <c r="D1343" t="s">
        <v>56</v>
      </c>
      <c r="E1343" t="str">
        <f t="shared" si="26"/>
        <v>Honorários</v>
      </c>
      <c r="F1343" t="s">
        <v>986</v>
      </c>
      <c r="G1343" t="s">
        <v>986</v>
      </c>
      <c r="I1343" t="s">
        <v>75</v>
      </c>
      <c r="J1343" t="s">
        <v>143</v>
      </c>
      <c r="K1343" s="23">
        <v>224.85</v>
      </c>
      <c r="L1343" t="s">
        <v>18</v>
      </c>
      <c r="M1343" t="s">
        <v>19</v>
      </c>
    </row>
    <row r="1344" spans="1:13" hidden="1" x14ac:dyDescent="0.25">
      <c r="A1344" s="5">
        <v>45946</v>
      </c>
      <c r="B1344" t="s">
        <v>569</v>
      </c>
      <c r="C1344" t="s">
        <v>1095</v>
      </c>
      <c r="D1344" t="s">
        <v>149</v>
      </c>
      <c r="E1344" t="str">
        <f t="shared" si="26"/>
        <v>ADM</v>
      </c>
      <c r="F1344" t="s">
        <v>1096</v>
      </c>
      <c r="G1344" t="s">
        <v>1096</v>
      </c>
      <c r="J1344" t="s">
        <v>143</v>
      </c>
      <c r="K1344" s="23">
        <v>-30</v>
      </c>
      <c r="L1344" t="s">
        <v>24</v>
      </c>
      <c r="M1344" t="s">
        <v>25</v>
      </c>
    </row>
    <row r="1345" spans="1:13" hidden="1" x14ac:dyDescent="0.25">
      <c r="A1345" s="5">
        <v>45946</v>
      </c>
      <c r="B1345" t="s">
        <v>569</v>
      </c>
      <c r="C1345" t="s">
        <v>1097</v>
      </c>
      <c r="D1345" t="s">
        <v>56</v>
      </c>
      <c r="E1345" t="str">
        <f t="shared" si="26"/>
        <v>Honorários</v>
      </c>
      <c r="F1345" t="s">
        <v>1098</v>
      </c>
      <c r="G1345" t="s">
        <v>1098</v>
      </c>
      <c r="I1345" t="s">
        <v>1099</v>
      </c>
      <c r="J1345" t="s">
        <v>143</v>
      </c>
      <c r="K1345" s="23">
        <v>167.7</v>
      </c>
      <c r="L1345" t="s">
        <v>18</v>
      </c>
      <c r="M1345" t="s">
        <v>19</v>
      </c>
    </row>
    <row r="1346" spans="1:13" hidden="1" x14ac:dyDescent="0.25">
      <c r="A1346" s="5">
        <v>45946</v>
      </c>
      <c r="B1346" t="s">
        <v>569</v>
      </c>
      <c r="C1346" t="s">
        <v>1100</v>
      </c>
      <c r="D1346" t="s">
        <v>300</v>
      </c>
      <c r="E1346" t="str">
        <f t="shared" si="26"/>
        <v>VAR</v>
      </c>
      <c r="F1346" t="s">
        <v>1040</v>
      </c>
      <c r="G1346" t="s">
        <v>1040</v>
      </c>
      <c r="I1346" t="s">
        <v>196</v>
      </c>
      <c r="J1346" t="s">
        <v>17</v>
      </c>
      <c r="K1346" s="23">
        <v>-810.97</v>
      </c>
      <c r="L1346" t="s">
        <v>24</v>
      </c>
      <c r="M1346" t="s">
        <v>25</v>
      </c>
    </row>
    <row r="1347" spans="1:13" hidden="1" x14ac:dyDescent="0.25">
      <c r="A1347" s="5">
        <v>45947</v>
      </c>
      <c r="B1347" t="s">
        <v>568</v>
      </c>
      <c r="C1347" t="s">
        <v>1101</v>
      </c>
      <c r="D1347" t="s">
        <v>56</v>
      </c>
      <c r="E1347" t="str">
        <f t="shared" si="26"/>
        <v>Honorários</v>
      </c>
      <c r="F1347" t="s">
        <v>820</v>
      </c>
      <c r="G1347" t="s">
        <v>820</v>
      </c>
      <c r="I1347" t="s">
        <v>821</v>
      </c>
      <c r="J1347" t="s">
        <v>17</v>
      </c>
      <c r="K1347" s="23">
        <v>20740.59</v>
      </c>
      <c r="L1347" t="s">
        <v>18</v>
      </c>
      <c r="M1347" t="s">
        <v>19</v>
      </c>
    </row>
    <row r="1348" spans="1:13" hidden="1" x14ac:dyDescent="0.25">
      <c r="A1348" s="5">
        <v>45947</v>
      </c>
      <c r="B1348" t="s">
        <v>569</v>
      </c>
      <c r="C1348" t="s">
        <v>1043</v>
      </c>
      <c r="D1348" t="s">
        <v>99</v>
      </c>
      <c r="E1348" t="str">
        <f t="shared" si="26"/>
        <v>ADM</v>
      </c>
      <c r="F1348" t="s">
        <v>100</v>
      </c>
      <c r="G1348" t="s">
        <v>100</v>
      </c>
      <c r="J1348" t="s">
        <v>143</v>
      </c>
      <c r="K1348" s="23">
        <v>-340</v>
      </c>
      <c r="L1348" t="s">
        <v>24</v>
      </c>
      <c r="M1348" t="s">
        <v>25</v>
      </c>
    </row>
    <row r="1349" spans="1:13" hidden="1" x14ac:dyDescent="0.25">
      <c r="A1349" s="5">
        <v>45950</v>
      </c>
      <c r="B1349" t="s">
        <v>568</v>
      </c>
      <c r="C1349" t="s">
        <v>151</v>
      </c>
      <c r="D1349" t="s">
        <v>152</v>
      </c>
      <c r="E1349" t="str">
        <f t="shared" si="26"/>
        <v>VAR</v>
      </c>
      <c r="F1349" t="s">
        <v>151</v>
      </c>
      <c r="G1349" t="s">
        <v>151</v>
      </c>
      <c r="J1349" t="s">
        <v>17</v>
      </c>
      <c r="K1349" s="23">
        <v>-61350.26</v>
      </c>
      <c r="L1349" t="s">
        <v>24</v>
      </c>
      <c r="M1349" t="s">
        <v>25</v>
      </c>
    </row>
    <row r="1350" spans="1:13" hidden="1" x14ac:dyDescent="0.25">
      <c r="A1350" s="5">
        <v>45950</v>
      </c>
      <c r="B1350" t="s">
        <v>569</v>
      </c>
      <c r="C1350" t="s">
        <v>1102</v>
      </c>
      <c r="D1350" t="s">
        <v>611</v>
      </c>
      <c r="E1350" t="str">
        <f t="shared" si="26"/>
        <v>COM</v>
      </c>
      <c r="F1350" t="s">
        <v>551</v>
      </c>
      <c r="G1350" t="s">
        <v>551</v>
      </c>
      <c r="J1350" t="s">
        <v>143</v>
      </c>
      <c r="K1350" s="23">
        <v>-416.34</v>
      </c>
      <c r="L1350" t="s">
        <v>24</v>
      </c>
      <c r="M1350" t="s">
        <v>25</v>
      </c>
    </row>
    <row r="1351" spans="1:13" hidden="1" x14ac:dyDescent="0.25">
      <c r="A1351" s="5">
        <v>45950</v>
      </c>
      <c r="B1351" t="s">
        <v>568</v>
      </c>
      <c r="C1351" t="s">
        <v>1093</v>
      </c>
      <c r="D1351" t="s">
        <v>56</v>
      </c>
      <c r="E1351" t="str">
        <f t="shared" si="26"/>
        <v>Honorários</v>
      </c>
      <c r="F1351" t="s">
        <v>635</v>
      </c>
      <c r="G1351" t="s">
        <v>635</v>
      </c>
      <c r="I1351" t="s">
        <v>75</v>
      </c>
      <c r="J1351" t="s">
        <v>17</v>
      </c>
      <c r="K1351" s="23">
        <v>2521.27</v>
      </c>
      <c r="L1351" t="s">
        <v>18</v>
      </c>
      <c r="M1351" t="s">
        <v>19</v>
      </c>
    </row>
    <row r="1352" spans="1:13" hidden="1" x14ac:dyDescent="0.25">
      <c r="A1352" s="5">
        <v>45950</v>
      </c>
      <c r="B1352" t="s">
        <v>568</v>
      </c>
      <c r="C1352" t="s">
        <v>153</v>
      </c>
      <c r="D1352" t="s">
        <v>154</v>
      </c>
      <c r="E1352" t="str">
        <f t="shared" si="26"/>
        <v>ADM</v>
      </c>
      <c r="F1352" t="s">
        <v>155</v>
      </c>
      <c r="G1352" t="s">
        <v>155</v>
      </c>
      <c r="J1352" t="s">
        <v>17</v>
      </c>
      <c r="K1352" s="23">
        <v>-155.75</v>
      </c>
      <c r="L1352" t="s">
        <v>24</v>
      </c>
      <c r="M1352" t="s">
        <v>25</v>
      </c>
    </row>
    <row r="1353" spans="1:13" hidden="1" x14ac:dyDescent="0.25">
      <c r="A1353" s="5">
        <v>45950</v>
      </c>
      <c r="B1353" t="s">
        <v>569</v>
      </c>
      <c r="C1353" t="s">
        <v>775</v>
      </c>
      <c r="D1353" t="s">
        <v>56</v>
      </c>
      <c r="E1353" t="str">
        <f t="shared" si="26"/>
        <v>Honorários</v>
      </c>
      <c r="F1353" t="s">
        <v>776</v>
      </c>
      <c r="G1353" t="s">
        <v>776</v>
      </c>
      <c r="I1353" t="s">
        <v>777</v>
      </c>
      <c r="J1353" t="s">
        <v>143</v>
      </c>
      <c r="K1353" s="23">
        <v>168</v>
      </c>
      <c r="L1353" t="s">
        <v>18</v>
      </c>
      <c r="M1353" t="s">
        <v>19</v>
      </c>
    </row>
    <row r="1354" spans="1:13" hidden="1" x14ac:dyDescent="0.25">
      <c r="A1354" s="5">
        <v>45950</v>
      </c>
      <c r="B1354" t="s">
        <v>568</v>
      </c>
      <c r="C1354" t="s">
        <v>165</v>
      </c>
      <c r="D1354" t="s">
        <v>166</v>
      </c>
      <c r="E1354" t="str">
        <f t="shared" si="26"/>
        <v>PES</v>
      </c>
      <c r="F1354" t="s">
        <v>537</v>
      </c>
      <c r="G1354" t="s">
        <v>537</v>
      </c>
      <c r="J1354" t="s">
        <v>17</v>
      </c>
      <c r="K1354" s="23">
        <v>-3107.19</v>
      </c>
      <c r="L1354" t="s">
        <v>24</v>
      </c>
      <c r="M1354" t="s">
        <v>25</v>
      </c>
    </row>
    <row r="1355" spans="1:13" hidden="1" x14ac:dyDescent="0.25">
      <c r="A1355" s="5">
        <v>45950</v>
      </c>
      <c r="B1355" t="s">
        <v>568</v>
      </c>
      <c r="C1355" t="s">
        <v>158</v>
      </c>
      <c r="D1355" t="s">
        <v>159</v>
      </c>
      <c r="E1355" t="str">
        <f t="shared" si="26"/>
        <v>PES</v>
      </c>
      <c r="F1355" t="s">
        <v>158</v>
      </c>
      <c r="G1355" t="s">
        <v>158</v>
      </c>
      <c r="J1355" t="s">
        <v>17</v>
      </c>
      <c r="K1355" s="23">
        <v>-858.17</v>
      </c>
      <c r="L1355" t="s">
        <v>24</v>
      </c>
      <c r="M1355" t="s">
        <v>25</v>
      </c>
    </row>
    <row r="1356" spans="1:13" hidden="1" x14ac:dyDescent="0.25">
      <c r="A1356" s="5">
        <v>45950</v>
      </c>
      <c r="B1356" t="s">
        <v>569</v>
      </c>
      <c r="C1356" t="s">
        <v>1103</v>
      </c>
      <c r="D1356" t="s">
        <v>300</v>
      </c>
      <c r="E1356" t="str">
        <f t="shared" si="26"/>
        <v>VAR</v>
      </c>
      <c r="F1356" t="s">
        <v>1104</v>
      </c>
      <c r="G1356" t="s">
        <v>1104</v>
      </c>
      <c r="J1356" t="s">
        <v>143</v>
      </c>
      <c r="K1356" s="23">
        <v>-100</v>
      </c>
      <c r="L1356" t="s">
        <v>24</v>
      </c>
      <c r="M1356" t="s">
        <v>25</v>
      </c>
    </row>
    <row r="1357" spans="1:13" hidden="1" x14ac:dyDescent="0.25">
      <c r="A1357" s="5">
        <v>45950</v>
      </c>
      <c r="B1357" t="s">
        <v>568</v>
      </c>
      <c r="C1357" t="s">
        <v>351</v>
      </c>
      <c r="D1357" t="s">
        <v>302</v>
      </c>
      <c r="E1357" t="str">
        <f t="shared" si="26"/>
        <v>ADM</v>
      </c>
      <c r="F1357" t="s">
        <v>303</v>
      </c>
      <c r="G1357" t="s">
        <v>303</v>
      </c>
      <c r="J1357" t="s">
        <v>143</v>
      </c>
      <c r="K1357" s="23">
        <v>-125.52</v>
      </c>
      <c r="L1357" t="s">
        <v>24</v>
      </c>
      <c r="M1357" t="s">
        <v>25</v>
      </c>
    </row>
    <row r="1358" spans="1:13" hidden="1" x14ac:dyDescent="0.25">
      <c r="A1358" s="5">
        <v>45951</v>
      </c>
      <c r="B1358" t="s">
        <v>569</v>
      </c>
      <c r="C1358" t="s">
        <v>706</v>
      </c>
      <c r="D1358" t="s">
        <v>89</v>
      </c>
      <c r="E1358" t="str">
        <f t="shared" si="26"/>
        <v>ADM</v>
      </c>
      <c r="F1358" t="s">
        <v>491</v>
      </c>
      <c r="G1358" t="s">
        <v>491</v>
      </c>
      <c r="J1358" t="s">
        <v>143</v>
      </c>
      <c r="K1358" s="23">
        <v>-306.13</v>
      </c>
      <c r="L1358" t="s">
        <v>24</v>
      </c>
      <c r="M1358" t="s">
        <v>25</v>
      </c>
    </row>
    <row r="1359" spans="1:13" hidden="1" x14ac:dyDescent="0.25">
      <c r="A1359" s="5">
        <v>45951</v>
      </c>
      <c r="B1359" t="s">
        <v>568</v>
      </c>
      <c r="C1359" t="s">
        <v>640</v>
      </c>
      <c r="D1359" t="s">
        <v>56</v>
      </c>
      <c r="E1359" t="str">
        <f t="shared" si="26"/>
        <v>Honorários</v>
      </c>
      <c r="F1359" t="s">
        <v>1105</v>
      </c>
      <c r="G1359" t="s">
        <v>1105</v>
      </c>
      <c r="I1359" t="s">
        <v>75</v>
      </c>
      <c r="J1359" t="s">
        <v>143</v>
      </c>
      <c r="K1359" s="23">
        <v>60.72</v>
      </c>
      <c r="L1359" t="s">
        <v>18</v>
      </c>
      <c r="M1359" t="s">
        <v>83</v>
      </c>
    </row>
    <row r="1360" spans="1:13" hidden="1" x14ac:dyDescent="0.25">
      <c r="A1360" s="5">
        <v>45952</v>
      </c>
      <c r="B1360" t="s">
        <v>569</v>
      </c>
      <c r="C1360" t="s">
        <v>1106</v>
      </c>
      <c r="D1360" t="s">
        <v>900</v>
      </c>
      <c r="E1360" t="str">
        <f t="shared" si="26"/>
        <v>PES</v>
      </c>
      <c r="F1360" t="s">
        <v>875</v>
      </c>
      <c r="G1360" t="s">
        <v>875</v>
      </c>
      <c r="J1360" t="s">
        <v>143</v>
      </c>
      <c r="K1360" s="23">
        <v>-550</v>
      </c>
      <c r="L1360" t="s">
        <v>24</v>
      </c>
      <c r="M1360" t="s">
        <v>25</v>
      </c>
    </row>
    <row r="1361" spans="1:13" hidden="1" x14ac:dyDescent="0.25">
      <c r="A1361" s="5">
        <v>45952</v>
      </c>
      <c r="B1361" t="s">
        <v>568</v>
      </c>
      <c r="C1361" t="s">
        <v>1107</v>
      </c>
      <c r="D1361" t="s">
        <v>56</v>
      </c>
      <c r="E1361" t="str">
        <f t="shared" si="26"/>
        <v>Honorários</v>
      </c>
      <c r="F1361" t="s">
        <v>820</v>
      </c>
      <c r="G1361" t="s">
        <v>820</v>
      </c>
      <c r="I1361" t="s">
        <v>821</v>
      </c>
      <c r="J1361" t="s">
        <v>143</v>
      </c>
      <c r="K1361" s="23">
        <v>41527.919999999998</v>
      </c>
      <c r="L1361" t="s">
        <v>18</v>
      </c>
      <c r="M1361" t="s">
        <v>19</v>
      </c>
    </row>
    <row r="1362" spans="1:13" hidden="1" x14ac:dyDescent="0.25">
      <c r="A1362" s="5">
        <v>45953</v>
      </c>
      <c r="B1362" t="s">
        <v>569</v>
      </c>
      <c r="C1362" t="s">
        <v>1108</v>
      </c>
      <c r="D1362" t="s">
        <v>28</v>
      </c>
      <c r="E1362" t="str">
        <f t="shared" si="26"/>
        <v>ADM</v>
      </c>
      <c r="F1362" t="s">
        <v>774</v>
      </c>
      <c r="G1362" t="s">
        <v>774</v>
      </c>
      <c r="J1362" t="s">
        <v>143</v>
      </c>
      <c r="K1362" s="23">
        <v>-86.82</v>
      </c>
      <c r="L1362" t="s">
        <v>24</v>
      </c>
      <c r="M1362" t="s">
        <v>25</v>
      </c>
    </row>
    <row r="1363" spans="1:13" hidden="1" x14ac:dyDescent="0.25">
      <c r="A1363" s="5">
        <v>45953</v>
      </c>
      <c r="B1363" t="s">
        <v>569</v>
      </c>
      <c r="C1363" t="s">
        <v>1109</v>
      </c>
      <c r="D1363" t="s">
        <v>224</v>
      </c>
      <c r="E1363" t="str">
        <f t="shared" ref="E1363:E1426" si="27">IF(ISERROR(FIND("-",D1363,1)),D1363,LEFT(D1363,3))</f>
        <v>COM</v>
      </c>
      <c r="F1363" t="s">
        <v>1090</v>
      </c>
      <c r="G1363" t="s">
        <v>1090</v>
      </c>
      <c r="J1363" t="s">
        <v>143</v>
      </c>
      <c r="K1363" s="23">
        <v>-7.9</v>
      </c>
      <c r="L1363" t="s">
        <v>24</v>
      </c>
      <c r="M1363" t="s">
        <v>25</v>
      </c>
    </row>
    <row r="1364" spans="1:13" hidden="1" x14ac:dyDescent="0.25">
      <c r="A1364" s="5">
        <v>45953</v>
      </c>
      <c r="B1364" t="s">
        <v>569</v>
      </c>
      <c r="C1364" t="s">
        <v>411</v>
      </c>
      <c r="D1364" t="s">
        <v>56</v>
      </c>
      <c r="E1364" t="str">
        <f t="shared" si="27"/>
        <v>Honorários</v>
      </c>
      <c r="F1364" t="s">
        <v>412</v>
      </c>
      <c r="G1364" t="s">
        <v>412</v>
      </c>
      <c r="I1364" t="s">
        <v>196</v>
      </c>
      <c r="J1364" t="s">
        <v>143</v>
      </c>
      <c r="K1364" s="23">
        <v>300</v>
      </c>
      <c r="L1364" t="s">
        <v>18</v>
      </c>
      <c r="M1364" t="s">
        <v>19</v>
      </c>
    </row>
    <row r="1365" spans="1:13" hidden="1" x14ac:dyDescent="0.25">
      <c r="A1365" s="5">
        <v>45953</v>
      </c>
      <c r="B1365" t="s">
        <v>569</v>
      </c>
      <c r="C1365" t="s">
        <v>1110</v>
      </c>
      <c r="D1365" t="s">
        <v>28</v>
      </c>
      <c r="E1365" t="str">
        <f t="shared" si="27"/>
        <v>ADM</v>
      </c>
      <c r="F1365" t="s">
        <v>540</v>
      </c>
      <c r="G1365" t="s">
        <v>540</v>
      </c>
      <c r="J1365" t="s">
        <v>143</v>
      </c>
      <c r="K1365" s="23">
        <v>-43.86</v>
      </c>
      <c r="L1365" t="s">
        <v>24</v>
      </c>
      <c r="M1365" t="s">
        <v>25</v>
      </c>
    </row>
    <row r="1366" spans="1:13" hidden="1" x14ac:dyDescent="0.25">
      <c r="A1366" s="5">
        <v>45953</v>
      </c>
      <c r="B1366" t="s">
        <v>569</v>
      </c>
      <c r="C1366" t="s">
        <v>584</v>
      </c>
      <c r="D1366" t="s">
        <v>99</v>
      </c>
      <c r="E1366" t="str">
        <f t="shared" si="27"/>
        <v>ADM</v>
      </c>
      <c r="F1366" t="s">
        <v>100</v>
      </c>
      <c r="G1366" t="s">
        <v>100</v>
      </c>
      <c r="J1366" t="s">
        <v>143</v>
      </c>
      <c r="K1366" s="23">
        <v>-340</v>
      </c>
      <c r="L1366" t="s">
        <v>24</v>
      </c>
      <c r="M1366" t="s">
        <v>25</v>
      </c>
    </row>
    <row r="1367" spans="1:13" hidden="1" x14ac:dyDescent="0.25">
      <c r="A1367" s="5">
        <v>45953</v>
      </c>
      <c r="B1367" t="s">
        <v>569</v>
      </c>
      <c r="C1367" t="s">
        <v>1111</v>
      </c>
      <c r="D1367" t="s">
        <v>300</v>
      </c>
      <c r="E1367" t="str">
        <f t="shared" si="27"/>
        <v>VAR</v>
      </c>
      <c r="F1367" t="s">
        <v>1112</v>
      </c>
      <c r="G1367" t="s">
        <v>1112</v>
      </c>
      <c r="J1367" t="s">
        <v>143</v>
      </c>
      <c r="K1367" s="23">
        <v>-100</v>
      </c>
      <c r="L1367" t="s">
        <v>24</v>
      </c>
      <c r="M1367" t="s">
        <v>25</v>
      </c>
    </row>
    <row r="1368" spans="1:13" hidden="1" x14ac:dyDescent="0.25">
      <c r="A1368" s="5">
        <v>45953</v>
      </c>
      <c r="B1368" t="s">
        <v>569</v>
      </c>
      <c r="C1368" t="s">
        <v>1113</v>
      </c>
      <c r="D1368" t="s">
        <v>56</v>
      </c>
      <c r="E1368" t="str">
        <f t="shared" si="27"/>
        <v>Honorários</v>
      </c>
      <c r="F1368" t="s">
        <v>1114</v>
      </c>
      <c r="G1368" t="s">
        <v>1114</v>
      </c>
      <c r="I1368" t="s">
        <v>605</v>
      </c>
      <c r="J1368" t="s">
        <v>17</v>
      </c>
      <c r="K1368" s="23">
        <v>5000</v>
      </c>
      <c r="L1368" t="s">
        <v>18</v>
      </c>
      <c r="M1368" t="s">
        <v>19</v>
      </c>
    </row>
    <row r="1369" spans="1:13" hidden="1" x14ac:dyDescent="0.25">
      <c r="A1369" s="5">
        <v>45953</v>
      </c>
      <c r="B1369" t="s">
        <v>569</v>
      </c>
      <c r="C1369" t="s">
        <v>1115</v>
      </c>
      <c r="D1369" t="s">
        <v>28</v>
      </c>
      <c r="E1369" t="str">
        <f t="shared" si="27"/>
        <v>ADM</v>
      </c>
      <c r="F1369" t="s">
        <v>1116</v>
      </c>
      <c r="G1369" t="s">
        <v>1116</v>
      </c>
      <c r="J1369" t="s">
        <v>143</v>
      </c>
      <c r="K1369" s="23">
        <v>-22.47</v>
      </c>
      <c r="L1369" t="s">
        <v>24</v>
      </c>
      <c r="M1369" t="s">
        <v>25</v>
      </c>
    </row>
    <row r="1370" spans="1:13" hidden="1" x14ac:dyDescent="0.25">
      <c r="A1370" s="5">
        <v>45957</v>
      </c>
      <c r="B1370" t="s">
        <v>569</v>
      </c>
      <c r="C1370" t="s">
        <v>1117</v>
      </c>
      <c r="D1370" t="s">
        <v>300</v>
      </c>
      <c r="E1370" t="str">
        <f t="shared" si="27"/>
        <v>VAR</v>
      </c>
      <c r="F1370" t="s">
        <v>1118</v>
      </c>
      <c r="G1370" t="s">
        <v>1118</v>
      </c>
      <c r="I1370" t="s">
        <v>1119</v>
      </c>
      <c r="J1370" t="s">
        <v>143</v>
      </c>
      <c r="K1370" s="23">
        <v>-250</v>
      </c>
      <c r="L1370" t="s">
        <v>24</v>
      </c>
      <c r="M1370" t="s">
        <v>25</v>
      </c>
    </row>
    <row r="1371" spans="1:13" hidden="1" x14ac:dyDescent="0.25">
      <c r="A1371" s="5">
        <v>45957</v>
      </c>
      <c r="B1371" t="s">
        <v>568</v>
      </c>
      <c r="C1371" t="s">
        <v>883</v>
      </c>
      <c r="D1371" t="s">
        <v>162</v>
      </c>
      <c r="E1371" t="str">
        <f t="shared" si="27"/>
        <v>COM</v>
      </c>
      <c r="F1371" t="s">
        <v>884</v>
      </c>
      <c r="G1371" t="s">
        <v>884</v>
      </c>
      <c r="J1371" t="s">
        <v>143</v>
      </c>
      <c r="K1371" s="23">
        <v>-925</v>
      </c>
      <c r="L1371" t="s">
        <v>24</v>
      </c>
      <c r="M1371" t="s">
        <v>25</v>
      </c>
    </row>
    <row r="1372" spans="1:13" hidden="1" x14ac:dyDescent="0.25">
      <c r="A1372" s="5">
        <v>45957</v>
      </c>
      <c r="B1372" t="s">
        <v>569</v>
      </c>
      <c r="C1372" t="s">
        <v>706</v>
      </c>
      <c r="D1372" t="s">
        <v>89</v>
      </c>
      <c r="E1372" t="str">
        <f t="shared" si="27"/>
        <v>ADM</v>
      </c>
      <c r="F1372" t="s">
        <v>491</v>
      </c>
      <c r="G1372" t="s">
        <v>491</v>
      </c>
      <c r="J1372" t="s">
        <v>143</v>
      </c>
      <c r="K1372" s="23">
        <v>-76.95</v>
      </c>
      <c r="L1372" t="s">
        <v>24</v>
      </c>
      <c r="M1372" t="s">
        <v>25</v>
      </c>
    </row>
    <row r="1373" spans="1:13" hidden="1" x14ac:dyDescent="0.25">
      <c r="A1373" s="5">
        <v>45957</v>
      </c>
      <c r="B1373" t="s">
        <v>569</v>
      </c>
      <c r="C1373" t="s">
        <v>1120</v>
      </c>
      <c r="D1373" t="s">
        <v>56</v>
      </c>
      <c r="E1373" t="str">
        <f t="shared" si="27"/>
        <v>Honorários</v>
      </c>
      <c r="F1373" t="s">
        <v>1118</v>
      </c>
      <c r="G1373" t="s">
        <v>1118</v>
      </c>
      <c r="I1373" t="s">
        <v>1119</v>
      </c>
      <c r="J1373" t="s">
        <v>143</v>
      </c>
      <c r="K1373" s="23">
        <v>500</v>
      </c>
      <c r="L1373" t="s">
        <v>18</v>
      </c>
      <c r="M1373" t="s">
        <v>19</v>
      </c>
    </row>
    <row r="1374" spans="1:13" hidden="1" x14ac:dyDescent="0.25">
      <c r="A1374" s="5">
        <v>45958</v>
      </c>
      <c r="B1374" t="s">
        <v>568</v>
      </c>
      <c r="C1374" t="s">
        <v>200</v>
      </c>
      <c r="D1374" t="s">
        <v>201</v>
      </c>
      <c r="E1374" t="str">
        <f t="shared" si="27"/>
        <v>DIR</v>
      </c>
      <c r="F1374" t="s">
        <v>67</v>
      </c>
      <c r="G1374" t="s">
        <v>67</v>
      </c>
      <c r="J1374" t="s">
        <v>17</v>
      </c>
      <c r="K1374" s="23">
        <v>-7000</v>
      </c>
      <c r="L1374" t="s">
        <v>24</v>
      </c>
      <c r="M1374" t="s">
        <v>25</v>
      </c>
    </row>
    <row r="1375" spans="1:13" hidden="1" x14ac:dyDescent="0.25">
      <c r="A1375" s="5">
        <v>45958</v>
      </c>
      <c r="B1375" t="s">
        <v>569</v>
      </c>
      <c r="C1375" t="s">
        <v>805</v>
      </c>
      <c r="D1375" t="s">
        <v>56</v>
      </c>
      <c r="E1375" t="str">
        <f t="shared" si="27"/>
        <v>Honorários</v>
      </c>
      <c r="F1375" t="s">
        <v>1121</v>
      </c>
      <c r="G1375" t="s">
        <v>1121</v>
      </c>
      <c r="I1375" t="s">
        <v>75</v>
      </c>
      <c r="J1375" t="s">
        <v>143</v>
      </c>
      <c r="K1375" s="23">
        <v>1826.86</v>
      </c>
      <c r="L1375" t="s">
        <v>18</v>
      </c>
      <c r="M1375" t="s">
        <v>19</v>
      </c>
    </row>
    <row r="1376" spans="1:13" hidden="1" x14ac:dyDescent="0.25">
      <c r="A1376" s="5">
        <v>45958</v>
      </c>
      <c r="B1376" t="s">
        <v>569</v>
      </c>
      <c r="C1376" t="s">
        <v>1122</v>
      </c>
      <c r="D1376" t="s">
        <v>56</v>
      </c>
      <c r="E1376" t="str">
        <f t="shared" si="27"/>
        <v>Honorários</v>
      </c>
      <c r="F1376" t="s">
        <v>721</v>
      </c>
      <c r="G1376" t="s">
        <v>721</v>
      </c>
      <c r="I1376" t="s">
        <v>812</v>
      </c>
      <c r="J1376" t="s">
        <v>143</v>
      </c>
      <c r="K1376" s="23">
        <v>563.5</v>
      </c>
      <c r="L1376" t="s">
        <v>18</v>
      </c>
      <c r="M1376" t="s">
        <v>19</v>
      </c>
    </row>
    <row r="1377" spans="1:13" hidden="1" x14ac:dyDescent="0.25">
      <c r="A1377" s="5">
        <v>45959</v>
      </c>
      <c r="B1377" t="s">
        <v>569</v>
      </c>
      <c r="C1377" t="s">
        <v>640</v>
      </c>
      <c r="D1377" t="s">
        <v>56</v>
      </c>
      <c r="E1377" t="str">
        <f t="shared" si="27"/>
        <v>Honorários</v>
      </c>
      <c r="F1377" t="s">
        <v>1123</v>
      </c>
      <c r="G1377" t="s">
        <v>1123</v>
      </c>
      <c r="I1377" t="s">
        <v>93</v>
      </c>
      <c r="J1377" t="s">
        <v>143</v>
      </c>
      <c r="K1377" s="23">
        <v>561.9</v>
      </c>
      <c r="L1377" t="s">
        <v>18</v>
      </c>
      <c r="M1377" t="s">
        <v>19</v>
      </c>
    </row>
    <row r="1378" spans="1:13" hidden="1" x14ac:dyDescent="0.25">
      <c r="A1378" s="5">
        <v>45959</v>
      </c>
      <c r="B1378" t="s">
        <v>569</v>
      </c>
      <c r="C1378" t="s">
        <v>1102</v>
      </c>
      <c r="D1378" t="s">
        <v>611</v>
      </c>
      <c r="E1378" t="str">
        <f t="shared" si="27"/>
        <v>COM</v>
      </c>
      <c r="F1378" t="s">
        <v>1056</v>
      </c>
      <c r="G1378" t="s">
        <v>1056</v>
      </c>
      <c r="J1378" t="s">
        <v>143</v>
      </c>
      <c r="K1378" s="23">
        <v>-100</v>
      </c>
      <c r="L1378" t="s">
        <v>24</v>
      </c>
      <c r="M1378" t="s">
        <v>25</v>
      </c>
    </row>
    <row r="1379" spans="1:13" hidden="1" x14ac:dyDescent="0.25">
      <c r="A1379" s="5">
        <v>45959</v>
      </c>
      <c r="B1379" t="s">
        <v>568</v>
      </c>
      <c r="C1379" t="s">
        <v>481</v>
      </c>
      <c r="D1379" t="s">
        <v>191</v>
      </c>
      <c r="E1379" t="str">
        <f t="shared" si="27"/>
        <v>ADM</v>
      </c>
      <c r="F1379" t="s">
        <v>371</v>
      </c>
      <c r="G1379" t="s">
        <v>371</v>
      </c>
      <c r="J1379" t="s">
        <v>17</v>
      </c>
      <c r="K1379" s="23">
        <v>-782.01</v>
      </c>
      <c r="L1379" t="s">
        <v>24</v>
      </c>
      <c r="M1379" t="s">
        <v>25</v>
      </c>
    </row>
    <row r="1380" spans="1:13" hidden="1" x14ac:dyDescent="0.25">
      <c r="A1380" s="5">
        <v>45959</v>
      </c>
      <c r="B1380" t="s">
        <v>569</v>
      </c>
      <c r="C1380" t="s">
        <v>1124</v>
      </c>
      <c r="D1380" t="s">
        <v>56</v>
      </c>
      <c r="E1380" t="str">
        <f t="shared" si="27"/>
        <v>Honorários</v>
      </c>
      <c r="F1380" t="s">
        <v>1118</v>
      </c>
      <c r="G1380" t="s">
        <v>1118</v>
      </c>
      <c r="I1380" t="s">
        <v>1119</v>
      </c>
      <c r="J1380" t="s">
        <v>143</v>
      </c>
      <c r="K1380" s="23">
        <v>500</v>
      </c>
      <c r="L1380" t="s">
        <v>18</v>
      </c>
      <c r="M1380" t="s">
        <v>19</v>
      </c>
    </row>
    <row r="1381" spans="1:13" hidden="1" x14ac:dyDescent="0.25">
      <c r="A1381" s="5">
        <v>45959</v>
      </c>
      <c r="B1381" t="s">
        <v>568</v>
      </c>
      <c r="C1381" t="s">
        <v>478</v>
      </c>
      <c r="D1381" t="s">
        <v>191</v>
      </c>
      <c r="E1381" t="str">
        <f t="shared" si="27"/>
        <v>ADM</v>
      </c>
      <c r="F1381" t="s">
        <v>380</v>
      </c>
      <c r="G1381" t="s">
        <v>380</v>
      </c>
      <c r="J1381" t="s">
        <v>17</v>
      </c>
      <c r="K1381" s="23">
        <v>-521.5</v>
      </c>
      <c r="L1381" t="s">
        <v>24</v>
      </c>
      <c r="M1381" t="s">
        <v>25</v>
      </c>
    </row>
    <row r="1382" spans="1:13" hidden="1" x14ac:dyDescent="0.25">
      <c r="A1382" s="5">
        <v>45959</v>
      </c>
      <c r="B1382" t="s">
        <v>569</v>
      </c>
      <c r="C1382" t="s">
        <v>627</v>
      </c>
      <c r="D1382" t="s">
        <v>56</v>
      </c>
      <c r="E1382" t="str">
        <f t="shared" si="27"/>
        <v>Honorários</v>
      </c>
      <c r="F1382" t="s">
        <v>1125</v>
      </c>
      <c r="G1382" t="s">
        <v>1125</v>
      </c>
      <c r="I1382" t="s">
        <v>75</v>
      </c>
      <c r="J1382" t="s">
        <v>143</v>
      </c>
      <c r="K1382" s="23">
        <v>910.8</v>
      </c>
      <c r="L1382" t="s">
        <v>18</v>
      </c>
      <c r="M1382" t="s">
        <v>19</v>
      </c>
    </row>
    <row r="1383" spans="1:13" hidden="1" x14ac:dyDescent="0.25">
      <c r="A1383" s="5">
        <v>45959</v>
      </c>
      <c r="B1383" t="s">
        <v>569</v>
      </c>
      <c r="C1383" t="s">
        <v>1126</v>
      </c>
      <c r="D1383" t="s">
        <v>300</v>
      </c>
      <c r="E1383" t="str">
        <f t="shared" si="27"/>
        <v>VAR</v>
      </c>
      <c r="F1383" t="s">
        <v>1118</v>
      </c>
      <c r="G1383" t="s">
        <v>1118</v>
      </c>
      <c r="I1383" t="s">
        <v>1119</v>
      </c>
      <c r="J1383" t="s">
        <v>143</v>
      </c>
      <c r="K1383" s="23">
        <v>-250</v>
      </c>
      <c r="L1383" t="s">
        <v>24</v>
      </c>
      <c r="M1383" t="s">
        <v>25</v>
      </c>
    </row>
    <row r="1384" spans="1:13" hidden="1" x14ac:dyDescent="0.25">
      <c r="A1384" s="5">
        <v>45960</v>
      </c>
      <c r="B1384" t="s">
        <v>569</v>
      </c>
      <c r="C1384" t="s">
        <v>1002</v>
      </c>
      <c r="D1384" t="s">
        <v>56</v>
      </c>
      <c r="E1384" t="str">
        <f t="shared" si="27"/>
        <v>Honorários</v>
      </c>
      <c r="F1384" t="s">
        <v>1127</v>
      </c>
      <c r="G1384" t="s">
        <v>1127</v>
      </c>
      <c r="I1384" t="s">
        <v>1128</v>
      </c>
      <c r="J1384" t="s">
        <v>143</v>
      </c>
      <c r="K1384" s="23">
        <v>8269.99</v>
      </c>
      <c r="L1384" t="s">
        <v>18</v>
      </c>
      <c r="M1384" t="s">
        <v>19</v>
      </c>
    </row>
    <row r="1385" spans="1:13" hidden="1" x14ac:dyDescent="0.25">
      <c r="A1385" s="5">
        <v>45960</v>
      </c>
      <c r="B1385" t="s">
        <v>569</v>
      </c>
      <c r="C1385" t="s">
        <v>1129</v>
      </c>
      <c r="D1385" t="s">
        <v>56</v>
      </c>
      <c r="E1385" t="str">
        <f t="shared" si="27"/>
        <v>Honorários</v>
      </c>
      <c r="F1385" t="s">
        <v>1127</v>
      </c>
      <c r="G1385" t="s">
        <v>1127</v>
      </c>
      <c r="I1385" t="s">
        <v>1128</v>
      </c>
      <c r="J1385" t="s">
        <v>143</v>
      </c>
      <c r="K1385" s="23">
        <v>24809.99</v>
      </c>
      <c r="L1385" t="s">
        <v>18</v>
      </c>
      <c r="M1385" t="s">
        <v>19</v>
      </c>
    </row>
    <row r="1386" spans="1:13" hidden="1" x14ac:dyDescent="0.25">
      <c r="A1386" s="5">
        <v>45960</v>
      </c>
      <c r="B1386" t="s">
        <v>568</v>
      </c>
      <c r="C1386" t="s">
        <v>1130</v>
      </c>
      <c r="D1386" t="s">
        <v>77</v>
      </c>
      <c r="E1386" t="str">
        <f t="shared" si="27"/>
        <v>Despesa do cliente</v>
      </c>
      <c r="F1386" t="s">
        <v>1131</v>
      </c>
      <c r="G1386" t="s">
        <v>1131</v>
      </c>
      <c r="I1386" t="s">
        <v>1132</v>
      </c>
      <c r="J1386" t="s">
        <v>143</v>
      </c>
      <c r="K1386" s="23">
        <v>-200</v>
      </c>
      <c r="L1386" t="s">
        <v>24</v>
      </c>
      <c r="M1386" t="s">
        <v>25</v>
      </c>
    </row>
    <row r="1387" spans="1:13" hidden="1" x14ac:dyDescent="0.25">
      <c r="A1387" s="5">
        <v>45961</v>
      </c>
      <c r="B1387" t="s">
        <v>569</v>
      </c>
      <c r="C1387" t="s">
        <v>718</v>
      </c>
      <c r="D1387" t="s">
        <v>56</v>
      </c>
      <c r="E1387" t="str">
        <f t="shared" si="27"/>
        <v>Honorários</v>
      </c>
      <c r="F1387" t="s">
        <v>81</v>
      </c>
      <c r="G1387" t="s">
        <v>81</v>
      </c>
      <c r="I1387" t="s">
        <v>82</v>
      </c>
      <c r="J1387" t="s">
        <v>143</v>
      </c>
      <c r="K1387" s="23">
        <v>500</v>
      </c>
      <c r="L1387" t="s">
        <v>18</v>
      </c>
      <c r="M1387" t="s">
        <v>19</v>
      </c>
    </row>
    <row r="1388" spans="1:13" hidden="1" x14ac:dyDescent="0.25">
      <c r="A1388" s="5">
        <v>45961</v>
      </c>
      <c r="B1388" t="s">
        <v>568</v>
      </c>
      <c r="C1388" t="s">
        <v>200</v>
      </c>
      <c r="D1388" t="s">
        <v>201</v>
      </c>
      <c r="E1388" t="str">
        <f t="shared" si="27"/>
        <v>DIR</v>
      </c>
      <c r="F1388" t="s">
        <v>54</v>
      </c>
      <c r="G1388" t="s">
        <v>54</v>
      </c>
      <c r="J1388" t="s">
        <v>17</v>
      </c>
      <c r="K1388" s="23">
        <v>-6148.98</v>
      </c>
      <c r="L1388" t="s">
        <v>24</v>
      </c>
      <c r="M1388" t="s">
        <v>25</v>
      </c>
    </row>
    <row r="1389" spans="1:13" hidden="1" x14ac:dyDescent="0.25">
      <c r="A1389" s="5">
        <v>45961</v>
      </c>
      <c r="B1389" t="s">
        <v>568</v>
      </c>
      <c r="C1389" t="s">
        <v>272</v>
      </c>
      <c r="D1389" t="s">
        <v>198</v>
      </c>
      <c r="E1389" t="str">
        <f t="shared" si="27"/>
        <v>PES</v>
      </c>
      <c r="F1389" t="s">
        <v>831</v>
      </c>
      <c r="G1389" t="s">
        <v>831</v>
      </c>
      <c r="J1389" t="s">
        <v>143</v>
      </c>
      <c r="K1389" s="23">
        <v>-2296.77</v>
      </c>
      <c r="L1389" t="s">
        <v>24</v>
      </c>
      <c r="M1389" t="s">
        <v>25</v>
      </c>
    </row>
    <row r="1390" spans="1:13" hidden="1" x14ac:dyDescent="0.25">
      <c r="A1390" s="5">
        <v>45961</v>
      </c>
      <c r="B1390" t="s">
        <v>569</v>
      </c>
      <c r="C1390" t="s">
        <v>272</v>
      </c>
      <c r="D1390" t="s">
        <v>198</v>
      </c>
      <c r="E1390" t="str">
        <f t="shared" si="27"/>
        <v>PES</v>
      </c>
      <c r="F1390" t="s">
        <v>203</v>
      </c>
      <c r="G1390" t="s">
        <v>203</v>
      </c>
      <c r="J1390" t="s">
        <v>143</v>
      </c>
      <c r="K1390" s="23">
        <v>-1518</v>
      </c>
      <c r="L1390" t="s">
        <v>24</v>
      </c>
      <c r="M1390" t="s">
        <v>25</v>
      </c>
    </row>
    <row r="1391" spans="1:13" hidden="1" x14ac:dyDescent="0.25">
      <c r="A1391" s="5">
        <v>45961</v>
      </c>
      <c r="B1391" t="s">
        <v>568</v>
      </c>
      <c r="C1391" t="s">
        <v>1133</v>
      </c>
      <c r="D1391" t="s">
        <v>815</v>
      </c>
      <c r="E1391" t="str">
        <f t="shared" si="27"/>
        <v>Transferência</v>
      </c>
      <c r="F1391" t="s">
        <v>568</v>
      </c>
      <c r="G1391" t="s">
        <v>568</v>
      </c>
      <c r="J1391" t="s">
        <v>143</v>
      </c>
      <c r="K1391" s="23">
        <v>8269.99</v>
      </c>
      <c r="L1391" t="s">
        <v>18</v>
      </c>
      <c r="M1391" t="s">
        <v>19</v>
      </c>
    </row>
    <row r="1392" spans="1:13" hidden="1" x14ac:dyDescent="0.25">
      <c r="A1392" s="5">
        <v>45961</v>
      </c>
      <c r="B1392" t="s">
        <v>568</v>
      </c>
      <c r="C1392" t="s">
        <v>1134</v>
      </c>
      <c r="D1392" t="s">
        <v>382</v>
      </c>
      <c r="E1392" t="str">
        <f t="shared" si="27"/>
        <v>PES</v>
      </c>
      <c r="F1392" t="s">
        <v>1135</v>
      </c>
      <c r="G1392" t="s">
        <v>1135</v>
      </c>
      <c r="J1392" t="s">
        <v>143</v>
      </c>
      <c r="K1392" s="23">
        <v>-197</v>
      </c>
      <c r="L1392" t="s">
        <v>24</v>
      </c>
      <c r="M1392" t="s">
        <v>25</v>
      </c>
    </row>
    <row r="1393" spans="1:13" hidden="1" x14ac:dyDescent="0.25">
      <c r="A1393" s="5">
        <v>45961</v>
      </c>
      <c r="B1393" t="s">
        <v>568</v>
      </c>
      <c r="C1393" t="s">
        <v>1136</v>
      </c>
      <c r="D1393" t="s">
        <v>1070</v>
      </c>
      <c r="E1393" t="str">
        <f t="shared" si="27"/>
        <v>PES</v>
      </c>
      <c r="F1393" t="s">
        <v>1137</v>
      </c>
      <c r="G1393" t="s">
        <v>1137</v>
      </c>
      <c r="J1393" t="s">
        <v>143</v>
      </c>
      <c r="K1393" s="23">
        <v>-165.9</v>
      </c>
      <c r="L1393" t="s">
        <v>24</v>
      </c>
      <c r="M1393" t="s">
        <v>25</v>
      </c>
    </row>
    <row r="1394" spans="1:13" hidden="1" x14ac:dyDescent="0.25">
      <c r="A1394" s="5">
        <v>45961</v>
      </c>
      <c r="B1394" t="s">
        <v>568</v>
      </c>
      <c r="C1394" t="s">
        <v>939</v>
      </c>
      <c r="D1394" t="s">
        <v>300</v>
      </c>
      <c r="E1394" t="str">
        <f t="shared" si="27"/>
        <v>VAR</v>
      </c>
      <c r="F1394" t="s">
        <v>1138</v>
      </c>
      <c r="G1394" t="s">
        <v>1138</v>
      </c>
      <c r="I1394" t="s">
        <v>1139</v>
      </c>
      <c r="J1394" t="s">
        <v>17</v>
      </c>
      <c r="K1394" s="23">
        <v>-3164</v>
      </c>
      <c r="L1394" t="s">
        <v>24</v>
      </c>
      <c r="M1394" t="s">
        <v>25</v>
      </c>
    </row>
    <row r="1395" spans="1:13" hidden="1" x14ac:dyDescent="0.25">
      <c r="A1395" s="5">
        <v>45961</v>
      </c>
      <c r="B1395" t="s">
        <v>568</v>
      </c>
      <c r="C1395" t="s">
        <v>484</v>
      </c>
      <c r="D1395" t="s">
        <v>207</v>
      </c>
      <c r="E1395" t="str">
        <f t="shared" si="27"/>
        <v>DIR</v>
      </c>
      <c r="F1395" t="s">
        <v>54</v>
      </c>
      <c r="G1395" t="s">
        <v>54</v>
      </c>
      <c r="J1395" t="s">
        <v>17</v>
      </c>
      <c r="K1395" s="23">
        <v>-1351.02</v>
      </c>
      <c r="L1395" t="s">
        <v>24</v>
      </c>
      <c r="M1395" t="s">
        <v>25</v>
      </c>
    </row>
    <row r="1396" spans="1:13" hidden="1" x14ac:dyDescent="0.25">
      <c r="A1396" s="5">
        <v>45961</v>
      </c>
      <c r="B1396" t="s">
        <v>568</v>
      </c>
      <c r="C1396" t="s">
        <v>272</v>
      </c>
      <c r="D1396" t="s">
        <v>198</v>
      </c>
      <c r="E1396" t="str">
        <f t="shared" si="27"/>
        <v>PES</v>
      </c>
      <c r="F1396" t="s">
        <v>645</v>
      </c>
      <c r="G1396" t="s">
        <v>645</v>
      </c>
      <c r="J1396" t="s">
        <v>143</v>
      </c>
      <c r="K1396" s="23">
        <v>-2338.41</v>
      </c>
      <c r="L1396" t="s">
        <v>24</v>
      </c>
      <c r="M1396" t="s">
        <v>25</v>
      </c>
    </row>
    <row r="1397" spans="1:13" hidden="1" x14ac:dyDescent="0.25">
      <c r="A1397" s="5">
        <v>45961</v>
      </c>
      <c r="B1397" t="s">
        <v>569</v>
      </c>
      <c r="C1397" t="s">
        <v>584</v>
      </c>
      <c r="D1397" t="s">
        <v>99</v>
      </c>
      <c r="E1397" t="str">
        <f t="shared" si="27"/>
        <v>ADM</v>
      </c>
      <c r="F1397" t="s">
        <v>100</v>
      </c>
      <c r="G1397" t="s">
        <v>100</v>
      </c>
      <c r="J1397" t="s">
        <v>143</v>
      </c>
      <c r="K1397" s="23">
        <v>-340</v>
      </c>
      <c r="L1397" t="s">
        <v>24</v>
      </c>
      <c r="M1397" t="s">
        <v>25</v>
      </c>
    </row>
    <row r="1398" spans="1:13" hidden="1" x14ac:dyDescent="0.25">
      <c r="A1398" s="5">
        <v>45961</v>
      </c>
      <c r="B1398" t="s">
        <v>569</v>
      </c>
      <c r="C1398" t="s">
        <v>272</v>
      </c>
      <c r="D1398" t="s">
        <v>198</v>
      </c>
      <c r="E1398" t="str">
        <f t="shared" si="27"/>
        <v>PES</v>
      </c>
      <c r="F1398" t="s">
        <v>209</v>
      </c>
      <c r="G1398" t="s">
        <v>209</v>
      </c>
      <c r="J1398" t="s">
        <v>17</v>
      </c>
      <c r="K1398" s="23">
        <v>-3500</v>
      </c>
      <c r="L1398" t="s">
        <v>24</v>
      </c>
      <c r="M1398" t="s">
        <v>25</v>
      </c>
    </row>
    <row r="1399" spans="1:13" hidden="1" x14ac:dyDescent="0.25">
      <c r="A1399" s="5">
        <v>45961</v>
      </c>
      <c r="B1399" t="s">
        <v>568</v>
      </c>
      <c r="C1399" t="s">
        <v>1140</v>
      </c>
      <c r="D1399" t="s">
        <v>1070</v>
      </c>
      <c r="E1399" t="str">
        <f t="shared" si="27"/>
        <v>PES</v>
      </c>
      <c r="F1399" t="s">
        <v>1137</v>
      </c>
      <c r="G1399" t="s">
        <v>1137</v>
      </c>
      <c r="J1399" t="s">
        <v>143</v>
      </c>
      <c r="K1399" s="23">
        <v>-1202.5</v>
      </c>
      <c r="L1399" t="s">
        <v>24</v>
      </c>
      <c r="M1399" t="s">
        <v>25</v>
      </c>
    </row>
    <row r="1400" spans="1:13" hidden="1" x14ac:dyDescent="0.25">
      <c r="A1400" s="5">
        <v>45961</v>
      </c>
      <c r="B1400" t="s">
        <v>568</v>
      </c>
      <c r="C1400" t="s">
        <v>272</v>
      </c>
      <c r="D1400" t="s">
        <v>198</v>
      </c>
      <c r="E1400" t="str">
        <f t="shared" si="27"/>
        <v>PES</v>
      </c>
      <c r="F1400" t="s">
        <v>1141</v>
      </c>
      <c r="G1400" t="s">
        <v>1141</v>
      </c>
      <c r="J1400" t="s">
        <v>143</v>
      </c>
      <c r="K1400" s="23">
        <v>-1502.42</v>
      </c>
      <c r="L1400" t="s">
        <v>24</v>
      </c>
      <c r="M1400" t="s">
        <v>25</v>
      </c>
    </row>
    <row r="1401" spans="1:13" hidden="1" x14ac:dyDescent="0.25">
      <c r="A1401" s="5">
        <v>45961</v>
      </c>
      <c r="B1401" t="s">
        <v>568</v>
      </c>
      <c r="C1401" t="s">
        <v>272</v>
      </c>
      <c r="D1401" t="s">
        <v>198</v>
      </c>
      <c r="E1401" t="str">
        <f t="shared" si="27"/>
        <v>PES</v>
      </c>
      <c r="F1401" t="s">
        <v>199</v>
      </c>
      <c r="G1401" t="s">
        <v>199</v>
      </c>
      <c r="J1401" t="s">
        <v>17</v>
      </c>
      <c r="K1401" s="23">
        <v>-3230.22</v>
      </c>
      <c r="L1401" t="s">
        <v>24</v>
      </c>
      <c r="M1401" t="s">
        <v>25</v>
      </c>
    </row>
    <row r="1402" spans="1:13" hidden="1" x14ac:dyDescent="0.25">
      <c r="A1402" s="5">
        <v>45961</v>
      </c>
      <c r="B1402" t="s">
        <v>568</v>
      </c>
      <c r="C1402" t="s">
        <v>1142</v>
      </c>
      <c r="D1402" t="s">
        <v>815</v>
      </c>
      <c r="E1402" t="str">
        <f t="shared" si="27"/>
        <v>Transferência</v>
      </c>
      <c r="F1402" t="s">
        <v>568</v>
      </c>
      <c r="G1402" t="s">
        <v>568</v>
      </c>
      <c r="J1402" t="s">
        <v>143</v>
      </c>
      <c r="K1402" s="23">
        <v>24809.99</v>
      </c>
      <c r="L1402" t="s">
        <v>18</v>
      </c>
      <c r="M1402" t="s">
        <v>19</v>
      </c>
    </row>
    <row r="1403" spans="1:13" hidden="1" x14ac:dyDescent="0.25">
      <c r="A1403" s="5">
        <v>45961</v>
      </c>
      <c r="B1403" t="s">
        <v>568</v>
      </c>
      <c r="C1403" t="s">
        <v>1143</v>
      </c>
      <c r="D1403" t="s">
        <v>300</v>
      </c>
      <c r="E1403" t="str">
        <f t="shared" si="27"/>
        <v>VAR</v>
      </c>
      <c r="F1403" t="s">
        <v>820</v>
      </c>
      <c r="G1403" t="s">
        <v>820</v>
      </c>
      <c r="I1403" t="s">
        <v>821</v>
      </c>
      <c r="J1403" t="s">
        <v>17</v>
      </c>
      <c r="K1403" s="23">
        <v>-26278.86</v>
      </c>
      <c r="L1403" t="s">
        <v>24</v>
      </c>
      <c r="M1403" t="s">
        <v>25</v>
      </c>
    </row>
    <row r="1404" spans="1:13" hidden="1" x14ac:dyDescent="0.25">
      <c r="A1404" s="5">
        <v>45961</v>
      </c>
      <c r="B1404" t="s">
        <v>569</v>
      </c>
      <c r="C1404" t="s">
        <v>1133</v>
      </c>
      <c r="D1404" t="s">
        <v>815</v>
      </c>
      <c r="E1404" t="str">
        <f t="shared" si="27"/>
        <v>Transferência</v>
      </c>
      <c r="F1404" t="s">
        <v>569</v>
      </c>
      <c r="G1404" t="s">
        <v>569</v>
      </c>
      <c r="J1404" t="s">
        <v>143</v>
      </c>
      <c r="K1404" s="23">
        <v>-8269.99</v>
      </c>
      <c r="L1404" t="s">
        <v>24</v>
      </c>
      <c r="M1404" t="s">
        <v>25</v>
      </c>
    </row>
    <row r="1405" spans="1:13" hidden="1" x14ac:dyDescent="0.25">
      <c r="A1405" s="5">
        <v>45961</v>
      </c>
      <c r="B1405" t="s">
        <v>568</v>
      </c>
      <c r="C1405" t="s">
        <v>1144</v>
      </c>
      <c r="D1405" t="s">
        <v>56</v>
      </c>
      <c r="E1405" t="str">
        <f t="shared" si="27"/>
        <v>Honorários</v>
      </c>
      <c r="F1405" t="s">
        <v>1138</v>
      </c>
      <c r="G1405" t="s">
        <v>1138</v>
      </c>
      <c r="I1405" t="s">
        <v>1139</v>
      </c>
      <c r="J1405" t="s">
        <v>17</v>
      </c>
      <c r="K1405" s="23">
        <v>5000</v>
      </c>
      <c r="L1405" t="s">
        <v>18</v>
      </c>
      <c r="M1405" t="s">
        <v>19</v>
      </c>
    </row>
    <row r="1406" spans="1:13" hidden="1" x14ac:dyDescent="0.25">
      <c r="A1406" s="5">
        <v>45961</v>
      </c>
      <c r="B1406" t="s">
        <v>568</v>
      </c>
      <c r="C1406" t="s">
        <v>1143</v>
      </c>
      <c r="D1406" t="s">
        <v>300</v>
      </c>
      <c r="E1406" t="str">
        <f t="shared" si="27"/>
        <v>VAR</v>
      </c>
      <c r="F1406" t="s">
        <v>820</v>
      </c>
      <c r="G1406" t="s">
        <v>820</v>
      </c>
      <c r="I1406" t="s">
        <v>821</v>
      </c>
      <c r="J1406" t="s">
        <v>17</v>
      </c>
      <c r="K1406" s="23">
        <v>-13124.64</v>
      </c>
      <c r="L1406" t="s">
        <v>24</v>
      </c>
      <c r="M1406" t="s">
        <v>25</v>
      </c>
    </row>
    <row r="1407" spans="1:13" hidden="1" x14ac:dyDescent="0.25">
      <c r="A1407" s="5">
        <v>45961</v>
      </c>
      <c r="B1407" t="s">
        <v>568</v>
      </c>
      <c r="C1407" t="s">
        <v>1143</v>
      </c>
      <c r="D1407" t="s">
        <v>300</v>
      </c>
      <c r="E1407" t="str">
        <f t="shared" si="27"/>
        <v>VAR</v>
      </c>
      <c r="F1407" t="s">
        <v>739</v>
      </c>
      <c r="G1407" t="s">
        <v>739</v>
      </c>
      <c r="I1407" t="s">
        <v>740</v>
      </c>
      <c r="J1407" t="s">
        <v>17</v>
      </c>
      <c r="K1407" s="23">
        <v>-365.58</v>
      </c>
      <c r="L1407" t="s">
        <v>24</v>
      </c>
      <c r="M1407" t="s">
        <v>25</v>
      </c>
    </row>
    <row r="1408" spans="1:13" hidden="1" x14ac:dyDescent="0.25">
      <c r="A1408" s="5">
        <v>45961</v>
      </c>
      <c r="B1408" t="s">
        <v>568</v>
      </c>
      <c r="C1408" t="s">
        <v>952</v>
      </c>
      <c r="D1408" t="s">
        <v>201</v>
      </c>
      <c r="E1408" t="str">
        <f t="shared" si="27"/>
        <v>DIR</v>
      </c>
      <c r="F1408" t="s">
        <v>67</v>
      </c>
      <c r="G1408" t="s">
        <v>67</v>
      </c>
      <c r="J1408" t="s">
        <v>143</v>
      </c>
      <c r="K1408" s="23">
        <v>-3964.21</v>
      </c>
      <c r="L1408" t="s">
        <v>24</v>
      </c>
      <c r="M1408" t="s">
        <v>25</v>
      </c>
    </row>
    <row r="1409" spans="1:14" hidden="1" x14ac:dyDescent="0.25">
      <c r="A1409" s="5">
        <v>45961</v>
      </c>
      <c r="B1409" t="s">
        <v>568</v>
      </c>
      <c r="C1409" t="s">
        <v>484</v>
      </c>
      <c r="D1409" t="s">
        <v>207</v>
      </c>
      <c r="E1409" t="str">
        <f t="shared" si="27"/>
        <v>DIR</v>
      </c>
      <c r="F1409" t="s">
        <v>67</v>
      </c>
      <c r="G1409" t="s">
        <v>67</v>
      </c>
      <c r="J1409" t="s">
        <v>17</v>
      </c>
      <c r="K1409" s="23">
        <v>-1035.79</v>
      </c>
      <c r="L1409" t="s">
        <v>24</v>
      </c>
      <c r="M1409" t="s">
        <v>25</v>
      </c>
    </row>
    <row r="1410" spans="1:14" hidden="1" x14ac:dyDescent="0.25">
      <c r="A1410" s="5">
        <v>45961</v>
      </c>
      <c r="B1410" t="s">
        <v>569</v>
      </c>
      <c r="C1410" t="s">
        <v>1142</v>
      </c>
      <c r="D1410" t="s">
        <v>815</v>
      </c>
      <c r="E1410" t="str">
        <f t="shared" si="27"/>
        <v>Transferência</v>
      </c>
      <c r="F1410" t="s">
        <v>569</v>
      </c>
      <c r="G1410" t="s">
        <v>569</v>
      </c>
      <c r="J1410" t="s">
        <v>143</v>
      </c>
      <c r="K1410" s="23">
        <v>-24809.99</v>
      </c>
      <c r="L1410" t="s">
        <v>24</v>
      </c>
      <c r="M1410" t="s">
        <v>25</v>
      </c>
      <c r="N1410">
        <v>1</v>
      </c>
    </row>
    <row r="1411" spans="1:14" hidden="1" x14ac:dyDescent="0.25">
      <c r="A1411" s="5">
        <v>45963</v>
      </c>
      <c r="B1411" t="s">
        <v>568</v>
      </c>
      <c r="C1411" t="s">
        <v>722</v>
      </c>
      <c r="D1411" t="s">
        <v>56</v>
      </c>
      <c r="E1411" t="str">
        <f t="shared" si="27"/>
        <v>Honorários</v>
      </c>
      <c r="F1411" t="s">
        <v>723</v>
      </c>
      <c r="G1411" t="s">
        <v>723</v>
      </c>
      <c r="I1411" t="s">
        <v>724</v>
      </c>
      <c r="J1411" t="s">
        <v>143</v>
      </c>
      <c r="K1411" s="23">
        <v>500</v>
      </c>
      <c r="L1411" t="s">
        <v>18</v>
      </c>
      <c r="M1411" t="s">
        <v>83</v>
      </c>
    </row>
    <row r="1412" spans="1:14" hidden="1" x14ac:dyDescent="0.25">
      <c r="A1412" s="5">
        <v>45964</v>
      </c>
      <c r="B1412" t="s">
        <v>568</v>
      </c>
      <c r="C1412" t="s">
        <v>917</v>
      </c>
      <c r="D1412" t="s">
        <v>198</v>
      </c>
      <c r="E1412" t="str">
        <f t="shared" si="27"/>
        <v>PES</v>
      </c>
      <c r="F1412" t="s">
        <v>918</v>
      </c>
      <c r="G1412" t="s">
        <v>918</v>
      </c>
      <c r="J1412" t="s">
        <v>143</v>
      </c>
      <c r="K1412" s="23">
        <v>-1300</v>
      </c>
      <c r="L1412" t="s">
        <v>24</v>
      </c>
      <c r="M1412" t="s">
        <v>25</v>
      </c>
    </row>
    <row r="1413" spans="1:14" hidden="1" x14ac:dyDescent="0.25">
      <c r="A1413" s="5">
        <v>45964</v>
      </c>
      <c r="B1413" t="s">
        <v>568</v>
      </c>
      <c r="C1413" t="s">
        <v>51</v>
      </c>
      <c r="D1413" t="s">
        <v>52</v>
      </c>
      <c r="E1413" t="str">
        <f t="shared" si="27"/>
        <v>ADM</v>
      </c>
      <c r="F1413" t="s">
        <v>53</v>
      </c>
      <c r="G1413" t="s">
        <v>53</v>
      </c>
      <c r="J1413" t="s">
        <v>17</v>
      </c>
      <c r="K1413" s="23">
        <v>-1518</v>
      </c>
      <c r="L1413" t="s">
        <v>24</v>
      </c>
      <c r="M1413" t="s">
        <v>25</v>
      </c>
    </row>
    <row r="1414" spans="1:14" hidden="1" x14ac:dyDescent="0.25">
      <c r="A1414" s="5">
        <v>45964</v>
      </c>
      <c r="B1414" t="s">
        <v>569</v>
      </c>
      <c r="C1414" t="s">
        <v>706</v>
      </c>
      <c r="D1414" t="s">
        <v>28</v>
      </c>
      <c r="E1414" t="str">
        <f t="shared" si="27"/>
        <v>ADM</v>
      </c>
      <c r="F1414" t="s">
        <v>491</v>
      </c>
      <c r="G1414" t="s">
        <v>491</v>
      </c>
      <c r="J1414" t="s">
        <v>143</v>
      </c>
      <c r="K1414" s="23">
        <v>-60.7</v>
      </c>
      <c r="L1414" t="s">
        <v>24</v>
      </c>
      <c r="M1414" t="s">
        <v>25</v>
      </c>
    </row>
    <row r="1415" spans="1:14" hidden="1" x14ac:dyDescent="0.25">
      <c r="A1415" s="5">
        <v>45964</v>
      </c>
      <c r="B1415" t="s">
        <v>568</v>
      </c>
      <c r="C1415" t="s">
        <v>1154</v>
      </c>
      <c r="D1415" t="s">
        <v>998</v>
      </c>
      <c r="E1415" t="str">
        <f t="shared" si="27"/>
        <v>ADM</v>
      </c>
      <c r="F1415" t="s">
        <v>1033</v>
      </c>
      <c r="G1415" t="s">
        <v>1033</v>
      </c>
      <c r="J1415" t="s">
        <v>143</v>
      </c>
      <c r="K1415" s="23">
        <v>-1000</v>
      </c>
      <c r="L1415" t="s">
        <v>24</v>
      </c>
      <c r="M1415" t="s">
        <v>25</v>
      </c>
    </row>
    <row r="1416" spans="1:14" hidden="1" x14ac:dyDescent="0.25">
      <c r="A1416" s="5">
        <v>45964</v>
      </c>
      <c r="B1416" t="s">
        <v>568</v>
      </c>
      <c r="C1416" t="s">
        <v>61</v>
      </c>
      <c r="D1416" t="s">
        <v>62</v>
      </c>
      <c r="E1416" t="str">
        <f t="shared" si="27"/>
        <v>INV</v>
      </c>
      <c r="F1416" t="s">
        <v>63</v>
      </c>
      <c r="G1416" t="s">
        <v>63</v>
      </c>
      <c r="J1416" t="s">
        <v>17</v>
      </c>
      <c r="K1416" s="23">
        <v>-1750</v>
      </c>
      <c r="L1416" t="s">
        <v>24</v>
      </c>
      <c r="M1416" t="s">
        <v>25</v>
      </c>
    </row>
    <row r="1417" spans="1:14" hidden="1" x14ac:dyDescent="0.25">
      <c r="A1417" s="5">
        <v>45964</v>
      </c>
      <c r="B1417" t="s">
        <v>569</v>
      </c>
      <c r="C1417" t="s">
        <v>1155</v>
      </c>
      <c r="D1417" t="s">
        <v>300</v>
      </c>
      <c r="E1417" t="str">
        <f t="shared" si="27"/>
        <v>VAR</v>
      </c>
      <c r="F1417" t="s">
        <v>1064</v>
      </c>
      <c r="G1417" t="s">
        <v>1064</v>
      </c>
      <c r="J1417" t="s">
        <v>143</v>
      </c>
      <c r="K1417" s="23">
        <v>-100</v>
      </c>
      <c r="L1417" t="s">
        <v>24</v>
      </c>
      <c r="M1417" t="s">
        <v>25</v>
      </c>
    </row>
    <row r="1418" spans="1:14" hidden="1" x14ac:dyDescent="0.25">
      <c r="A1418" s="5">
        <v>45965</v>
      </c>
      <c r="B1418" t="s">
        <v>20</v>
      </c>
      <c r="C1418" t="s">
        <v>573</v>
      </c>
      <c r="D1418" t="s">
        <v>382</v>
      </c>
      <c r="E1418" t="str">
        <f t="shared" si="27"/>
        <v>PES</v>
      </c>
      <c r="F1418" t="s">
        <v>23</v>
      </c>
      <c r="G1418" t="s">
        <v>23</v>
      </c>
      <c r="J1418" t="s">
        <v>143</v>
      </c>
      <c r="K1418" s="23">
        <v>-59.9</v>
      </c>
      <c r="L1418" t="s">
        <v>24</v>
      </c>
      <c r="M1418" t="s">
        <v>25</v>
      </c>
    </row>
    <row r="1419" spans="1:14" hidden="1" x14ac:dyDescent="0.25">
      <c r="A1419" s="5">
        <v>45965</v>
      </c>
      <c r="B1419" t="s">
        <v>20</v>
      </c>
      <c r="C1419" t="s">
        <v>37</v>
      </c>
      <c r="D1419" t="s">
        <v>30</v>
      </c>
      <c r="E1419" t="str">
        <f t="shared" si="27"/>
        <v>ADM</v>
      </c>
      <c r="F1419" t="s">
        <v>23</v>
      </c>
      <c r="G1419" t="s">
        <v>23</v>
      </c>
      <c r="J1419" t="s">
        <v>17</v>
      </c>
      <c r="K1419" s="23">
        <v>-80.91</v>
      </c>
      <c r="L1419" t="s">
        <v>24</v>
      </c>
      <c r="M1419" t="s">
        <v>25</v>
      </c>
    </row>
    <row r="1420" spans="1:14" hidden="1" x14ac:dyDescent="0.25">
      <c r="A1420" s="5">
        <v>45965</v>
      </c>
      <c r="B1420" t="s">
        <v>20</v>
      </c>
      <c r="C1420" t="s">
        <v>1156</v>
      </c>
      <c r="D1420" t="s">
        <v>149</v>
      </c>
      <c r="E1420" t="str">
        <f t="shared" si="27"/>
        <v>ADM</v>
      </c>
      <c r="F1420" t="s">
        <v>23</v>
      </c>
      <c r="G1420" t="s">
        <v>23</v>
      </c>
      <c r="J1420" t="s">
        <v>143</v>
      </c>
      <c r="K1420" s="23">
        <v>-177.97</v>
      </c>
      <c r="L1420" t="s">
        <v>24</v>
      </c>
      <c r="M1420" t="s">
        <v>25</v>
      </c>
    </row>
    <row r="1421" spans="1:14" hidden="1" x14ac:dyDescent="0.25">
      <c r="A1421" s="5">
        <v>45965</v>
      </c>
      <c r="B1421" t="s">
        <v>20</v>
      </c>
      <c r="C1421" t="s">
        <v>32</v>
      </c>
      <c r="D1421" t="s">
        <v>30</v>
      </c>
      <c r="E1421" t="str">
        <f t="shared" si="27"/>
        <v>ADM</v>
      </c>
      <c r="F1421" t="s">
        <v>23</v>
      </c>
      <c r="G1421" t="s">
        <v>23</v>
      </c>
      <c r="J1421" t="s">
        <v>17</v>
      </c>
      <c r="K1421" s="23">
        <v>-58.9</v>
      </c>
      <c r="L1421" t="s">
        <v>24</v>
      </c>
      <c r="M1421" t="s">
        <v>25</v>
      </c>
    </row>
    <row r="1422" spans="1:14" hidden="1" x14ac:dyDescent="0.25">
      <c r="A1422" s="5">
        <v>45965</v>
      </c>
      <c r="B1422" t="s">
        <v>20</v>
      </c>
      <c r="C1422" t="s">
        <v>540</v>
      </c>
      <c r="D1422" t="s">
        <v>28</v>
      </c>
      <c r="E1422" t="str">
        <f t="shared" si="27"/>
        <v>ADM</v>
      </c>
      <c r="F1422" t="s">
        <v>23</v>
      </c>
      <c r="G1422" t="s">
        <v>23</v>
      </c>
      <c r="J1422" t="s">
        <v>143</v>
      </c>
      <c r="K1422" s="23">
        <v>-79.599999999999994</v>
      </c>
      <c r="L1422" t="s">
        <v>24</v>
      </c>
      <c r="M1422" t="s">
        <v>25</v>
      </c>
    </row>
    <row r="1423" spans="1:14" hidden="1" x14ac:dyDescent="0.25">
      <c r="A1423" s="5">
        <v>45965</v>
      </c>
      <c r="B1423" t="s">
        <v>20</v>
      </c>
      <c r="C1423" t="s">
        <v>1157</v>
      </c>
      <c r="D1423" t="s">
        <v>28</v>
      </c>
      <c r="E1423" t="str">
        <f t="shared" si="27"/>
        <v>ADM</v>
      </c>
      <c r="F1423" t="s">
        <v>23</v>
      </c>
      <c r="G1423" t="s">
        <v>23</v>
      </c>
      <c r="J1423" t="s">
        <v>143</v>
      </c>
      <c r="K1423" s="23">
        <v>-26.68</v>
      </c>
      <c r="L1423" t="s">
        <v>24</v>
      </c>
      <c r="M1423" t="s">
        <v>25</v>
      </c>
    </row>
    <row r="1424" spans="1:14" hidden="1" x14ac:dyDescent="0.25">
      <c r="A1424" s="5">
        <v>45965</v>
      </c>
      <c r="B1424" t="s">
        <v>569</v>
      </c>
      <c r="C1424" t="s">
        <v>914</v>
      </c>
      <c r="D1424" t="s">
        <v>56</v>
      </c>
      <c r="E1424" t="str">
        <f t="shared" si="27"/>
        <v>Honorários</v>
      </c>
      <c r="F1424" t="s">
        <v>726</v>
      </c>
      <c r="G1424" t="s">
        <v>726</v>
      </c>
      <c r="I1424" t="s">
        <v>727</v>
      </c>
      <c r="J1424" t="s">
        <v>143</v>
      </c>
      <c r="K1424" s="23">
        <v>557</v>
      </c>
      <c r="L1424" t="s">
        <v>18</v>
      </c>
      <c r="M1424" t="s">
        <v>19</v>
      </c>
    </row>
    <row r="1425" spans="1:13" hidden="1" x14ac:dyDescent="0.25">
      <c r="A1425" s="5">
        <v>45965</v>
      </c>
      <c r="B1425" t="s">
        <v>20</v>
      </c>
      <c r="C1425" t="s">
        <v>284</v>
      </c>
      <c r="D1425" t="s">
        <v>39</v>
      </c>
      <c r="E1425" t="str">
        <f t="shared" si="27"/>
        <v>INV</v>
      </c>
      <c r="F1425" t="s">
        <v>23</v>
      </c>
      <c r="G1425" t="s">
        <v>23</v>
      </c>
      <c r="H1425" t="s">
        <v>285</v>
      </c>
      <c r="J1425" t="s">
        <v>143</v>
      </c>
      <c r="K1425" s="23">
        <v>-333.24</v>
      </c>
      <c r="L1425" t="s">
        <v>24</v>
      </c>
      <c r="M1425" t="s">
        <v>25</v>
      </c>
    </row>
    <row r="1426" spans="1:13" hidden="1" x14ac:dyDescent="0.25">
      <c r="A1426" s="5">
        <v>45965</v>
      </c>
      <c r="B1426" t="s">
        <v>20</v>
      </c>
      <c r="C1426" t="s">
        <v>45</v>
      </c>
      <c r="D1426" t="s">
        <v>15</v>
      </c>
      <c r="E1426" t="str">
        <f t="shared" si="27"/>
        <v>ADM</v>
      </c>
      <c r="F1426" t="s">
        <v>23</v>
      </c>
      <c r="G1426" t="s">
        <v>23</v>
      </c>
      <c r="J1426" t="s">
        <v>17</v>
      </c>
      <c r="K1426" s="23">
        <v>1504.82</v>
      </c>
      <c r="L1426" t="s">
        <v>18</v>
      </c>
      <c r="M1426" t="s">
        <v>19</v>
      </c>
    </row>
    <row r="1427" spans="1:13" hidden="1" x14ac:dyDescent="0.25">
      <c r="A1427" s="5">
        <v>45965</v>
      </c>
      <c r="B1427" t="s">
        <v>568</v>
      </c>
      <c r="C1427" t="s">
        <v>1158</v>
      </c>
      <c r="D1427" t="s">
        <v>215</v>
      </c>
      <c r="E1427" t="str">
        <f t="shared" ref="E1427:E1490" si="28">IF(ISERROR(FIND("-",D1427,1)),D1427,LEFT(D1427,3))</f>
        <v>COM</v>
      </c>
      <c r="F1427" t="s">
        <v>1159</v>
      </c>
      <c r="G1427" t="s">
        <v>1159</v>
      </c>
      <c r="J1427" t="s">
        <v>143</v>
      </c>
      <c r="K1427" s="23">
        <v>-2347.11</v>
      </c>
      <c r="L1427" t="s">
        <v>24</v>
      </c>
      <c r="M1427" t="s">
        <v>25</v>
      </c>
    </row>
    <row r="1428" spans="1:13" hidden="1" x14ac:dyDescent="0.25">
      <c r="A1428" s="5">
        <v>45965</v>
      </c>
      <c r="B1428" t="s">
        <v>20</v>
      </c>
      <c r="C1428" t="s">
        <v>46</v>
      </c>
      <c r="D1428" t="s">
        <v>30</v>
      </c>
      <c r="E1428" t="str">
        <f t="shared" si="28"/>
        <v>ADM</v>
      </c>
      <c r="F1428" t="s">
        <v>23</v>
      </c>
      <c r="G1428" t="s">
        <v>23</v>
      </c>
      <c r="J1428" t="s">
        <v>17</v>
      </c>
      <c r="K1428" s="23">
        <v>-119.9</v>
      </c>
      <c r="L1428" t="s">
        <v>24</v>
      </c>
      <c r="M1428" t="s">
        <v>25</v>
      </c>
    </row>
    <row r="1429" spans="1:13" hidden="1" x14ac:dyDescent="0.25">
      <c r="A1429" s="5">
        <v>45965</v>
      </c>
      <c r="B1429" t="s">
        <v>20</v>
      </c>
      <c r="C1429" t="s">
        <v>1160</v>
      </c>
      <c r="D1429" t="s">
        <v>28</v>
      </c>
      <c r="E1429" t="str">
        <f t="shared" si="28"/>
        <v>ADM</v>
      </c>
      <c r="F1429" t="s">
        <v>23</v>
      </c>
      <c r="G1429" t="s">
        <v>23</v>
      </c>
      <c r="J1429" t="s">
        <v>143</v>
      </c>
      <c r="K1429" s="23">
        <v>-390.3</v>
      </c>
      <c r="L1429" t="s">
        <v>24</v>
      </c>
      <c r="M1429" t="s">
        <v>25</v>
      </c>
    </row>
    <row r="1430" spans="1:13" hidden="1" x14ac:dyDescent="0.25">
      <c r="A1430" s="5">
        <v>45965</v>
      </c>
      <c r="B1430" t="s">
        <v>20</v>
      </c>
      <c r="C1430" t="s">
        <v>32</v>
      </c>
      <c r="D1430" t="s">
        <v>30</v>
      </c>
      <c r="E1430" t="str">
        <f t="shared" si="28"/>
        <v>ADM</v>
      </c>
      <c r="F1430" t="s">
        <v>23</v>
      </c>
      <c r="G1430" t="s">
        <v>23</v>
      </c>
      <c r="J1430" t="s">
        <v>17</v>
      </c>
      <c r="K1430" s="23">
        <v>-58.9</v>
      </c>
      <c r="L1430" t="s">
        <v>24</v>
      </c>
      <c r="M1430" t="s">
        <v>25</v>
      </c>
    </row>
    <row r="1431" spans="1:13" hidden="1" x14ac:dyDescent="0.25">
      <c r="A1431" s="5">
        <v>45965</v>
      </c>
      <c r="B1431" t="s">
        <v>20</v>
      </c>
      <c r="C1431" t="s">
        <v>387</v>
      </c>
      <c r="D1431" t="s">
        <v>28</v>
      </c>
      <c r="E1431" t="str">
        <f t="shared" si="28"/>
        <v>ADM</v>
      </c>
      <c r="F1431" t="s">
        <v>788</v>
      </c>
      <c r="G1431" t="s">
        <v>788</v>
      </c>
      <c r="J1431" t="s">
        <v>143</v>
      </c>
      <c r="K1431" s="23">
        <v>-26.73</v>
      </c>
      <c r="L1431" t="s">
        <v>24</v>
      </c>
      <c r="M1431" t="s">
        <v>25</v>
      </c>
    </row>
    <row r="1432" spans="1:13" hidden="1" x14ac:dyDescent="0.25">
      <c r="A1432" s="5">
        <v>45965</v>
      </c>
      <c r="B1432" t="s">
        <v>20</v>
      </c>
      <c r="C1432" t="s">
        <v>1161</v>
      </c>
      <c r="D1432" t="s">
        <v>89</v>
      </c>
      <c r="E1432" t="str">
        <f t="shared" si="28"/>
        <v>ADM</v>
      </c>
      <c r="F1432" t="s">
        <v>23</v>
      </c>
      <c r="G1432" t="s">
        <v>23</v>
      </c>
      <c r="J1432" t="s">
        <v>143</v>
      </c>
      <c r="K1432" s="23">
        <v>-21.9</v>
      </c>
      <c r="L1432" t="s">
        <v>24</v>
      </c>
      <c r="M1432" t="s">
        <v>25</v>
      </c>
    </row>
    <row r="1433" spans="1:13" hidden="1" x14ac:dyDescent="0.25">
      <c r="A1433" s="5">
        <v>45965</v>
      </c>
      <c r="B1433" t="s">
        <v>569</v>
      </c>
      <c r="C1433" t="s">
        <v>683</v>
      </c>
      <c r="D1433" t="s">
        <v>56</v>
      </c>
      <c r="E1433" t="str">
        <f t="shared" si="28"/>
        <v>Honorários</v>
      </c>
      <c r="F1433" t="s">
        <v>1162</v>
      </c>
      <c r="G1433" t="s">
        <v>1162</v>
      </c>
      <c r="I1433" t="s">
        <v>75</v>
      </c>
      <c r="J1433" t="s">
        <v>143</v>
      </c>
      <c r="K1433" s="23">
        <v>759</v>
      </c>
      <c r="L1433" t="s">
        <v>18</v>
      </c>
      <c r="M1433" t="s">
        <v>19</v>
      </c>
    </row>
    <row r="1434" spans="1:13" hidden="1" x14ac:dyDescent="0.25">
      <c r="A1434" s="5">
        <v>45965</v>
      </c>
      <c r="B1434" t="s">
        <v>20</v>
      </c>
      <c r="C1434" t="s">
        <v>41</v>
      </c>
      <c r="D1434" t="s">
        <v>30</v>
      </c>
      <c r="E1434" t="str">
        <f t="shared" si="28"/>
        <v>ADM</v>
      </c>
      <c r="F1434" t="s">
        <v>23</v>
      </c>
      <c r="G1434" t="s">
        <v>23</v>
      </c>
      <c r="J1434" t="s">
        <v>17</v>
      </c>
      <c r="K1434" s="23">
        <v>-49.99</v>
      </c>
      <c r="L1434" t="s">
        <v>24</v>
      </c>
      <c r="M1434" t="s">
        <v>25</v>
      </c>
    </row>
    <row r="1435" spans="1:13" hidden="1" x14ac:dyDescent="0.25">
      <c r="A1435" s="5">
        <v>45965</v>
      </c>
      <c r="B1435" t="s">
        <v>20</v>
      </c>
      <c r="C1435" t="s">
        <v>40</v>
      </c>
      <c r="D1435" t="s">
        <v>30</v>
      </c>
      <c r="E1435" t="str">
        <f t="shared" si="28"/>
        <v>ADM</v>
      </c>
      <c r="F1435" t="s">
        <v>23</v>
      </c>
      <c r="G1435" t="s">
        <v>23</v>
      </c>
      <c r="J1435" t="s">
        <v>17</v>
      </c>
      <c r="K1435" s="23">
        <v>-19.899999999999999</v>
      </c>
      <c r="L1435" t="s">
        <v>24</v>
      </c>
      <c r="M1435" t="s">
        <v>25</v>
      </c>
    </row>
    <row r="1436" spans="1:13" hidden="1" x14ac:dyDescent="0.25">
      <c r="A1436" s="5">
        <v>45966</v>
      </c>
      <c r="B1436" t="s">
        <v>569</v>
      </c>
      <c r="C1436" t="s">
        <v>1163</v>
      </c>
      <c r="D1436" t="s">
        <v>448</v>
      </c>
      <c r="E1436" t="str">
        <f t="shared" si="28"/>
        <v>COM</v>
      </c>
      <c r="F1436" t="s">
        <v>222</v>
      </c>
      <c r="G1436" t="s">
        <v>222</v>
      </c>
      <c r="J1436" t="s">
        <v>143</v>
      </c>
      <c r="K1436" s="23">
        <v>-290</v>
      </c>
      <c r="L1436" t="s">
        <v>24</v>
      </c>
      <c r="M1436" t="s">
        <v>25</v>
      </c>
    </row>
    <row r="1437" spans="1:13" hidden="1" x14ac:dyDescent="0.25">
      <c r="A1437" s="5">
        <v>45966</v>
      </c>
      <c r="B1437" t="s">
        <v>568</v>
      </c>
      <c r="C1437" t="s">
        <v>45</v>
      </c>
      <c r="D1437" t="s">
        <v>15</v>
      </c>
      <c r="E1437" t="str">
        <f t="shared" si="28"/>
        <v>ADM</v>
      </c>
      <c r="F1437" t="s">
        <v>23</v>
      </c>
      <c r="G1437" t="s">
        <v>23</v>
      </c>
      <c r="J1437" t="s">
        <v>143</v>
      </c>
      <c r="K1437" s="23">
        <v>-1504.82</v>
      </c>
      <c r="L1437" t="s">
        <v>24</v>
      </c>
      <c r="M1437" t="s">
        <v>25</v>
      </c>
    </row>
    <row r="1438" spans="1:13" hidden="1" x14ac:dyDescent="0.25">
      <c r="A1438" s="5">
        <v>45966</v>
      </c>
      <c r="B1438" t="s">
        <v>568</v>
      </c>
      <c r="C1438" t="s">
        <v>391</v>
      </c>
      <c r="D1438" t="s">
        <v>96</v>
      </c>
      <c r="E1438" t="str">
        <f t="shared" si="28"/>
        <v>ADM</v>
      </c>
      <c r="F1438" t="s">
        <v>97</v>
      </c>
      <c r="G1438" t="s">
        <v>97</v>
      </c>
      <c r="J1438" t="s">
        <v>17</v>
      </c>
      <c r="K1438" s="23">
        <v>-61.65</v>
      </c>
      <c r="L1438" t="s">
        <v>24</v>
      </c>
      <c r="M1438" t="s">
        <v>25</v>
      </c>
    </row>
    <row r="1439" spans="1:13" hidden="1" x14ac:dyDescent="0.25">
      <c r="A1439" s="5">
        <v>45966</v>
      </c>
      <c r="B1439" t="s">
        <v>568</v>
      </c>
      <c r="C1439" t="s">
        <v>388</v>
      </c>
      <c r="D1439" t="s">
        <v>96</v>
      </c>
      <c r="E1439" t="str">
        <f t="shared" si="28"/>
        <v>ADM</v>
      </c>
      <c r="F1439" t="s">
        <v>97</v>
      </c>
      <c r="G1439" t="s">
        <v>97</v>
      </c>
      <c r="J1439" t="s">
        <v>17</v>
      </c>
      <c r="K1439" s="23">
        <v>-1291.57</v>
      </c>
      <c r="L1439" t="s">
        <v>24</v>
      </c>
      <c r="M1439" t="s">
        <v>25</v>
      </c>
    </row>
    <row r="1440" spans="1:13" hidden="1" x14ac:dyDescent="0.25">
      <c r="A1440" s="5">
        <v>45966</v>
      </c>
      <c r="B1440" t="s">
        <v>568</v>
      </c>
      <c r="C1440" t="s">
        <v>390</v>
      </c>
      <c r="D1440" t="s">
        <v>96</v>
      </c>
      <c r="E1440" t="str">
        <f t="shared" si="28"/>
        <v>ADM</v>
      </c>
      <c r="F1440" t="s">
        <v>97</v>
      </c>
      <c r="G1440" t="s">
        <v>97</v>
      </c>
      <c r="J1440" t="s">
        <v>17</v>
      </c>
      <c r="K1440" s="23">
        <v>-61.65</v>
      </c>
      <c r="L1440" t="s">
        <v>24</v>
      </c>
      <c r="M1440" t="s">
        <v>25</v>
      </c>
    </row>
    <row r="1441" spans="1:13" hidden="1" x14ac:dyDescent="0.25">
      <c r="A1441" s="5">
        <v>45966</v>
      </c>
      <c r="B1441" t="s">
        <v>568</v>
      </c>
      <c r="C1441" t="s">
        <v>392</v>
      </c>
      <c r="D1441" t="s">
        <v>96</v>
      </c>
      <c r="E1441" t="str">
        <f t="shared" si="28"/>
        <v>ADM</v>
      </c>
      <c r="F1441" t="s">
        <v>97</v>
      </c>
      <c r="G1441" t="s">
        <v>97</v>
      </c>
      <c r="J1441" t="s">
        <v>17</v>
      </c>
      <c r="K1441" s="23">
        <v>-61.65</v>
      </c>
      <c r="L1441" t="s">
        <v>24</v>
      </c>
      <c r="M1441" t="s">
        <v>25</v>
      </c>
    </row>
    <row r="1442" spans="1:13" hidden="1" x14ac:dyDescent="0.25">
      <c r="A1442" s="5">
        <v>45966</v>
      </c>
      <c r="B1442" t="s">
        <v>568</v>
      </c>
      <c r="C1442" t="s">
        <v>393</v>
      </c>
      <c r="D1442" t="s">
        <v>96</v>
      </c>
      <c r="E1442" t="str">
        <f t="shared" si="28"/>
        <v>ADM</v>
      </c>
      <c r="F1442" t="s">
        <v>97</v>
      </c>
      <c r="G1442" t="s">
        <v>97</v>
      </c>
      <c r="J1442" t="s">
        <v>17</v>
      </c>
      <c r="K1442" s="23">
        <v>-61.65</v>
      </c>
      <c r="L1442" t="s">
        <v>24</v>
      </c>
      <c r="M1442" t="s">
        <v>25</v>
      </c>
    </row>
    <row r="1443" spans="1:13" hidden="1" x14ac:dyDescent="0.25">
      <c r="A1443" s="5">
        <v>45966</v>
      </c>
      <c r="B1443" t="s">
        <v>568</v>
      </c>
      <c r="C1443" t="s">
        <v>394</v>
      </c>
      <c r="D1443" t="s">
        <v>96</v>
      </c>
      <c r="E1443" t="str">
        <f t="shared" si="28"/>
        <v>ADM</v>
      </c>
      <c r="F1443" t="s">
        <v>97</v>
      </c>
      <c r="G1443" t="s">
        <v>97</v>
      </c>
      <c r="J1443" t="s">
        <v>17</v>
      </c>
      <c r="K1443" s="23">
        <v>-61.65</v>
      </c>
      <c r="L1443" t="s">
        <v>24</v>
      </c>
      <c r="M1443" t="s">
        <v>25</v>
      </c>
    </row>
    <row r="1444" spans="1:13" hidden="1" x14ac:dyDescent="0.25">
      <c r="A1444" s="5">
        <v>45966</v>
      </c>
      <c r="B1444" t="s">
        <v>568</v>
      </c>
      <c r="C1444" t="s">
        <v>389</v>
      </c>
      <c r="D1444" t="s">
        <v>96</v>
      </c>
      <c r="E1444" t="str">
        <f t="shared" si="28"/>
        <v>ADM</v>
      </c>
      <c r="F1444" t="s">
        <v>97</v>
      </c>
      <c r="G1444" t="s">
        <v>97</v>
      </c>
      <c r="J1444" t="s">
        <v>17</v>
      </c>
      <c r="K1444" s="23">
        <v>-1292.2</v>
      </c>
      <c r="L1444" t="s">
        <v>24</v>
      </c>
      <c r="M1444" t="s">
        <v>25</v>
      </c>
    </row>
    <row r="1445" spans="1:13" hidden="1" x14ac:dyDescent="0.25">
      <c r="A1445" s="5">
        <v>45966</v>
      </c>
      <c r="B1445" t="s">
        <v>569</v>
      </c>
      <c r="C1445" t="s">
        <v>1164</v>
      </c>
      <c r="D1445" t="s">
        <v>56</v>
      </c>
      <c r="E1445" t="str">
        <f t="shared" si="28"/>
        <v>Honorários</v>
      </c>
      <c r="F1445" t="s">
        <v>1165</v>
      </c>
      <c r="G1445" t="s">
        <v>1165</v>
      </c>
      <c r="I1445" t="s">
        <v>117</v>
      </c>
      <c r="J1445" t="s">
        <v>143</v>
      </c>
      <c r="K1445" s="23">
        <v>1824.25</v>
      </c>
      <c r="L1445" t="s">
        <v>18</v>
      </c>
      <c r="M1445" t="s">
        <v>19</v>
      </c>
    </row>
    <row r="1446" spans="1:13" hidden="1" x14ac:dyDescent="0.25">
      <c r="A1446" s="5">
        <v>45967</v>
      </c>
      <c r="B1446" t="s">
        <v>568</v>
      </c>
      <c r="C1446" t="s">
        <v>118</v>
      </c>
      <c r="D1446" t="s">
        <v>113</v>
      </c>
      <c r="E1446" t="str">
        <f t="shared" si="28"/>
        <v>ADM</v>
      </c>
      <c r="F1446" t="s">
        <v>114</v>
      </c>
      <c r="G1446" t="s">
        <v>114</v>
      </c>
      <c r="J1446" t="s">
        <v>17</v>
      </c>
      <c r="K1446" s="23">
        <v>-137.37</v>
      </c>
      <c r="L1446" t="s">
        <v>24</v>
      </c>
      <c r="M1446" t="s">
        <v>25</v>
      </c>
    </row>
    <row r="1447" spans="1:13" hidden="1" x14ac:dyDescent="0.25">
      <c r="A1447" s="5">
        <v>45967</v>
      </c>
      <c r="B1447" t="s">
        <v>568</v>
      </c>
      <c r="C1447" t="s">
        <v>843</v>
      </c>
      <c r="D1447" t="s">
        <v>56</v>
      </c>
      <c r="E1447" t="str">
        <f t="shared" si="28"/>
        <v>Honorários</v>
      </c>
      <c r="F1447" t="s">
        <v>483</v>
      </c>
      <c r="G1447" t="s">
        <v>483</v>
      </c>
      <c r="I1447" t="s">
        <v>93</v>
      </c>
      <c r="J1447" t="s">
        <v>143</v>
      </c>
      <c r="K1447" s="23">
        <v>489.47999999999996</v>
      </c>
      <c r="L1447" t="s">
        <v>18</v>
      </c>
      <c r="M1447" t="s">
        <v>19</v>
      </c>
    </row>
    <row r="1448" spans="1:13" hidden="1" x14ac:dyDescent="0.25">
      <c r="A1448" s="5">
        <v>45968</v>
      </c>
      <c r="B1448" t="s">
        <v>569</v>
      </c>
      <c r="C1448" t="s">
        <v>1079</v>
      </c>
      <c r="D1448" t="s">
        <v>900</v>
      </c>
      <c r="E1448" t="str">
        <f t="shared" si="28"/>
        <v>PES</v>
      </c>
      <c r="F1448" t="s">
        <v>875</v>
      </c>
      <c r="G1448" t="s">
        <v>875</v>
      </c>
      <c r="J1448" t="s">
        <v>143</v>
      </c>
      <c r="K1448" s="23">
        <v>-400</v>
      </c>
      <c r="L1448" t="s">
        <v>24</v>
      </c>
      <c r="M1448" t="s">
        <v>25</v>
      </c>
    </row>
    <row r="1449" spans="1:13" hidden="1" x14ac:dyDescent="0.25">
      <c r="A1449" s="5">
        <v>45968</v>
      </c>
      <c r="B1449" t="s">
        <v>569</v>
      </c>
      <c r="C1449" t="s">
        <v>1166</v>
      </c>
      <c r="D1449" t="s">
        <v>224</v>
      </c>
      <c r="E1449" t="str">
        <f t="shared" si="28"/>
        <v>COM</v>
      </c>
      <c r="F1449" t="s">
        <v>1167</v>
      </c>
      <c r="G1449" t="s">
        <v>1167</v>
      </c>
      <c r="J1449" t="s">
        <v>143</v>
      </c>
      <c r="K1449" s="23">
        <v>-96</v>
      </c>
      <c r="L1449" t="s">
        <v>24</v>
      </c>
      <c r="M1449" t="s">
        <v>25</v>
      </c>
    </row>
    <row r="1450" spans="1:13" hidden="1" x14ac:dyDescent="0.25">
      <c r="A1450" s="5">
        <v>45968</v>
      </c>
      <c r="B1450" t="s">
        <v>569</v>
      </c>
      <c r="C1450" t="s">
        <v>584</v>
      </c>
      <c r="D1450" t="s">
        <v>99</v>
      </c>
      <c r="E1450" t="str">
        <f t="shared" si="28"/>
        <v>ADM</v>
      </c>
      <c r="F1450" t="s">
        <v>100</v>
      </c>
      <c r="G1450" t="s">
        <v>100</v>
      </c>
      <c r="J1450" t="s">
        <v>143</v>
      </c>
      <c r="K1450" s="23">
        <v>-340</v>
      </c>
      <c r="L1450" t="s">
        <v>24</v>
      </c>
      <c r="M1450" t="s">
        <v>25</v>
      </c>
    </row>
    <row r="1451" spans="1:13" hidden="1" x14ac:dyDescent="0.25">
      <c r="A1451" s="5">
        <v>45968</v>
      </c>
      <c r="B1451" t="s">
        <v>569</v>
      </c>
      <c r="C1451" t="s">
        <v>1168</v>
      </c>
      <c r="D1451" t="s">
        <v>28</v>
      </c>
      <c r="E1451" t="str">
        <f t="shared" si="28"/>
        <v>ADM</v>
      </c>
      <c r="F1451" t="s">
        <v>540</v>
      </c>
      <c r="G1451" t="s">
        <v>540</v>
      </c>
      <c r="J1451" t="s">
        <v>143</v>
      </c>
      <c r="K1451" s="23">
        <v>-271.07</v>
      </c>
      <c r="L1451" t="s">
        <v>24</v>
      </c>
      <c r="M1451" t="s">
        <v>25</v>
      </c>
    </row>
    <row r="1452" spans="1:13" hidden="1" x14ac:dyDescent="0.25">
      <c r="A1452" s="5">
        <v>45968</v>
      </c>
      <c r="B1452" t="s">
        <v>569</v>
      </c>
      <c r="C1452" t="s">
        <v>1169</v>
      </c>
      <c r="D1452" t="s">
        <v>611</v>
      </c>
      <c r="E1452" t="str">
        <f t="shared" si="28"/>
        <v>COM</v>
      </c>
      <c r="F1452" t="s">
        <v>1170</v>
      </c>
      <c r="G1452" t="s">
        <v>1170</v>
      </c>
      <c r="J1452" t="s">
        <v>143</v>
      </c>
      <c r="K1452" s="23">
        <v>-50.08</v>
      </c>
      <c r="L1452" t="s">
        <v>24</v>
      </c>
      <c r="M1452" t="s">
        <v>25</v>
      </c>
    </row>
    <row r="1453" spans="1:13" hidden="1" x14ac:dyDescent="0.25">
      <c r="A1453" s="5">
        <v>45968</v>
      </c>
      <c r="B1453" t="s">
        <v>569</v>
      </c>
      <c r="C1453" t="s">
        <v>1171</v>
      </c>
      <c r="D1453" t="s">
        <v>224</v>
      </c>
      <c r="E1453" t="str">
        <f t="shared" si="28"/>
        <v>COM</v>
      </c>
      <c r="F1453" t="s">
        <v>1172</v>
      </c>
      <c r="G1453" t="s">
        <v>1172</v>
      </c>
      <c r="J1453" t="s">
        <v>143</v>
      </c>
      <c r="K1453" s="23">
        <v>-14.3</v>
      </c>
      <c r="L1453" t="s">
        <v>24</v>
      </c>
      <c r="M1453" t="s">
        <v>25</v>
      </c>
    </row>
    <row r="1454" spans="1:13" hidden="1" x14ac:dyDescent="0.25">
      <c r="A1454" s="5">
        <v>45968</v>
      </c>
      <c r="B1454" t="s">
        <v>569</v>
      </c>
      <c r="C1454" t="s">
        <v>1171</v>
      </c>
      <c r="D1454" t="s">
        <v>224</v>
      </c>
      <c r="E1454" t="str">
        <f t="shared" si="28"/>
        <v>COM</v>
      </c>
      <c r="F1454" t="s">
        <v>1172</v>
      </c>
      <c r="G1454" t="s">
        <v>1172</v>
      </c>
      <c r="J1454" t="s">
        <v>143</v>
      </c>
      <c r="K1454" s="23">
        <v>-14.3</v>
      </c>
      <c r="L1454" t="s">
        <v>24</v>
      </c>
      <c r="M1454" t="s">
        <v>25</v>
      </c>
    </row>
    <row r="1455" spans="1:13" hidden="1" x14ac:dyDescent="0.25">
      <c r="A1455" s="5">
        <v>45968</v>
      </c>
      <c r="B1455" t="s">
        <v>569</v>
      </c>
      <c r="C1455" t="s">
        <v>1171</v>
      </c>
      <c r="D1455" t="s">
        <v>224</v>
      </c>
      <c r="E1455" t="str">
        <f t="shared" si="28"/>
        <v>COM</v>
      </c>
      <c r="F1455" t="s">
        <v>1090</v>
      </c>
      <c r="G1455" t="s">
        <v>1090</v>
      </c>
      <c r="J1455" t="s">
        <v>143</v>
      </c>
      <c r="K1455" s="23">
        <v>-5.4</v>
      </c>
      <c r="L1455" t="s">
        <v>24</v>
      </c>
      <c r="M1455" t="s">
        <v>25</v>
      </c>
    </row>
    <row r="1456" spans="1:13" hidden="1" x14ac:dyDescent="0.25">
      <c r="A1456" s="5">
        <v>45970</v>
      </c>
      <c r="B1456" t="s">
        <v>33</v>
      </c>
      <c r="C1456" t="s">
        <v>1054</v>
      </c>
      <c r="D1456" t="s">
        <v>224</v>
      </c>
      <c r="E1456" t="str">
        <f t="shared" si="28"/>
        <v>COM</v>
      </c>
      <c r="F1456" t="s">
        <v>23</v>
      </c>
      <c r="G1456" t="s">
        <v>23</v>
      </c>
      <c r="J1456" t="s">
        <v>143</v>
      </c>
      <c r="K1456" s="23">
        <v>-242.06</v>
      </c>
      <c r="L1456" t="s">
        <v>24</v>
      </c>
      <c r="M1456" t="s">
        <v>25</v>
      </c>
    </row>
    <row r="1457" spans="1:13" hidden="1" x14ac:dyDescent="0.25">
      <c r="A1457" s="5">
        <v>45970</v>
      </c>
      <c r="B1457" t="s">
        <v>33</v>
      </c>
      <c r="C1457" t="s">
        <v>1173</v>
      </c>
      <c r="D1457" t="s">
        <v>224</v>
      </c>
      <c r="E1457" t="str">
        <f t="shared" si="28"/>
        <v>COM</v>
      </c>
      <c r="F1457" t="s">
        <v>23</v>
      </c>
      <c r="G1457" t="s">
        <v>23</v>
      </c>
      <c r="J1457" t="s">
        <v>143</v>
      </c>
      <c r="K1457" s="23">
        <v>-271.8</v>
      </c>
      <c r="L1457" t="s">
        <v>24</v>
      </c>
      <c r="M1457" t="s">
        <v>25</v>
      </c>
    </row>
    <row r="1458" spans="1:13" hidden="1" x14ac:dyDescent="0.25">
      <c r="A1458" s="5">
        <v>45970</v>
      </c>
      <c r="B1458" t="s">
        <v>33</v>
      </c>
      <c r="C1458" t="s">
        <v>677</v>
      </c>
      <c r="D1458" t="s">
        <v>15</v>
      </c>
      <c r="E1458" t="str">
        <f t="shared" si="28"/>
        <v>ADM</v>
      </c>
      <c r="F1458" t="s">
        <v>23</v>
      </c>
      <c r="G1458" t="s">
        <v>23</v>
      </c>
      <c r="J1458" t="s">
        <v>143</v>
      </c>
      <c r="K1458" s="23">
        <v>-224.99</v>
      </c>
      <c r="L1458" t="s">
        <v>24</v>
      </c>
      <c r="M1458" t="s">
        <v>25</v>
      </c>
    </row>
    <row r="1459" spans="1:13" hidden="1" x14ac:dyDescent="0.25">
      <c r="A1459" s="5">
        <v>45970</v>
      </c>
      <c r="B1459" t="s">
        <v>1174</v>
      </c>
      <c r="C1459" t="s">
        <v>1174</v>
      </c>
      <c r="D1459" t="s">
        <v>1175</v>
      </c>
      <c r="E1459" t="str">
        <f t="shared" si="28"/>
        <v>Saldo inicial</v>
      </c>
      <c r="F1459" t="s">
        <v>285</v>
      </c>
      <c r="G1459" t="s">
        <v>285</v>
      </c>
      <c r="K1459" s="23">
        <v>0</v>
      </c>
      <c r="L1459" t="s">
        <v>18</v>
      </c>
      <c r="M1459" t="s">
        <v>19</v>
      </c>
    </row>
    <row r="1460" spans="1:13" hidden="1" x14ac:dyDescent="0.25">
      <c r="A1460" s="5">
        <v>45970</v>
      </c>
      <c r="B1460" t="s">
        <v>33</v>
      </c>
      <c r="C1460" t="s">
        <v>1051</v>
      </c>
      <c r="D1460" t="s">
        <v>224</v>
      </c>
      <c r="E1460" t="str">
        <f t="shared" si="28"/>
        <v>COM</v>
      </c>
      <c r="F1460" t="s">
        <v>23</v>
      </c>
      <c r="G1460" t="s">
        <v>23</v>
      </c>
      <c r="J1460" t="s">
        <v>143</v>
      </c>
      <c r="K1460" s="23">
        <v>-319.32</v>
      </c>
      <c r="L1460" t="s">
        <v>24</v>
      </c>
      <c r="M1460" t="s">
        <v>25</v>
      </c>
    </row>
    <row r="1461" spans="1:13" hidden="1" x14ac:dyDescent="0.25">
      <c r="A1461" s="5">
        <v>45970</v>
      </c>
      <c r="B1461" t="s">
        <v>1174</v>
      </c>
      <c r="C1461" t="s">
        <v>387</v>
      </c>
      <c r="D1461" t="s">
        <v>28</v>
      </c>
      <c r="E1461" t="str">
        <f t="shared" si="28"/>
        <v>ADM</v>
      </c>
      <c r="F1461" t="s">
        <v>23</v>
      </c>
      <c r="G1461" t="s">
        <v>23</v>
      </c>
      <c r="J1461" t="s">
        <v>143</v>
      </c>
      <c r="K1461" s="23">
        <v>-18.87</v>
      </c>
      <c r="L1461" t="s">
        <v>24</v>
      </c>
      <c r="M1461" t="s">
        <v>25</v>
      </c>
    </row>
    <row r="1462" spans="1:13" hidden="1" x14ac:dyDescent="0.25">
      <c r="A1462" s="5">
        <v>45970</v>
      </c>
      <c r="B1462" t="s">
        <v>1174</v>
      </c>
      <c r="C1462" t="s">
        <v>1176</v>
      </c>
      <c r="D1462" t="s">
        <v>89</v>
      </c>
      <c r="E1462" t="str">
        <f t="shared" si="28"/>
        <v>ADM</v>
      </c>
      <c r="F1462" t="s">
        <v>23</v>
      </c>
      <c r="G1462" t="s">
        <v>23</v>
      </c>
      <c r="J1462" t="s">
        <v>143</v>
      </c>
      <c r="K1462" s="23">
        <v>-85.87</v>
      </c>
      <c r="L1462" t="s">
        <v>24</v>
      </c>
      <c r="M1462" t="s">
        <v>25</v>
      </c>
    </row>
    <row r="1463" spans="1:13" hidden="1" x14ac:dyDescent="0.25">
      <c r="A1463" s="5">
        <v>45970</v>
      </c>
      <c r="B1463" t="s">
        <v>1174</v>
      </c>
      <c r="C1463" t="s">
        <v>1176</v>
      </c>
      <c r="D1463" t="s">
        <v>89</v>
      </c>
      <c r="E1463" t="str">
        <f t="shared" si="28"/>
        <v>ADM</v>
      </c>
      <c r="F1463" t="s">
        <v>23</v>
      </c>
      <c r="G1463" t="s">
        <v>23</v>
      </c>
      <c r="J1463" t="s">
        <v>143</v>
      </c>
      <c r="K1463" s="23">
        <v>-53.71</v>
      </c>
      <c r="L1463" t="s">
        <v>24</v>
      </c>
      <c r="M1463" t="s">
        <v>25</v>
      </c>
    </row>
    <row r="1464" spans="1:13" hidden="1" x14ac:dyDescent="0.25">
      <c r="A1464" s="5">
        <v>45970</v>
      </c>
      <c r="B1464" t="s">
        <v>33</v>
      </c>
      <c r="C1464" t="s">
        <v>671</v>
      </c>
      <c r="D1464" t="s">
        <v>15</v>
      </c>
      <c r="E1464" t="str">
        <f t="shared" si="28"/>
        <v>ADM</v>
      </c>
      <c r="F1464" t="s">
        <v>23</v>
      </c>
      <c r="G1464" t="s">
        <v>23</v>
      </c>
      <c r="J1464" t="s">
        <v>143</v>
      </c>
      <c r="K1464" s="23">
        <v>1594.32</v>
      </c>
      <c r="L1464" t="s">
        <v>18</v>
      </c>
      <c r="M1464" t="s">
        <v>19</v>
      </c>
    </row>
    <row r="1465" spans="1:13" hidden="1" x14ac:dyDescent="0.25">
      <c r="A1465" s="5">
        <v>45970</v>
      </c>
      <c r="B1465" t="s">
        <v>1174</v>
      </c>
      <c r="C1465" t="s">
        <v>1177</v>
      </c>
      <c r="D1465" s="17" t="s">
        <v>15</v>
      </c>
      <c r="E1465" t="str">
        <f t="shared" si="28"/>
        <v>ADM</v>
      </c>
      <c r="F1465" t="s">
        <v>23</v>
      </c>
      <c r="G1465" t="s">
        <v>23</v>
      </c>
      <c r="J1465" t="s">
        <v>143</v>
      </c>
      <c r="K1465" s="23">
        <v>272.38</v>
      </c>
      <c r="L1465" t="s">
        <v>18</v>
      </c>
      <c r="M1465" t="s">
        <v>19</v>
      </c>
    </row>
    <row r="1466" spans="1:13" hidden="1" x14ac:dyDescent="0.25">
      <c r="A1466" s="5">
        <v>45970</v>
      </c>
      <c r="B1466" t="s">
        <v>1174</v>
      </c>
      <c r="C1466" t="s">
        <v>1178</v>
      </c>
      <c r="D1466" t="s">
        <v>89</v>
      </c>
      <c r="E1466" t="str">
        <f t="shared" si="28"/>
        <v>ADM</v>
      </c>
      <c r="F1466" t="s">
        <v>23</v>
      </c>
      <c r="G1466" t="s">
        <v>23</v>
      </c>
      <c r="J1466" t="s">
        <v>143</v>
      </c>
      <c r="K1466" s="23">
        <v>-94.04</v>
      </c>
      <c r="L1466" t="s">
        <v>24</v>
      </c>
      <c r="M1466" t="s">
        <v>25</v>
      </c>
    </row>
    <row r="1467" spans="1:13" hidden="1" x14ac:dyDescent="0.25">
      <c r="A1467" s="5">
        <v>45970</v>
      </c>
      <c r="B1467" t="s">
        <v>33</v>
      </c>
      <c r="C1467" t="s">
        <v>803</v>
      </c>
      <c r="D1467" t="s">
        <v>508</v>
      </c>
      <c r="E1467" t="str">
        <f t="shared" si="28"/>
        <v>ADM</v>
      </c>
      <c r="F1467" t="s">
        <v>23</v>
      </c>
      <c r="G1467" t="s">
        <v>23</v>
      </c>
      <c r="J1467" t="s">
        <v>143</v>
      </c>
      <c r="K1467" s="23">
        <v>-300.05</v>
      </c>
      <c r="L1467" t="s">
        <v>24</v>
      </c>
      <c r="M1467" t="s">
        <v>25</v>
      </c>
    </row>
    <row r="1468" spans="1:13" hidden="1" x14ac:dyDescent="0.25">
      <c r="A1468" s="5">
        <v>45970</v>
      </c>
      <c r="B1468" t="s">
        <v>1174</v>
      </c>
      <c r="C1468" t="s">
        <v>1176</v>
      </c>
      <c r="D1468" t="s">
        <v>89</v>
      </c>
      <c r="E1468" t="str">
        <f t="shared" si="28"/>
        <v>ADM</v>
      </c>
      <c r="F1468" t="s">
        <v>23</v>
      </c>
      <c r="G1468" t="s">
        <v>23</v>
      </c>
      <c r="J1468" t="s">
        <v>143</v>
      </c>
      <c r="K1468" s="23">
        <v>-19.89</v>
      </c>
      <c r="L1468" t="s">
        <v>24</v>
      </c>
      <c r="M1468" t="s">
        <v>25</v>
      </c>
    </row>
    <row r="1469" spans="1:13" hidden="1" x14ac:dyDescent="0.25">
      <c r="A1469" s="5">
        <v>45970</v>
      </c>
      <c r="B1469" t="s">
        <v>33</v>
      </c>
      <c r="C1469" t="s">
        <v>1057</v>
      </c>
      <c r="D1469" t="s">
        <v>224</v>
      </c>
      <c r="E1469" t="str">
        <f t="shared" si="28"/>
        <v>COM</v>
      </c>
      <c r="F1469" t="s">
        <v>23</v>
      </c>
      <c r="G1469" t="s">
        <v>23</v>
      </c>
      <c r="J1469" t="s">
        <v>143</v>
      </c>
      <c r="K1469" s="23">
        <v>-236.1</v>
      </c>
      <c r="L1469" t="s">
        <v>24</v>
      </c>
      <c r="M1469" t="s">
        <v>25</v>
      </c>
    </row>
    <row r="1470" spans="1:13" hidden="1" x14ac:dyDescent="0.25">
      <c r="A1470" s="5">
        <v>45971</v>
      </c>
      <c r="B1470" t="s">
        <v>569</v>
      </c>
      <c r="C1470" t="s">
        <v>1169</v>
      </c>
      <c r="D1470" t="s">
        <v>611</v>
      </c>
      <c r="E1470" t="str">
        <f t="shared" si="28"/>
        <v>COM</v>
      </c>
      <c r="F1470" t="s">
        <v>515</v>
      </c>
      <c r="G1470" t="s">
        <v>515</v>
      </c>
      <c r="J1470" t="s">
        <v>143</v>
      </c>
      <c r="K1470" s="23">
        <v>-385.1</v>
      </c>
      <c r="L1470" t="s">
        <v>24</v>
      </c>
      <c r="M1470" t="s">
        <v>25</v>
      </c>
    </row>
    <row r="1471" spans="1:13" hidden="1" x14ac:dyDescent="0.25">
      <c r="A1471" s="5">
        <v>45971</v>
      </c>
      <c r="B1471" t="s">
        <v>569</v>
      </c>
      <c r="C1471" t="s">
        <v>1179</v>
      </c>
      <c r="D1471" t="s">
        <v>300</v>
      </c>
      <c r="E1471" t="str">
        <f t="shared" si="28"/>
        <v>VAR</v>
      </c>
      <c r="F1471" t="s">
        <v>1060</v>
      </c>
      <c r="G1471" t="s">
        <v>1060</v>
      </c>
      <c r="J1471" t="s">
        <v>143</v>
      </c>
      <c r="K1471" s="23">
        <v>-100</v>
      </c>
      <c r="L1471" t="s">
        <v>24</v>
      </c>
      <c r="M1471" t="s">
        <v>25</v>
      </c>
    </row>
    <row r="1472" spans="1:13" hidden="1" x14ac:dyDescent="0.25">
      <c r="A1472" s="5">
        <v>45971</v>
      </c>
      <c r="B1472" t="s">
        <v>568</v>
      </c>
      <c r="C1472" t="s">
        <v>437</v>
      </c>
      <c r="D1472" t="s">
        <v>113</v>
      </c>
      <c r="E1472" t="str">
        <f t="shared" si="28"/>
        <v>ADM</v>
      </c>
      <c r="F1472" t="s">
        <v>438</v>
      </c>
      <c r="G1472" t="s">
        <v>438</v>
      </c>
      <c r="J1472" t="s">
        <v>17</v>
      </c>
      <c r="K1472" s="23">
        <v>-260.58</v>
      </c>
      <c r="L1472" t="s">
        <v>24</v>
      </c>
      <c r="M1472" t="s">
        <v>25</v>
      </c>
    </row>
    <row r="1473" spans="1:13" hidden="1" x14ac:dyDescent="0.25">
      <c r="A1473" s="5">
        <v>45971</v>
      </c>
      <c r="B1473" t="s">
        <v>568</v>
      </c>
      <c r="C1473" t="s">
        <v>1075</v>
      </c>
      <c r="D1473" s="17" t="s">
        <v>15</v>
      </c>
      <c r="E1473" t="str">
        <f t="shared" si="28"/>
        <v>ADM</v>
      </c>
      <c r="F1473" t="s">
        <v>23</v>
      </c>
      <c r="G1473" t="s">
        <v>23</v>
      </c>
      <c r="J1473" t="s">
        <v>143</v>
      </c>
      <c r="K1473" s="23">
        <v>-1594.32</v>
      </c>
      <c r="L1473" t="s">
        <v>24</v>
      </c>
      <c r="M1473" t="s">
        <v>25</v>
      </c>
    </row>
    <row r="1474" spans="1:13" hidden="1" x14ac:dyDescent="0.25">
      <c r="A1474" s="5">
        <v>45971</v>
      </c>
      <c r="B1474" t="s">
        <v>568</v>
      </c>
      <c r="C1474" t="s">
        <v>1180</v>
      </c>
      <c r="D1474" t="s">
        <v>1045</v>
      </c>
      <c r="E1474" t="str">
        <f t="shared" si="28"/>
        <v>ADM</v>
      </c>
      <c r="F1474" t="s">
        <v>918</v>
      </c>
      <c r="G1474" t="s">
        <v>918</v>
      </c>
      <c r="J1474" t="s">
        <v>143</v>
      </c>
      <c r="K1474" s="23">
        <v>-700</v>
      </c>
      <c r="L1474" t="s">
        <v>24</v>
      </c>
      <c r="M1474" t="s">
        <v>25</v>
      </c>
    </row>
    <row r="1475" spans="1:13" hidden="1" x14ac:dyDescent="0.25">
      <c r="A1475" s="5">
        <v>45971</v>
      </c>
      <c r="B1475" t="s">
        <v>568</v>
      </c>
      <c r="C1475" t="s">
        <v>1039</v>
      </c>
      <c r="D1475" t="s">
        <v>56</v>
      </c>
      <c r="E1475" t="str">
        <f t="shared" si="28"/>
        <v>Honorários</v>
      </c>
      <c r="F1475" t="s">
        <v>1040</v>
      </c>
      <c r="G1475" t="s">
        <v>1040</v>
      </c>
      <c r="I1475" t="s">
        <v>196</v>
      </c>
      <c r="J1475" t="s">
        <v>143</v>
      </c>
      <c r="K1475" s="23">
        <v>504.88</v>
      </c>
      <c r="L1475" t="s">
        <v>18</v>
      </c>
      <c r="M1475" t="s">
        <v>83</v>
      </c>
    </row>
    <row r="1476" spans="1:13" hidden="1" x14ac:dyDescent="0.25">
      <c r="A1476" s="5">
        <v>45971</v>
      </c>
      <c r="B1476" t="s">
        <v>568</v>
      </c>
      <c r="C1476" t="s">
        <v>763</v>
      </c>
      <c r="D1476" t="s">
        <v>56</v>
      </c>
      <c r="E1476" t="str">
        <f t="shared" si="28"/>
        <v>Honorários</v>
      </c>
      <c r="F1476" t="s">
        <v>764</v>
      </c>
      <c r="G1476" t="s">
        <v>764</v>
      </c>
      <c r="I1476" t="s">
        <v>93</v>
      </c>
      <c r="J1476" t="s">
        <v>143</v>
      </c>
      <c r="K1476" s="23">
        <v>707.94999999999993</v>
      </c>
      <c r="L1476" t="s">
        <v>18</v>
      </c>
      <c r="M1476" t="s">
        <v>19</v>
      </c>
    </row>
    <row r="1477" spans="1:13" hidden="1" x14ac:dyDescent="0.25">
      <c r="A1477" s="5">
        <v>45971</v>
      </c>
      <c r="B1477" t="s">
        <v>568</v>
      </c>
      <c r="C1477" t="s">
        <v>971</v>
      </c>
      <c r="D1477" t="s">
        <v>56</v>
      </c>
      <c r="E1477" t="str">
        <f t="shared" si="28"/>
        <v>Honorários</v>
      </c>
      <c r="F1477" t="s">
        <v>921</v>
      </c>
      <c r="G1477" t="s">
        <v>921</v>
      </c>
      <c r="I1477" t="s">
        <v>607</v>
      </c>
      <c r="J1477" t="s">
        <v>143</v>
      </c>
      <c r="K1477" s="23">
        <v>3272.57</v>
      </c>
      <c r="L1477" t="s">
        <v>18</v>
      </c>
      <c r="M1477" t="s">
        <v>19</v>
      </c>
    </row>
    <row r="1478" spans="1:13" hidden="1" x14ac:dyDescent="0.25">
      <c r="A1478" s="5">
        <v>45971</v>
      </c>
      <c r="B1478" t="s">
        <v>568</v>
      </c>
      <c r="C1478" t="s">
        <v>1181</v>
      </c>
      <c r="D1478" s="17" t="s">
        <v>15</v>
      </c>
      <c r="E1478" t="str">
        <f t="shared" si="28"/>
        <v>ADM</v>
      </c>
      <c r="F1478" t="s">
        <v>23</v>
      </c>
      <c r="G1478" t="s">
        <v>23</v>
      </c>
      <c r="J1478" t="s">
        <v>143</v>
      </c>
      <c r="K1478" s="23">
        <v>-272.38</v>
      </c>
      <c r="L1478" t="s">
        <v>24</v>
      </c>
      <c r="M1478" t="s">
        <v>25</v>
      </c>
    </row>
    <row r="1479" spans="1:13" hidden="1" x14ac:dyDescent="0.25">
      <c r="A1479" s="5">
        <v>45971</v>
      </c>
      <c r="B1479" t="s">
        <v>569</v>
      </c>
      <c r="C1479" t="s">
        <v>1182</v>
      </c>
      <c r="D1479" t="s">
        <v>28</v>
      </c>
      <c r="E1479" t="str">
        <f t="shared" si="28"/>
        <v>ADM</v>
      </c>
      <c r="F1479" t="s">
        <v>1183</v>
      </c>
      <c r="G1479" t="s">
        <v>1183</v>
      </c>
      <c r="J1479" t="s">
        <v>143</v>
      </c>
      <c r="K1479" s="23">
        <v>-18</v>
      </c>
      <c r="L1479" t="s">
        <v>24</v>
      </c>
      <c r="M1479" t="s">
        <v>25</v>
      </c>
    </row>
    <row r="1480" spans="1:13" hidden="1" x14ac:dyDescent="0.25">
      <c r="A1480" s="5">
        <v>45971</v>
      </c>
      <c r="B1480" t="s">
        <v>568</v>
      </c>
      <c r="C1480" t="s">
        <v>411</v>
      </c>
      <c r="D1480" t="s">
        <v>56</v>
      </c>
      <c r="E1480" t="str">
        <f t="shared" si="28"/>
        <v>Honorários</v>
      </c>
      <c r="F1480" t="s">
        <v>412</v>
      </c>
      <c r="G1480" t="s">
        <v>412</v>
      </c>
      <c r="I1480" t="s">
        <v>196</v>
      </c>
      <c r="J1480" t="s">
        <v>143</v>
      </c>
      <c r="K1480" s="23">
        <v>300</v>
      </c>
      <c r="L1480" t="s">
        <v>18</v>
      </c>
      <c r="M1480" t="s">
        <v>83</v>
      </c>
    </row>
    <row r="1481" spans="1:13" hidden="1" x14ac:dyDescent="0.25">
      <c r="A1481" s="5">
        <v>45971</v>
      </c>
      <c r="B1481" t="s">
        <v>569</v>
      </c>
      <c r="C1481" t="s">
        <v>932</v>
      </c>
      <c r="D1481" t="s">
        <v>56</v>
      </c>
      <c r="E1481" t="str">
        <f t="shared" si="28"/>
        <v>Honorários</v>
      </c>
      <c r="F1481" t="s">
        <v>933</v>
      </c>
      <c r="G1481" t="s">
        <v>933</v>
      </c>
      <c r="I1481" t="s">
        <v>934</v>
      </c>
      <c r="J1481" t="s">
        <v>143</v>
      </c>
      <c r="K1481" s="23">
        <v>1500</v>
      </c>
      <c r="L1481" t="s">
        <v>18</v>
      </c>
      <c r="M1481" t="s">
        <v>19</v>
      </c>
    </row>
    <row r="1482" spans="1:13" hidden="1" x14ac:dyDescent="0.25">
      <c r="A1482" s="5">
        <v>45971</v>
      </c>
      <c r="B1482" t="s">
        <v>568</v>
      </c>
      <c r="C1482" t="s">
        <v>1184</v>
      </c>
      <c r="D1482" t="s">
        <v>56</v>
      </c>
      <c r="E1482" t="str">
        <f t="shared" si="28"/>
        <v>Honorários</v>
      </c>
      <c r="F1482" t="s">
        <v>1185</v>
      </c>
      <c r="G1482" t="s">
        <v>1185</v>
      </c>
      <c r="I1482" t="s">
        <v>236</v>
      </c>
      <c r="J1482" t="s">
        <v>143</v>
      </c>
      <c r="K1482" s="23">
        <v>2693.78</v>
      </c>
      <c r="L1482" t="s">
        <v>18</v>
      </c>
      <c r="M1482" t="s">
        <v>19</v>
      </c>
    </row>
    <row r="1483" spans="1:13" hidden="1" x14ac:dyDescent="0.25">
      <c r="A1483" s="5">
        <v>45971</v>
      </c>
      <c r="B1483" t="s">
        <v>569</v>
      </c>
      <c r="C1483" t="s">
        <v>119</v>
      </c>
      <c r="D1483" t="s">
        <v>72</v>
      </c>
      <c r="E1483" t="str">
        <f t="shared" si="28"/>
        <v>FIN</v>
      </c>
      <c r="F1483" t="s">
        <v>120</v>
      </c>
      <c r="G1483" t="s">
        <v>120</v>
      </c>
      <c r="J1483" t="s">
        <v>17</v>
      </c>
      <c r="K1483" s="23">
        <v>-15.9</v>
      </c>
      <c r="L1483" t="s">
        <v>24</v>
      </c>
      <c r="M1483" t="s">
        <v>25</v>
      </c>
    </row>
    <row r="1484" spans="1:13" hidden="1" x14ac:dyDescent="0.25">
      <c r="A1484" s="5">
        <v>45971</v>
      </c>
      <c r="B1484" t="s">
        <v>568</v>
      </c>
      <c r="C1484" t="s">
        <v>1186</v>
      </c>
      <c r="D1484" t="s">
        <v>56</v>
      </c>
      <c r="E1484" t="str">
        <f t="shared" si="28"/>
        <v>Honorários</v>
      </c>
      <c r="F1484" t="s">
        <v>685</v>
      </c>
      <c r="G1484" t="s">
        <v>685</v>
      </c>
      <c r="I1484" t="s">
        <v>75</v>
      </c>
      <c r="J1484" t="s">
        <v>143</v>
      </c>
      <c r="K1484" s="23">
        <v>1396.26</v>
      </c>
      <c r="L1484" t="s">
        <v>18</v>
      </c>
      <c r="M1484" t="s">
        <v>19</v>
      </c>
    </row>
    <row r="1485" spans="1:13" hidden="1" x14ac:dyDescent="0.25">
      <c r="A1485" s="5">
        <v>45972</v>
      </c>
      <c r="B1485" t="s">
        <v>569</v>
      </c>
      <c r="C1485" t="s">
        <v>805</v>
      </c>
      <c r="D1485" t="s">
        <v>56</v>
      </c>
      <c r="E1485" t="str">
        <f t="shared" si="28"/>
        <v>Honorários</v>
      </c>
      <c r="F1485" t="s">
        <v>1187</v>
      </c>
      <c r="G1485" t="s">
        <v>1187</v>
      </c>
      <c r="I1485" t="s">
        <v>82</v>
      </c>
      <c r="J1485" t="s">
        <v>143</v>
      </c>
      <c r="K1485" s="23">
        <v>1214.4000000000001</v>
      </c>
      <c r="L1485" t="s">
        <v>18</v>
      </c>
      <c r="M1485" t="s">
        <v>19</v>
      </c>
    </row>
    <row r="1486" spans="1:13" hidden="1" x14ac:dyDescent="0.25">
      <c r="A1486" s="5">
        <v>45972</v>
      </c>
      <c r="B1486" t="s">
        <v>569</v>
      </c>
      <c r="C1486" t="s">
        <v>640</v>
      </c>
      <c r="D1486" t="s">
        <v>56</v>
      </c>
      <c r="E1486" t="str">
        <f t="shared" si="28"/>
        <v>Honorários</v>
      </c>
      <c r="F1486" t="s">
        <v>1188</v>
      </c>
      <c r="G1486" t="s">
        <v>1188</v>
      </c>
      <c r="I1486" t="s">
        <v>93</v>
      </c>
      <c r="J1486" t="s">
        <v>143</v>
      </c>
      <c r="K1486" s="23">
        <v>953.1</v>
      </c>
      <c r="L1486" t="s">
        <v>18</v>
      </c>
      <c r="M1486" t="s">
        <v>19</v>
      </c>
    </row>
    <row r="1487" spans="1:13" hidden="1" x14ac:dyDescent="0.25">
      <c r="A1487" s="5">
        <v>45972</v>
      </c>
      <c r="B1487" t="s">
        <v>568</v>
      </c>
      <c r="C1487" t="s">
        <v>1189</v>
      </c>
      <c r="D1487" t="s">
        <v>56</v>
      </c>
      <c r="E1487" t="str">
        <f t="shared" si="28"/>
        <v>Honorários</v>
      </c>
      <c r="F1487" t="s">
        <v>1190</v>
      </c>
      <c r="G1487" t="s">
        <v>1190</v>
      </c>
      <c r="I1487" t="s">
        <v>82</v>
      </c>
      <c r="J1487" t="s">
        <v>143</v>
      </c>
      <c r="K1487" s="23">
        <v>11079.36</v>
      </c>
      <c r="L1487" t="s">
        <v>18</v>
      </c>
      <c r="M1487" t="s">
        <v>19</v>
      </c>
    </row>
    <row r="1488" spans="1:13" hidden="1" x14ac:dyDescent="0.25">
      <c r="A1488" s="5">
        <v>45972</v>
      </c>
      <c r="B1488" t="s">
        <v>568</v>
      </c>
      <c r="C1488" t="s">
        <v>1191</v>
      </c>
      <c r="D1488" t="s">
        <v>56</v>
      </c>
      <c r="E1488" t="str">
        <f t="shared" si="28"/>
        <v>Honorários</v>
      </c>
      <c r="F1488" t="s">
        <v>964</v>
      </c>
      <c r="G1488" t="s">
        <v>964</v>
      </c>
      <c r="I1488" t="s">
        <v>607</v>
      </c>
      <c r="J1488" t="s">
        <v>143</v>
      </c>
      <c r="K1488" s="23">
        <v>16656.64</v>
      </c>
      <c r="L1488" t="s">
        <v>18</v>
      </c>
      <c r="M1488" t="s">
        <v>19</v>
      </c>
    </row>
    <row r="1489" spans="1:13" hidden="1" x14ac:dyDescent="0.25">
      <c r="A1489" s="5">
        <v>45972</v>
      </c>
      <c r="B1489" t="s">
        <v>568</v>
      </c>
      <c r="C1489" t="s">
        <v>1192</v>
      </c>
      <c r="D1489" t="s">
        <v>56</v>
      </c>
      <c r="E1489" t="str">
        <f t="shared" si="28"/>
        <v>Honorários</v>
      </c>
      <c r="F1489" t="s">
        <v>1017</v>
      </c>
      <c r="G1489" t="s">
        <v>1017</v>
      </c>
      <c r="I1489" t="s">
        <v>58</v>
      </c>
      <c r="J1489" t="s">
        <v>143</v>
      </c>
      <c r="K1489" s="23">
        <v>8538.6200000000008</v>
      </c>
      <c r="L1489" t="s">
        <v>18</v>
      </c>
      <c r="M1489" t="s">
        <v>19</v>
      </c>
    </row>
    <row r="1490" spans="1:13" hidden="1" x14ac:dyDescent="0.25">
      <c r="A1490" s="5">
        <v>45973</v>
      </c>
      <c r="B1490" t="s">
        <v>568</v>
      </c>
      <c r="C1490" t="s">
        <v>965</v>
      </c>
      <c r="D1490" t="s">
        <v>56</v>
      </c>
      <c r="E1490" t="str">
        <f t="shared" si="28"/>
        <v>Honorários</v>
      </c>
      <c r="F1490" t="s">
        <v>966</v>
      </c>
      <c r="G1490" t="s">
        <v>966</v>
      </c>
      <c r="I1490" t="s">
        <v>605</v>
      </c>
      <c r="J1490" t="s">
        <v>143</v>
      </c>
      <c r="K1490" s="23">
        <v>1030.8400000000001</v>
      </c>
      <c r="L1490" t="s">
        <v>18</v>
      </c>
      <c r="M1490" t="s">
        <v>19</v>
      </c>
    </row>
    <row r="1491" spans="1:13" hidden="1" x14ac:dyDescent="0.25">
      <c r="A1491" s="5">
        <v>45973</v>
      </c>
      <c r="B1491" t="s">
        <v>569</v>
      </c>
      <c r="C1491" t="s">
        <v>1193</v>
      </c>
      <c r="D1491" t="s">
        <v>77</v>
      </c>
      <c r="E1491" t="str">
        <f t="shared" ref="E1491:E1554" si="29">IF(ISERROR(FIND("-",D1491,1)),D1491,LEFT(D1491,3))</f>
        <v>Despesa do cliente</v>
      </c>
      <c r="F1491" t="s">
        <v>1194</v>
      </c>
      <c r="G1491" t="s">
        <v>1194</v>
      </c>
      <c r="I1491" t="s">
        <v>1195</v>
      </c>
      <c r="J1491" t="s">
        <v>143</v>
      </c>
      <c r="K1491" s="23">
        <v>-110.98</v>
      </c>
      <c r="L1491" t="s">
        <v>24</v>
      </c>
      <c r="M1491" t="s">
        <v>25</v>
      </c>
    </row>
    <row r="1492" spans="1:13" hidden="1" x14ac:dyDescent="0.25">
      <c r="A1492" s="5">
        <v>45973</v>
      </c>
      <c r="B1492" t="s">
        <v>569</v>
      </c>
      <c r="C1492" t="s">
        <v>1196</v>
      </c>
      <c r="D1492" t="s">
        <v>300</v>
      </c>
      <c r="E1492" t="str">
        <f t="shared" si="29"/>
        <v>VAR</v>
      </c>
      <c r="F1492" t="s">
        <v>1197</v>
      </c>
      <c r="G1492" t="s">
        <v>1197</v>
      </c>
      <c r="J1492" t="s">
        <v>143</v>
      </c>
      <c r="K1492" s="23">
        <v>-100</v>
      </c>
      <c r="L1492" t="s">
        <v>24</v>
      </c>
      <c r="M1492" t="s">
        <v>25</v>
      </c>
    </row>
    <row r="1493" spans="1:13" hidden="1" x14ac:dyDescent="0.25">
      <c r="A1493" s="5">
        <v>45973</v>
      </c>
      <c r="B1493" t="s">
        <v>568</v>
      </c>
      <c r="C1493" t="s">
        <v>1198</v>
      </c>
      <c r="D1493" t="s">
        <v>89</v>
      </c>
      <c r="E1493" t="str">
        <f t="shared" si="29"/>
        <v>ADM</v>
      </c>
      <c r="F1493" t="s">
        <v>546</v>
      </c>
      <c r="G1493" t="s">
        <v>546</v>
      </c>
      <c r="J1493" t="s">
        <v>143</v>
      </c>
      <c r="K1493" s="23">
        <v>-384.5</v>
      </c>
      <c r="L1493" t="s">
        <v>24</v>
      </c>
      <c r="M1493" t="s">
        <v>25</v>
      </c>
    </row>
    <row r="1494" spans="1:13" hidden="1" x14ac:dyDescent="0.25">
      <c r="A1494" s="5">
        <v>45973</v>
      </c>
      <c r="B1494" t="s">
        <v>568</v>
      </c>
      <c r="C1494" t="s">
        <v>1199</v>
      </c>
      <c r="D1494" t="s">
        <v>815</v>
      </c>
      <c r="E1494" t="str">
        <f t="shared" si="29"/>
        <v>Transferência</v>
      </c>
      <c r="F1494" t="s">
        <v>568</v>
      </c>
      <c r="G1494" t="s">
        <v>568</v>
      </c>
      <c r="J1494" t="s">
        <v>143</v>
      </c>
      <c r="K1494" s="23">
        <v>910.8</v>
      </c>
      <c r="L1494" t="s">
        <v>18</v>
      </c>
      <c r="M1494" t="s">
        <v>19</v>
      </c>
    </row>
    <row r="1495" spans="1:13" hidden="1" x14ac:dyDescent="0.25">
      <c r="A1495" s="5">
        <v>45973</v>
      </c>
      <c r="B1495" t="s">
        <v>569</v>
      </c>
      <c r="C1495" t="s">
        <v>1200</v>
      </c>
      <c r="D1495" t="s">
        <v>300</v>
      </c>
      <c r="E1495" t="str">
        <f t="shared" si="29"/>
        <v>VAR</v>
      </c>
      <c r="F1495" t="s">
        <v>617</v>
      </c>
      <c r="G1495" t="s">
        <v>617</v>
      </c>
      <c r="J1495" t="s">
        <v>143</v>
      </c>
      <c r="K1495" s="23">
        <v>-1500</v>
      </c>
      <c r="L1495" t="s">
        <v>24</v>
      </c>
      <c r="M1495" t="s">
        <v>25</v>
      </c>
    </row>
    <row r="1496" spans="1:13" hidden="1" x14ac:dyDescent="0.25">
      <c r="A1496" s="5">
        <v>45973</v>
      </c>
      <c r="B1496" t="s">
        <v>569</v>
      </c>
      <c r="C1496" t="s">
        <v>1201</v>
      </c>
      <c r="D1496" t="s">
        <v>300</v>
      </c>
      <c r="E1496" t="str">
        <f t="shared" si="29"/>
        <v>VAR</v>
      </c>
      <c r="F1496" t="s">
        <v>933</v>
      </c>
      <c r="G1496" t="s">
        <v>933</v>
      </c>
      <c r="I1496" t="s">
        <v>934</v>
      </c>
      <c r="J1496" t="s">
        <v>143</v>
      </c>
      <c r="K1496" s="23">
        <v>-750</v>
      </c>
      <c r="L1496" t="s">
        <v>24</v>
      </c>
      <c r="M1496" t="s">
        <v>25</v>
      </c>
    </row>
    <row r="1497" spans="1:13" hidden="1" x14ac:dyDescent="0.25">
      <c r="A1497" s="5">
        <v>45973</v>
      </c>
      <c r="B1497" t="s">
        <v>568</v>
      </c>
      <c r="C1497" t="s">
        <v>1202</v>
      </c>
      <c r="D1497" t="s">
        <v>215</v>
      </c>
      <c r="E1497" t="str">
        <f t="shared" si="29"/>
        <v>COM</v>
      </c>
      <c r="F1497" t="s">
        <v>1203</v>
      </c>
      <c r="G1497" t="s">
        <v>1203</v>
      </c>
      <c r="J1497" t="s">
        <v>143</v>
      </c>
      <c r="K1497" s="23">
        <v>-3992</v>
      </c>
      <c r="L1497" t="s">
        <v>24</v>
      </c>
      <c r="M1497" t="s">
        <v>25</v>
      </c>
    </row>
    <row r="1498" spans="1:13" hidden="1" x14ac:dyDescent="0.25">
      <c r="A1498" s="5">
        <v>45973</v>
      </c>
      <c r="B1498" t="s">
        <v>568</v>
      </c>
      <c r="C1498" t="s">
        <v>1204</v>
      </c>
      <c r="D1498" t="s">
        <v>77</v>
      </c>
      <c r="E1498" t="str">
        <f t="shared" si="29"/>
        <v>Despesa do cliente</v>
      </c>
      <c r="F1498" t="s">
        <v>1205</v>
      </c>
      <c r="G1498" t="s">
        <v>1205</v>
      </c>
      <c r="I1498" t="s">
        <v>1206</v>
      </c>
      <c r="J1498" t="s">
        <v>143</v>
      </c>
      <c r="K1498" s="23">
        <v>-1674.43</v>
      </c>
      <c r="L1498" t="s">
        <v>24</v>
      </c>
      <c r="M1498" t="s">
        <v>25</v>
      </c>
    </row>
    <row r="1499" spans="1:13" hidden="1" x14ac:dyDescent="0.25">
      <c r="A1499" s="5">
        <v>45973</v>
      </c>
      <c r="B1499" t="s">
        <v>569</v>
      </c>
      <c r="C1499" t="s">
        <v>775</v>
      </c>
      <c r="D1499" t="s">
        <v>56</v>
      </c>
      <c r="E1499" t="str">
        <f t="shared" si="29"/>
        <v>Honorários</v>
      </c>
      <c r="F1499" t="s">
        <v>776</v>
      </c>
      <c r="G1499" t="s">
        <v>776</v>
      </c>
      <c r="I1499" t="s">
        <v>777</v>
      </c>
      <c r="J1499" t="s">
        <v>143</v>
      </c>
      <c r="K1499" s="23">
        <v>168</v>
      </c>
      <c r="L1499" t="s">
        <v>18</v>
      </c>
      <c r="M1499" t="s">
        <v>19</v>
      </c>
    </row>
    <row r="1500" spans="1:13" hidden="1" x14ac:dyDescent="0.25">
      <c r="A1500" s="5">
        <v>45973</v>
      </c>
      <c r="B1500" t="s">
        <v>569</v>
      </c>
      <c r="C1500" t="s">
        <v>1207</v>
      </c>
      <c r="D1500" t="s">
        <v>28</v>
      </c>
      <c r="E1500" t="str">
        <f t="shared" si="29"/>
        <v>ADM</v>
      </c>
      <c r="F1500" t="s">
        <v>491</v>
      </c>
      <c r="G1500" t="s">
        <v>491</v>
      </c>
      <c r="J1500" t="s">
        <v>143</v>
      </c>
      <c r="K1500" s="23">
        <v>-63.85</v>
      </c>
      <c r="L1500" t="s">
        <v>24</v>
      </c>
      <c r="M1500" t="s">
        <v>25</v>
      </c>
    </row>
    <row r="1501" spans="1:13" hidden="1" x14ac:dyDescent="0.25">
      <c r="A1501" s="5">
        <v>45973</v>
      </c>
      <c r="B1501" t="s">
        <v>569</v>
      </c>
      <c r="C1501" t="s">
        <v>1199</v>
      </c>
      <c r="D1501" t="s">
        <v>815</v>
      </c>
      <c r="E1501" t="str">
        <f t="shared" si="29"/>
        <v>Transferência</v>
      </c>
      <c r="F1501" t="s">
        <v>569</v>
      </c>
      <c r="G1501" t="s">
        <v>569</v>
      </c>
      <c r="J1501" t="s">
        <v>143</v>
      </c>
      <c r="K1501" s="23">
        <v>-910.8</v>
      </c>
      <c r="L1501" t="s">
        <v>24</v>
      </c>
      <c r="M1501" t="s">
        <v>25</v>
      </c>
    </row>
    <row r="1502" spans="1:13" hidden="1" x14ac:dyDescent="0.25">
      <c r="A1502" s="5">
        <v>45974</v>
      </c>
      <c r="B1502" t="s">
        <v>569</v>
      </c>
      <c r="C1502" t="s">
        <v>1207</v>
      </c>
      <c r="D1502" t="s">
        <v>28</v>
      </c>
      <c r="E1502" t="str">
        <f t="shared" si="29"/>
        <v>ADM</v>
      </c>
      <c r="F1502" t="s">
        <v>540</v>
      </c>
      <c r="G1502" t="s">
        <v>540</v>
      </c>
      <c r="J1502" t="s">
        <v>143</v>
      </c>
      <c r="K1502" s="23">
        <v>-23.65</v>
      </c>
      <c r="L1502" t="s">
        <v>24</v>
      </c>
      <c r="M1502" t="s">
        <v>25</v>
      </c>
    </row>
    <row r="1503" spans="1:13" hidden="1" x14ac:dyDescent="0.25">
      <c r="A1503" s="5">
        <v>45975</v>
      </c>
      <c r="B1503" t="s">
        <v>569</v>
      </c>
      <c r="C1503" t="s">
        <v>1208</v>
      </c>
      <c r="D1503" t="s">
        <v>77</v>
      </c>
      <c r="E1503" t="str">
        <f t="shared" si="29"/>
        <v>Despesa do cliente</v>
      </c>
      <c r="F1503" t="s">
        <v>1209</v>
      </c>
      <c r="G1503" t="s">
        <v>1209</v>
      </c>
      <c r="I1503" t="s">
        <v>75</v>
      </c>
      <c r="J1503" t="s">
        <v>143</v>
      </c>
      <c r="K1503" s="23">
        <v>-17.18</v>
      </c>
      <c r="L1503" t="s">
        <v>24</v>
      </c>
      <c r="M1503" t="s">
        <v>25</v>
      </c>
    </row>
    <row r="1504" spans="1:13" hidden="1" x14ac:dyDescent="0.25">
      <c r="A1504" s="5">
        <v>45975</v>
      </c>
      <c r="B1504" t="s">
        <v>569</v>
      </c>
      <c r="C1504" t="s">
        <v>1210</v>
      </c>
      <c r="D1504" t="s">
        <v>77</v>
      </c>
      <c r="E1504" t="str">
        <f t="shared" si="29"/>
        <v>Despesa do cliente</v>
      </c>
      <c r="F1504" t="s">
        <v>1209</v>
      </c>
      <c r="G1504" t="s">
        <v>1209</v>
      </c>
      <c r="I1504" t="s">
        <v>75</v>
      </c>
      <c r="J1504" t="s">
        <v>143</v>
      </c>
      <c r="K1504" s="23">
        <v>-13.98</v>
      </c>
      <c r="L1504" t="s">
        <v>24</v>
      </c>
      <c r="M1504" t="s">
        <v>25</v>
      </c>
    </row>
    <row r="1505" spans="1:13" hidden="1" x14ac:dyDescent="0.25">
      <c r="A1505" s="5">
        <v>45975</v>
      </c>
      <c r="B1505" t="s">
        <v>568</v>
      </c>
      <c r="C1505" t="s">
        <v>754</v>
      </c>
      <c r="D1505" t="s">
        <v>56</v>
      </c>
      <c r="E1505" t="str">
        <f t="shared" si="29"/>
        <v>Honorários</v>
      </c>
      <c r="F1505" t="s">
        <v>739</v>
      </c>
      <c r="G1505" t="s">
        <v>739</v>
      </c>
      <c r="I1505" t="s">
        <v>740</v>
      </c>
      <c r="J1505" t="s">
        <v>143</v>
      </c>
      <c r="K1505" s="23">
        <v>589.54</v>
      </c>
      <c r="L1505" t="s">
        <v>18</v>
      </c>
      <c r="M1505" t="s">
        <v>19</v>
      </c>
    </row>
    <row r="1506" spans="1:13" hidden="1" x14ac:dyDescent="0.25">
      <c r="A1506" s="5">
        <v>45975</v>
      </c>
      <c r="B1506" t="s">
        <v>569</v>
      </c>
      <c r="C1506" t="s">
        <v>1211</v>
      </c>
      <c r="D1506" t="s">
        <v>300</v>
      </c>
      <c r="E1506" t="str">
        <f t="shared" si="29"/>
        <v>VAR</v>
      </c>
      <c r="F1506" t="s">
        <v>875</v>
      </c>
      <c r="G1506" t="s">
        <v>875</v>
      </c>
      <c r="J1506" t="s">
        <v>143</v>
      </c>
      <c r="K1506" s="23">
        <v>-600</v>
      </c>
      <c r="L1506" t="s">
        <v>24</v>
      </c>
      <c r="M1506" t="s">
        <v>25</v>
      </c>
    </row>
    <row r="1507" spans="1:13" hidden="1" x14ac:dyDescent="0.25">
      <c r="A1507" s="5">
        <v>45975</v>
      </c>
      <c r="B1507" t="s">
        <v>569</v>
      </c>
      <c r="C1507" t="s">
        <v>584</v>
      </c>
      <c r="D1507" t="s">
        <v>99</v>
      </c>
      <c r="E1507" t="str">
        <f t="shared" si="29"/>
        <v>ADM</v>
      </c>
      <c r="F1507" t="s">
        <v>100</v>
      </c>
      <c r="G1507" t="s">
        <v>100</v>
      </c>
      <c r="J1507" t="s">
        <v>143</v>
      </c>
      <c r="K1507" s="23">
        <v>-340</v>
      </c>
      <c r="L1507" t="s">
        <v>24</v>
      </c>
      <c r="M1507" t="s">
        <v>25</v>
      </c>
    </row>
    <row r="1508" spans="1:13" hidden="1" x14ac:dyDescent="0.25">
      <c r="A1508" s="5">
        <v>45975</v>
      </c>
      <c r="B1508" t="s">
        <v>568</v>
      </c>
      <c r="C1508" t="s">
        <v>1212</v>
      </c>
      <c r="D1508" t="s">
        <v>56</v>
      </c>
      <c r="E1508" t="str">
        <f t="shared" si="29"/>
        <v>Honorários</v>
      </c>
      <c r="F1508" t="s">
        <v>1114</v>
      </c>
      <c r="G1508" t="s">
        <v>1114</v>
      </c>
      <c r="I1508" t="s">
        <v>605</v>
      </c>
      <c r="J1508" t="s">
        <v>143</v>
      </c>
      <c r="K1508" s="23">
        <v>1800.68</v>
      </c>
      <c r="L1508" t="s">
        <v>18</v>
      </c>
      <c r="M1508" t="s">
        <v>19</v>
      </c>
    </row>
    <row r="1509" spans="1:13" hidden="1" x14ac:dyDescent="0.25">
      <c r="A1509" s="5">
        <v>45975</v>
      </c>
      <c r="B1509" t="s">
        <v>569</v>
      </c>
      <c r="C1509" t="s">
        <v>1213</v>
      </c>
      <c r="D1509" t="s">
        <v>300</v>
      </c>
      <c r="E1509" t="str">
        <f t="shared" si="29"/>
        <v>VAR</v>
      </c>
      <c r="F1509" t="s">
        <v>1214</v>
      </c>
      <c r="G1509" t="s">
        <v>1214</v>
      </c>
      <c r="J1509" t="s">
        <v>143</v>
      </c>
      <c r="K1509" s="23">
        <v>-400</v>
      </c>
      <c r="L1509" t="s">
        <v>24</v>
      </c>
      <c r="M1509" t="s">
        <v>25</v>
      </c>
    </row>
    <row r="1510" spans="1:13" hidden="1" x14ac:dyDescent="0.25">
      <c r="A1510" s="5">
        <v>45975</v>
      </c>
      <c r="B1510" t="s">
        <v>569</v>
      </c>
      <c r="C1510" t="s">
        <v>1196</v>
      </c>
      <c r="D1510" t="s">
        <v>300</v>
      </c>
      <c r="E1510" t="str">
        <f t="shared" si="29"/>
        <v>VAR</v>
      </c>
      <c r="F1510" t="s">
        <v>1215</v>
      </c>
      <c r="G1510" t="s">
        <v>1215</v>
      </c>
      <c r="J1510" t="s">
        <v>143</v>
      </c>
      <c r="K1510" s="23">
        <v>-100</v>
      </c>
      <c r="L1510" t="s">
        <v>24</v>
      </c>
      <c r="M1510" t="s">
        <v>25</v>
      </c>
    </row>
    <row r="1511" spans="1:13" hidden="1" x14ac:dyDescent="0.25">
      <c r="A1511" s="5">
        <v>45976</v>
      </c>
      <c r="B1511" t="s">
        <v>1216</v>
      </c>
      <c r="C1511" t="s">
        <v>1081</v>
      </c>
      <c r="D1511" t="s">
        <v>30</v>
      </c>
      <c r="E1511" t="str">
        <f t="shared" si="29"/>
        <v>ADM</v>
      </c>
      <c r="F1511" t="s">
        <v>16</v>
      </c>
      <c r="G1511" t="s">
        <v>16</v>
      </c>
      <c r="J1511" t="s">
        <v>143</v>
      </c>
      <c r="K1511" s="23">
        <v>-117.14</v>
      </c>
      <c r="L1511" t="s">
        <v>24</v>
      </c>
      <c r="M1511" t="s">
        <v>25</v>
      </c>
    </row>
    <row r="1512" spans="1:13" hidden="1" x14ac:dyDescent="0.25">
      <c r="A1512" s="5">
        <v>45976</v>
      </c>
      <c r="B1512" t="s">
        <v>1216</v>
      </c>
      <c r="C1512" t="s">
        <v>1217</v>
      </c>
      <c r="D1512" t="s">
        <v>89</v>
      </c>
      <c r="E1512" t="str">
        <f t="shared" si="29"/>
        <v>ADM</v>
      </c>
      <c r="F1512" t="s">
        <v>16</v>
      </c>
      <c r="G1512" t="s">
        <v>16</v>
      </c>
      <c r="J1512" t="s">
        <v>143</v>
      </c>
      <c r="K1512" s="23">
        <v>-59.97</v>
      </c>
      <c r="L1512" t="s">
        <v>24</v>
      </c>
      <c r="M1512" t="s">
        <v>25</v>
      </c>
    </row>
    <row r="1513" spans="1:13" hidden="1" x14ac:dyDescent="0.25">
      <c r="A1513" s="5">
        <v>45976</v>
      </c>
      <c r="B1513" t="s">
        <v>1216</v>
      </c>
      <c r="C1513" t="s">
        <v>29</v>
      </c>
      <c r="D1513" t="s">
        <v>30</v>
      </c>
      <c r="E1513" t="str">
        <f t="shared" si="29"/>
        <v>ADM</v>
      </c>
      <c r="F1513" t="s">
        <v>16</v>
      </c>
      <c r="G1513" t="s">
        <v>16</v>
      </c>
      <c r="J1513" t="s">
        <v>17</v>
      </c>
      <c r="K1513" s="23">
        <v>-653.29999999999995</v>
      </c>
      <c r="L1513" t="s">
        <v>24</v>
      </c>
      <c r="M1513" t="s">
        <v>25</v>
      </c>
    </row>
    <row r="1514" spans="1:13" hidden="1" x14ac:dyDescent="0.25">
      <c r="A1514" s="5">
        <v>45976</v>
      </c>
      <c r="B1514" t="s">
        <v>1216</v>
      </c>
      <c r="C1514" t="s">
        <v>1218</v>
      </c>
      <c r="D1514" t="s">
        <v>30</v>
      </c>
      <c r="E1514" t="str">
        <f t="shared" si="29"/>
        <v>ADM</v>
      </c>
      <c r="F1514" t="s">
        <v>16</v>
      </c>
      <c r="G1514" t="s">
        <v>16</v>
      </c>
      <c r="J1514" t="s">
        <v>143</v>
      </c>
      <c r="K1514" s="23">
        <v>-4.5</v>
      </c>
      <c r="L1514" t="s">
        <v>24</v>
      </c>
      <c r="M1514" t="s">
        <v>25</v>
      </c>
    </row>
    <row r="1515" spans="1:13" hidden="1" x14ac:dyDescent="0.25">
      <c r="A1515" s="5">
        <v>45976</v>
      </c>
      <c r="B1515" t="s">
        <v>1216</v>
      </c>
      <c r="C1515" t="s">
        <v>1219</v>
      </c>
      <c r="D1515" t="s">
        <v>30</v>
      </c>
      <c r="E1515" t="str">
        <f t="shared" si="29"/>
        <v>ADM</v>
      </c>
      <c r="F1515" t="s">
        <v>16</v>
      </c>
      <c r="G1515" t="s">
        <v>16</v>
      </c>
      <c r="J1515" t="s">
        <v>143</v>
      </c>
      <c r="K1515" s="23">
        <v>-118.3</v>
      </c>
      <c r="L1515" t="s">
        <v>24</v>
      </c>
      <c r="M1515" t="s">
        <v>25</v>
      </c>
    </row>
    <row r="1516" spans="1:13" hidden="1" x14ac:dyDescent="0.25">
      <c r="A1516" s="5">
        <v>45976</v>
      </c>
      <c r="B1516" t="s">
        <v>1216</v>
      </c>
      <c r="C1516" t="s">
        <v>14</v>
      </c>
      <c r="D1516" t="s">
        <v>15</v>
      </c>
      <c r="E1516" t="str">
        <f t="shared" si="29"/>
        <v>ADM</v>
      </c>
      <c r="F1516" t="s">
        <v>16</v>
      </c>
      <c r="G1516" t="s">
        <v>16</v>
      </c>
      <c r="J1516" t="s">
        <v>143</v>
      </c>
      <c r="K1516" s="23">
        <v>1311.6</v>
      </c>
      <c r="L1516" t="s">
        <v>18</v>
      </c>
      <c r="M1516" t="s">
        <v>19</v>
      </c>
    </row>
    <row r="1517" spans="1:13" hidden="1" x14ac:dyDescent="0.25">
      <c r="A1517" s="5">
        <v>45976</v>
      </c>
      <c r="B1517" t="s">
        <v>1216</v>
      </c>
      <c r="C1517" t="s">
        <v>1218</v>
      </c>
      <c r="D1517" t="s">
        <v>30</v>
      </c>
      <c r="E1517" t="str">
        <f t="shared" si="29"/>
        <v>ADM</v>
      </c>
      <c r="F1517" t="s">
        <v>16</v>
      </c>
      <c r="G1517" t="s">
        <v>16</v>
      </c>
      <c r="J1517" t="s">
        <v>143</v>
      </c>
      <c r="K1517" s="23">
        <v>-14.99</v>
      </c>
      <c r="L1517" t="s">
        <v>24</v>
      </c>
      <c r="M1517" t="s">
        <v>25</v>
      </c>
    </row>
    <row r="1518" spans="1:13" hidden="1" x14ac:dyDescent="0.25">
      <c r="A1518" s="5">
        <v>45976</v>
      </c>
      <c r="B1518" t="s">
        <v>1216</v>
      </c>
      <c r="C1518" t="s">
        <v>1220</v>
      </c>
      <c r="D1518" t="s">
        <v>30</v>
      </c>
      <c r="E1518" t="str">
        <f t="shared" si="29"/>
        <v>ADM</v>
      </c>
      <c r="F1518" t="s">
        <v>16</v>
      </c>
      <c r="G1518" t="s">
        <v>16</v>
      </c>
      <c r="J1518" t="s">
        <v>143</v>
      </c>
      <c r="K1518" s="23">
        <v>-109.9</v>
      </c>
      <c r="L1518" t="s">
        <v>24</v>
      </c>
      <c r="M1518" t="s">
        <v>25</v>
      </c>
    </row>
    <row r="1519" spans="1:13" hidden="1" x14ac:dyDescent="0.25">
      <c r="A1519" s="5">
        <v>45976</v>
      </c>
      <c r="B1519" t="s">
        <v>1216</v>
      </c>
      <c r="C1519" t="s">
        <v>1221</v>
      </c>
      <c r="D1519" t="s">
        <v>382</v>
      </c>
      <c r="E1519" t="str">
        <f t="shared" si="29"/>
        <v>PES</v>
      </c>
      <c r="F1519" t="s">
        <v>16</v>
      </c>
      <c r="G1519" t="s">
        <v>16</v>
      </c>
      <c r="J1519" t="s">
        <v>143</v>
      </c>
      <c r="K1519" s="23">
        <v>-229</v>
      </c>
      <c r="L1519" t="s">
        <v>24</v>
      </c>
      <c r="M1519" t="s">
        <v>25</v>
      </c>
    </row>
    <row r="1520" spans="1:13" hidden="1" x14ac:dyDescent="0.25">
      <c r="A1520" s="5">
        <v>45976</v>
      </c>
      <c r="B1520" t="s">
        <v>1216</v>
      </c>
      <c r="C1520" t="s">
        <v>1218</v>
      </c>
      <c r="D1520" t="s">
        <v>30</v>
      </c>
      <c r="E1520" t="str">
        <f t="shared" si="29"/>
        <v>ADM</v>
      </c>
      <c r="F1520" t="s">
        <v>16</v>
      </c>
      <c r="G1520" t="s">
        <v>16</v>
      </c>
      <c r="J1520" t="s">
        <v>143</v>
      </c>
      <c r="K1520" s="23">
        <v>-4.5</v>
      </c>
      <c r="L1520" t="s">
        <v>24</v>
      </c>
      <c r="M1520" t="s">
        <v>25</v>
      </c>
    </row>
    <row r="1521" spans="1:13" hidden="1" x14ac:dyDescent="0.25">
      <c r="A1521" s="5">
        <v>45978</v>
      </c>
      <c r="B1521" t="s">
        <v>569</v>
      </c>
      <c r="C1521" t="s">
        <v>13</v>
      </c>
      <c r="D1521" t="s">
        <v>15</v>
      </c>
      <c r="E1521" t="str">
        <f t="shared" si="29"/>
        <v>ADM</v>
      </c>
      <c r="F1521" t="s">
        <v>16</v>
      </c>
      <c r="G1521" t="s">
        <v>16</v>
      </c>
      <c r="J1521" t="s">
        <v>17</v>
      </c>
      <c r="K1521" s="23">
        <v>-1311.6</v>
      </c>
      <c r="L1521" t="s">
        <v>24</v>
      </c>
      <c r="M1521" t="s">
        <v>25</v>
      </c>
    </row>
    <row r="1522" spans="1:13" hidden="1" x14ac:dyDescent="0.25">
      <c r="A1522" s="5">
        <v>45978</v>
      </c>
      <c r="B1522" t="s">
        <v>569</v>
      </c>
      <c r="C1522" t="s">
        <v>1207</v>
      </c>
      <c r="D1522" t="s">
        <v>28</v>
      </c>
      <c r="E1522" t="str">
        <f t="shared" si="29"/>
        <v>ADM</v>
      </c>
      <c r="F1522" t="s">
        <v>491</v>
      </c>
      <c r="G1522" t="s">
        <v>491</v>
      </c>
      <c r="J1522" t="s">
        <v>143</v>
      </c>
      <c r="K1522" s="23">
        <v>-95.64</v>
      </c>
      <c r="L1522" t="s">
        <v>24</v>
      </c>
      <c r="M1522" t="s">
        <v>25</v>
      </c>
    </row>
    <row r="1523" spans="1:13" hidden="1" x14ac:dyDescent="0.25">
      <c r="A1523" s="5">
        <v>45980</v>
      </c>
      <c r="B1523" t="s">
        <v>568</v>
      </c>
      <c r="C1523" t="s">
        <v>151</v>
      </c>
      <c r="D1523" t="s">
        <v>152</v>
      </c>
      <c r="E1523" t="str">
        <f t="shared" si="29"/>
        <v>VAR</v>
      </c>
      <c r="F1523" t="s">
        <v>151</v>
      </c>
      <c r="G1523" t="s">
        <v>151</v>
      </c>
      <c r="J1523" t="s">
        <v>17</v>
      </c>
      <c r="K1523" s="23">
        <v>-13727.09</v>
      </c>
      <c r="L1523" t="s">
        <v>24</v>
      </c>
      <c r="M1523" t="s">
        <v>25</v>
      </c>
    </row>
    <row r="1524" spans="1:13" hidden="1" x14ac:dyDescent="0.25">
      <c r="A1524" s="5">
        <v>45980</v>
      </c>
      <c r="B1524" t="s">
        <v>568</v>
      </c>
      <c r="C1524" t="s">
        <v>1222</v>
      </c>
      <c r="D1524" t="s">
        <v>215</v>
      </c>
      <c r="E1524" t="str">
        <f t="shared" si="29"/>
        <v>COM</v>
      </c>
      <c r="F1524" t="s">
        <v>1223</v>
      </c>
      <c r="G1524" t="s">
        <v>1223</v>
      </c>
      <c r="J1524" t="s">
        <v>143</v>
      </c>
      <c r="K1524" s="23">
        <v>-450</v>
      </c>
      <c r="L1524" t="s">
        <v>24</v>
      </c>
      <c r="M1524" t="s">
        <v>25</v>
      </c>
    </row>
    <row r="1525" spans="1:13" hidden="1" x14ac:dyDescent="0.25">
      <c r="A1525" s="5">
        <v>45980</v>
      </c>
      <c r="B1525" t="s">
        <v>568</v>
      </c>
      <c r="C1525" t="s">
        <v>165</v>
      </c>
      <c r="D1525" t="s">
        <v>166</v>
      </c>
      <c r="E1525" t="str">
        <f t="shared" si="29"/>
        <v>PES</v>
      </c>
      <c r="F1525" t="s">
        <v>537</v>
      </c>
      <c r="G1525" t="s">
        <v>537</v>
      </c>
      <c r="J1525" t="s">
        <v>17</v>
      </c>
      <c r="K1525" s="23">
        <v>-3959.05</v>
      </c>
      <c r="L1525" t="s">
        <v>24</v>
      </c>
      <c r="M1525" t="s">
        <v>25</v>
      </c>
    </row>
    <row r="1526" spans="1:13" hidden="1" x14ac:dyDescent="0.25">
      <c r="A1526" s="5">
        <v>45980</v>
      </c>
      <c r="B1526" t="s">
        <v>569</v>
      </c>
      <c r="C1526" t="s">
        <v>584</v>
      </c>
      <c r="D1526" t="s">
        <v>99</v>
      </c>
      <c r="E1526" t="str">
        <f t="shared" si="29"/>
        <v>ADM</v>
      </c>
      <c r="F1526" t="s">
        <v>100</v>
      </c>
      <c r="G1526" t="s">
        <v>100</v>
      </c>
      <c r="J1526" t="s">
        <v>143</v>
      </c>
      <c r="K1526" s="23">
        <v>-170</v>
      </c>
      <c r="L1526" t="s">
        <v>24</v>
      </c>
      <c r="M1526" t="s">
        <v>25</v>
      </c>
    </row>
    <row r="1527" spans="1:13" hidden="1" x14ac:dyDescent="0.25">
      <c r="A1527" s="5">
        <v>45980</v>
      </c>
      <c r="B1527" t="s">
        <v>569</v>
      </c>
      <c r="C1527" t="s">
        <v>640</v>
      </c>
      <c r="D1527" t="s">
        <v>56</v>
      </c>
      <c r="E1527" t="str">
        <f t="shared" si="29"/>
        <v>Honorários</v>
      </c>
      <c r="F1527" t="s">
        <v>783</v>
      </c>
      <c r="G1527" t="s">
        <v>783</v>
      </c>
      <c r="I1527" t="s">
        <v>75</v>
      </c>
      <c r="J1527" t="s">
        <v>143</v>
      </c>
      <c r="K1527" s="23">
        <v>1177.79</v>
      </c>
      <c r="L1527" t="s">
        <v>18</v>
      </c>
      <c r="M1527" t="s">
        <v>19</v>
      </c>
    </row>
    <row r="1528" spans="1:13" hidden="1" x14ac:dyDescent="0.25">
      <c r="A1528" s="5">
        <v>45980</v>
      </c>
      <c r="B1528" t="s">
        <v>568</v>
      </c>
      <c r="C1528" t="s">
        <v>1186</v>
      </c>
      <c r="D1528" t="s">
        <v>56</v>
      </c>
      <c r="E1528" t="str">
        <f t="shared" si="29"/>
        <v>Honorários</v>
      </c>
      <c r="F1528" t="s">
        <v>1224</v>
      </c>
      <c r="G1528" t="s">
        <v>1224</v>
      </c>
      <c r="I1528" t="s">
        <v>323</v>
      </c>
      <c r="J1528" t="s">
        <v>143</v>
      </c>
      <c r="K1528" s="23">
        <v>27682.06</v>
      </c>
      <c r="L1528" t="s">
        <v>18</v>
      </c>
      <c r="M1528" t="s">
        <v>19</v>
      </c>
    </row>
    <row r="1529" spans="1:13" hidden="1" x14ac:dyDescent="0.25">
      <c r="A1529" s="5">
        <v>45980</v>
      </c>
      <c r="B1529" t="s">
        <v>568</v>
      </c>
      <c r="C1529" t="s">
        <v>1225</v>
      </c>
      <c r="D1529" t="s">
        <v>56</v>
      </c>
      <c r="E1529" t="str">
        <f t="shared" si="29"/>
        <v>Honorários</v>
      </c>
      <c r="F1529" t="s">
        <v>1224</v>
      </c>
      <c r="G1529" t="s">
        <v>1224</v>
      </c>
      <c r="I1529" t="s">
        <v>323</v>
      </c>
      <c r="J1529" t="s">
        <v>143</v>
      </c>
      <c r="K1529" s="23">
        <v>10257.68</v>
      </c>
      <c r="L1529" t="s">
        <v>18</v>
      </c>
      <c r="M1529" t="s">
        <v>19</v>
      </c>
    </row>
    <row r="1530" spans="1:13" hidden="1" x14ac:dyDescent="0.25">
      <c r="A1530" s="5">
        <v>45980</v>
      </c>
      <c r="B1530" t="s">
        <v>568</v>
      </c>
      <c r="C1530" t="s">
        <v>158</v>
      </c>
      <c r="D1530" t="s">
        <v>159</v>
      </c>
      <c r="E1530" t="str">
        <f t="shared" si="29"/>
        <v>PES</v>
      </c>
      <c r="F1530" t="s">
        <v>158</v>
      </c>
      <c r="G1530" t="s">
        <v>158</v>
      </c>
      <c r="J1530" t="s">
        <v>17</v>
      </c>
      <c r="K1530" s="23">
        <v>-997.52</v>
      </c>
      <c r="L1530" t="s">
        <v>24</v>
      </c>
      <c r="M1530" t="s">
        <v>25</v>
      </c>
    </row>
    <row r="1531" spans="1:13" hidden="1" x14ac:dyDescent="0.25">
      <c r="A1531" s="5">
        <v>45980</v>
      </c>
      <c r="B1531" t="s">
        <v>569</v>
      </c>
      <c r="C1531" t="s">
        <v>1226</v>
      </c>
      <c r="D1531" t="s">
        <v>300</v>
      </c>
      <c r="E1531" t="str">
        <f t="shared" si="29"/>
        <v>VAR</v>
      </c>
      <c r="F1531" t="s">
        <v>1227</v>
      </c>
      <c r="G1531" t="s">
        <v>1227</v>
      </c>
      <c r="J1531" t="s">
        <v>143</v>
      </c>
      <c r="K1531" s="23">
        <v>-595</v>
      </c>
      <c r="L1531" t="s">
        <v>24</v>
      </c>
      <c r="M1531" t="s">
        <v>25</v>
      </c>
    </row>
    <row r="1532" spans="1:13" hidden="1" x14ac:dyDescent="0.25">
      <c r="A1532" s="5">
        <v>45982</v>
      </c>
      <c r="B1532" t="s">
        <v>568</v>
      </c>
      <c r="C1532" t="s">
        <v>153</v>
      </c>
      <c r="D1532" t="s">
        <v>154</v>
      </c>
      <c r="E1532" t="str">
        <f t="shared" si="29"/>
        <v>ADM</v>
      </c>
      <c r="F1532" t="s">
        <v>155</v>
      </c>
      <c r="G1532" t="s">
        <v>155</v>
      </c>
      <c r="J1532" t="s">
        <v>17</v>
      </c>
      <c r="K1532" s="23">
        <v>-179.27</v>
      </c>
      <c r="L1532" t="s">
        <v>24</v>
      </c>
      <c r="M1532" t="s">
        <v>25</v>
      </c>
    </row>
    <row r="1533" spans="1:13" hidden="1" x14ac:dyDescent="0.25">
      <c r="A1533" s="5">
        <v>45982</v>
      </c>
      <c r="B1533" t="s">
        <v>568</v>
      </c>
      <c r="C1533" t="s">
        <v>351</v>
      </c>
      <c r="D1533" t="s">
        <v>302</v>
      </c>
      <c r="E1533" t="str">
        <f t="shared" si="29"/>
        <v>ADM</v>
      </c>
      <c r="F1533" t="s">
        <v>303</v>
      </c>
      <c r="G1533" t="s">
        <v>303</v>
      </c>
      <c r="J1533" t="s">
        <v>143</v>
      </c>
      <c r="K1533" s="23">
        <v>-125.52</v>
      </c>
      <c r="L1533" t="s">
        <v>24</v>
      </c>
      <c r="M1533" t="s">
        <v>25</v>
      </c>
    </row>
    <row r="1534" spans="1:13" hidden="1" x14ac:dyDescent="0.25">
      <c r="A1534" s="5">
        <v>45982</v>
      </c>
      <c r="B1534" t="s">
        <v>569</v>
      </c>
      <c r="C1534" t="s">
        <v>1228</v>
      </c>
      <c r="D1534" t="s">
        <v>611</v>
      </c>
      <c r="E1534" t="str">
        <f t="shared" si="29"/>
        <v>COM</v>
      </c>
      <c r="F1534" t="s">
        <v>551</v>
      </c>
      <c r="G1534" t="s">
        <v>551</v>
      </c>
      <c r="J1534" t="s">
        <v>143</v>
      </c>
      <c r="K1534" s="23">
        <v>-100</v>
      </c>
      <c r="L1534" t="s">
        <v>24</v>
      </c>
      <c r="M1534" t="s">
        <v>25</v>
      </c>
    </row>
    <row r="1535" spans="1:13" hidden="1" x14ac:dyDescent="0.25">
      <c r="A1535" s="5">
        <v>45985</v>
      </c>
      <c r="B1535" t="s">
        <v>569</v>
      </c>
      <c r="C1535" t="s">
        <v>1229</v>
      </c>
      <c r="D1535" t="s">
        <v>56</v>
      </c>
      <c r="E1535" t="str">
        <f t="shared" si="29"/>
        <v>Honorários</v>
      </c>
      <c r="F1535" t="s">
        <v>1131</v>
      </c>
      <c r="G1535" t="s">
        <v>1131</v>
      </c>
      <c r="I1535" t="s">
        <v>1132</v>
      </c>
      <c r="J1535" t="s">
        <v>143</v>
      </c>
      <c r="K1535" s="23">
        <v>327.7</v>
      </c>
      <c r="L1535" t="s">
        <v>18</v>
      </c>
      <c r="M1535" t="s">
        <v>19</v>
      </c>
    </row>
    <row r="1536" spans="1:13" hidden="1" x14ac:dyDescent="0.25">
      <c r="A1536" s="5">
        <v>45985</v>
      </c>
      <c r="B1536" t="s">
        <v>569</v>
      </c>
      <c r="C1536" t="s">
        <v>1143</v>
      </c>
      <c r="D1536" t="s">
        <v>300</v>
      </c>
      <c r="E1536" t="str">
        <f t="shared" si="29"/>
        <v>VAR</v>
      </c>
      <c r="F1536" t="s">
        <v>1165</v>
      </c>
      <c r="G1536" t="s">
        <v>1165</v>
      </c>
      <c r="I1536" t="s">
        <v>117</v>
      </c>
      <c r="J1536" t="s">
        <v>17</v>
      </c>
      <c r="K1536" s="23">
        <v>-1276.97</v>
      </c>
      <c r="L1536" t="s">
        <v>24</v>
      </c>
      <c r="M1536" t="s">
        <v>25</v>
      </c>
    </row>
    <row r="1537" spans="1:13" hidden="1" x14ac:dyDescent="0.25">
      <c r="A1537" s="5">
        <v>45985</v>
      </c>
      <c r="B1537" t="s">
        <v>569</v>
      </c>
      <c r="C1537" t="s">
        <v>1079</v>
      </c>
      <c r="D1537" t="s">
        <v>900</v>
      </c>
      <c r="E1537" t="str">
        <f t="shared" si="29"/>
        <v>PES</v>
      </c>
      <c r="F1537" t="s">
        <v>875</v>
      </c>
      <c r="G1537" t="s">
        <v>875</v>
      </c>
      <c r="J1537" t="s">
        <v>143</v>
      </c>
      <c r="K1537" s="23">
        <v>-800</v>
      </c>
      <c r="L1537" t="s">
        <v>24</v>
      </c>
      <c r="M1537" t="s">
        <v>25</v>
      </c>
    </row>
    <row r="1538" spans="1:13" hidden="1" x14ac:dyDescent="0.25">
      <c r="A1538" s="5">
        <v>45985</v>
      </c>
      <c r="B1538" t="s">
        <v>569</v>
      </c>
      <c r="C1538" t="s">
        <v>1230</v>
      </c>
      <c r="D1538" t="s">
        <v>56</v>
      </c>
      <c r="E1538" t="str">
        <f t="shared" si="29"/>
        <v>Honorários</v>
      </c>
      <c r="F1538" t="s">
        <v>1231</v>
      </c>
      <c r="G1538" t="s">
        <v>1231</v>
      </c>
      <c r="I1538" t="s">
        <v>196</v>
      </c>
      <c r="J1538" t="s">
        <v>143</v>
      </c>
      <c r="K1538" s="23">
        <v>1000</v>
      </c>
      <c r="L1538" t="s">
        <v>18</v>
      </c>
      <c r="M1538" t="s">
        <v>19</v>
      </c>
    </row>
    <row r="1539" spans="1:13" hidden="1" x14ac:dyDescent="0.25">
      <c r="A1539" s="5">
        <v>45986</v>
      </c>
      <c r="B1539" t="s">
        <v>568</v>
      </c>
      <c r="C1539" t="s">
        <v>883</v>
      </c>
      <c r="D1539" t="s">
        <v>162</v>
      </c>
      <c r="E1539" t="str">
        <f t="shared" si="29"/>
        <v>COM</v>
      </c>
      <c r="F1539" t="s">
        <v>884</v>
      </c>
      <c r="G1539" t="s">
        <v>884</v>
      </c>
      <c r="J1539" t="s">
        <v>143</v>
      </c>
      <c r="K1539" s="23">
        <v>-925</v>
      </c>
      <c r="L1539" t="s">
        <v>24</v>
      </c>
      <c r="M1539" t="s">
        <v>25</v>
      </c>
    </row>
    <row r="1540" spans="1:13" hidden="1" x14ac:dyDescent="0.25">
      <c r="A1540" s="5">
        <v>45986</v>
      </c>
      <c r="B1540" t="s">
        <v>568</v>
      </c>
      <c r="C1540" t="s">
        <v>1232</v>
      </c>
      <c r="D1540" t="s">
        <v>300</v>
      </c>
      <c r="E1540" t="str">
        <f t="shared" si="29"/>
        <v>VAR</v>
      </c>
      <c r="F1540" t="s">
        <v>1224</v>
      </c>
      <c r="G1540" t="s">
        <v>1224</v>
      </c>
      <c r="I1540" t="s">
        <v>323</v>
      </c>
      <c r="J1540" t="s">
        <v>17</v>
      </c>
      <c r="K1540" s="23">
        <v>-13300.24</v>
      </c>
      <c r="L1540" t="s">
        <v>24</v>
      </c>
      <c r="M1540" t="s">
        <v>25</v>
      </c>
    </row>
    <row r="1541" spans="1:13" hidden="1" x14ac:dyDescent="0.25">
      <c r="A1541" s="5">
        <v>45986</v>
      </c>
      <c r="B1541" t="s">
        <v>568</v>
      </c>
      <c r="C1541" t="s">
        <v>1233</v>
      </c>
      <c r="D1541" t="s">
        <v>300</v>
      </c>
      <c r="E1541" t="str">
        <f t="shared" si="29"/>
        <v>VAR</v>
      </c>
      <c r="F1541" t="s">
        <v>1224</v>
      </c>
      <c r="G1541" t="s">
        <v>1224</v>
      </c>
      <c r="I1541" t="s">
        <v>323</v>
      </c>
      <c r="J1541" t="s">
        <v>17</v>
      </c>
      <c r="K1541" s="23">
        <v>-5675.42</v>
      </c>
      <c r="L1541" t="s">
        <v>24</v>
      </c>
      <c r="M1541" t="s">
        <v>25</v>
      </c>
    </row>
    <row r="1542" spans="1:13" hidden="1" x14ac:dyDescent="0.25">
      <c r="A1542" s="5">
        <v>45986</v>
      </c>
      <c r="B1542" t="s">
        <v>568</v>
      </c>
      <c r="C1542" t="s">
        <v>1234</v>
      </c>
      <c r="D1542" t="s">
        <v>300</v>
      </c>
      <c r="E1542" t="str">
        <f t="shared" si="29"/>
        <v>VAR</v>
      </c>
      <c r="F1542" t="s">
        <v>1224</v>
      </c>
      <c r="G1542" t="s">
        <v>1224</v>
      </c>
      <c r="I1542" t="s">
        <v>323</v>
      </c>
      <c r="J1542" t="s">
        <v>17</v>
      </c>
      <c r="K1542" s="23">
        <v>-4928.4399999999996</v>
      </c>
      <c r="L1542" t="s">
        <v>24</v>
      </c>
      <c r="M1542" t="s">
        <v>25</v>
      </c>
    </row>
    <row r="1543" spans="1:13" hidden="1" x14ac:dyDescent="0.25">
      <c r="A1543" s="5">
        <v>45986</v>
      </c>
      <c r="B1543" t="s">
        <v>568</v>
      </c>
      <c r="C1543" t="s">
        <v>1235</v>
      </c>
      <c r="D1543" t="s">
        <v>300</v>
      </c>
      <c r="E1543" t="str">
        <f t="shared" si="29"/>
        <v>VAR</v>
      </c>
      <c r="F1543" t="s">
        <v>1224</v>
      </c>
      <c r="G1543" t="s">
        <v>1224</v>
      </c>
      <c r="I1543" t="s">
        <v>323</v>
      </c>
      <c r="J1543" t="s">
        <v>17</v>
      </c>
      <c r="K1543" s="23">
        <v>-2103.04</v>
      </c>
      <c r="L1543" t="s">
        <v>24</v>
      </c>
      <c r="M1543" t="s">
        <v>25</v>
      </c>
    </row>
    <row r="1544" spans="1:13" hidden="1" x14ac:dyDescent="0.25">
      <c r="A1544" s="5">
        <v>45987</v>
      </c>
      <c r="B1544" t="s">
        <v>568</v>
      </c>
      <c r="C1544" t="s">
        <v>1236</v>
      </c>
      <c r="D1544" t="s">
        <v>1070</v>
      </c>
      <c r="E1544" t="str">
        <f t="shared" si="29"/>
        <v>PES</v>
      </c>
      <c r="F1544" t="s">
        <v>1137</v>
      </c>
      <c r="G1544" t="s">
        <v>1137</v>
      </c>
      <c r="J1544" t="s">
        <v>143</v>
      </c>
      <c r="K1544" s="23">
        <v>-1202.5</v>
      </c>
      <c r="L1544" t="s">
        <v>24</v>
      </c>
      <c r="M1544" t="s">
        <v>25</v>
      </c>
    </row>
    <row r="1545" spans="1:13" hidden="1" x14ac:dyDescent="0.25">
      <c r="A1545" s="5">
        <v>45987</v>
      </c>
      <c r="B1545" t="s">
        <v>568</v>
      </c>
      <c r="C1545" t="s">
        <v>1237</v>
      </c>
      <c r="D1545" t="s">
        <v>1070</v>
      </c>
      <c r="E1545" t="str">
        <f t="shared" si="29"/>
        <v>PES</v>
      </c>
      <c r="F1545" t="s">
        <v>1137</v>
      </c>
      <c r="G1545" t="s">
        <v>1137</v>
      </c>
      <c r="J1545" t="s">
        <v>143</v>
      </c>
      <c r="K1545" s="23">
        <v>-131.5</v>
      </c>
      <c r="L1545" t="s">
        <v>24</v>
      </c>
      <c r="M1545" t="s">
        <v>25</v>
      </c>
    </row>
    <row r="1546" spans="1:13" hidden="1" x14ac:dyDescent="0.25">
      <c r="A1546" s="5">
        <v>45987</v>
      </c>
      <c r="B1546" t="s">
        <v>568</v>
      </c>
      <c r="C1546" t="s">
        <v>1238</v>
      </c>
      <c r="D1546" t="s">
        <v>56</v>
      </c>
      <c r="E1546" t="str">
        <f t="shared" si="29"/>
        <v>Honorários</v>
      </c>
      <c r="F1546" t="s">
        <v>1239</v>
      </c>
      <c r="G1546" t="s">
        <v>1239</v>
      </c>
      <c r="I1546" t="s">
        <v>605</v>
      </c>
      <c r="J1546" t="s">
        <v>143</v>
      </c>
      <c r="K1546" s="23">
        <v>15469.47</v>
      </c>
      <c r="L1546" t="s">
        <v>18</v>
      </c>
      <c r="M1546" t="s">
        <v>19</v>
      </c>
    </row>
    <row r="1547" spans="1:13" hidden="1" x14ac:dyDescent="0.25">
      <c r="A1547" s="5">
        <v>45988</v>
      </c>
      <c r="B1547" t="s">
        <v>568</v>
      </c>
      <c r="C1547" t="s">
        <v>1120</v>
      </c>
      <c r="D1547" t="s">
        <v>56</v>
      </c>
      <c r="E1547" t="str">
        <f t="shared" si="29"/>
        <v>Honorários</v>
      </c>
      <c r="F1547" t="s">
        <v>1118</v>
      </c>
      <c r="G1547" t="s">
        <v>1118</v>
      </c>
      <c r="I1547" t="s">
        <v>1119</v>
      </c>
      <c r="J1547" t="s">
        <v>143</v>
      </c>
      <c r="K1547" s="23">
        <v>500</v>
      </c>
      <c r="L1547" t="s">
        <v>18</v>
      </c>
      <c r="M1547" t="s">
        <v>83</v>
      </c>
    </row>
    <row r="1548" spans="1:13" hidden="1" x14ac:dyDescent="0.25">
      <c r="A1548" s="5">
        <v>45989</v>
      </c>
      <c r="B1548" t="s">
        <v>569</v>
      </c>
      <c r="C1548" t="s">
        <v>584</v>
      </c>
      <c r="D1548" t="s">
        <v>99</v>
      </c>
      <c r="E1548" t="str">
        <f t="shared" si="29"/>
        <v>ADM</v>
      </c>
      <c r="F1548" t="s">
        <v>100</v>
      </c>
      <c r="G1548" t="s">
        <v>100</v>
      </c>
      <c r="J1548" t="s">
        <v>143</v>
      </c>
      <c r="K1548" s="23">
        <v>-340</v>
      </c>
      <c r="L1548" t="s">
        <v>24</v>
      </c>
      <c r="M1548" t="s">
        <v>25</v>
      </c>
    </row>
    <row r="1549" spans="1:13" hidden="1" x14ac:dyDescent="0.25">
      <c r="A1549" s="5">
        <v>45989</v>
      </c>
      <c r="B1549" t="s">
        <v>568</v>
      </c>
      <c r="C1549" t="s">
        <v>200</v>
      </c>
      <c r="D1549" t="s">
        <v>201</v>
      </c>
      <c r="E1549" t="str">
        <f t="shared" si="29"/>
        <v>DIR</v>
      </c>
      <c r="F1549" t="s">
        <v>67</v>
      </c>
      <c r="G1549" t="s">
        <v>67</v>
      </c>
      <c r="J1549" t="s">
        <v>17</v>
      </c>
      <c r="K1549" s="23">
        <v>-3648.98</v>
      </c>
      <c r="L1549" t="s">
        <v>24</v>
      </c>
      <c r="M1549" t="s">
        <v>25</v>
      </c>
    </row>
    <row r="1550" spans="1:13" hidden="1" x14ac:dyDescent="0.25">
      <c r="A1550" s="5">
        <v>45989</v>
      </c>
      <c r="B1550" t="s">
        <v>569</v>
      </c>
      <c r="C1550" t="s">
        <v>272</v>
      </c>
      <c r="D1550" t="s">
        <v>198</v>
      </c>
      <c r="E1550" t="str">
        <f t="shared" si="29"/>
        <v>PES</v>
      </c>
      <c r="F1550" t="s">
        <v>209</v>
      </c>
      <c r="G1550" t="s">
        <v>209</v>
      </c>
      <c r="J1550" t="s">
        <v>17</v>
      </c>
      <c r="K1550" s="23">
        <v>-3500</v>
      </c>
      <c r="L1550" t="s">
        <v>24</v>
      </c>
      <c r="M1550" t="s">
        <v>25</v>
      </c>
    </row>
    <row r="1551" spans="1:13" hidden="1" x14ac:dyDescent="0.25">
      <c r="A1551" s="5">
        <v>45989</v>
      </c>
      <c r="B1551" t="s">
        <v>568</v>
      </c>
      <c r="C1551" t="s">
        <v>484</v>
      </c>
      <c r="D1551" t="s">
        <v>207</v>
      </c>
      <c r="E1551" t="str">
        <f t="shared" si="29"/>
        <v>DIR</v>
      </c>
      <c r="F1551" t="s">
        <v>67</v>
      </c>
      <c r="G1551" t="s">
        <v>67</v>
      </c>
      <c r="J1551" t="s">
        <v>17</v>
      </c>
      <c r="K1551" s="23">
        <v>-1351.02</v>
      </c>
      <c r="L1551" t="s">
        <v>24</v>
      </c>
      <c r="M1551" t="s">
        <v>25</v>
      </c>
    </row>
    <row r="1552" spans="1:13" hidden="1" x14ac:dyDescent="0.25">
      <c r="A1552" s="5">
        <v>45989</v>
      </c>
      <c r="B1552" t="s">
        <v>569</v>
      </c>
      <c r="C1552" t="s">
        <v>272</v>
      </c>
      <c r="D1552" t="s">
        <v>198</v>
      </c>
      <c r="E1552" t="str">
        <f t="shared" si="29"/>
        <v>PES</v>
      </c>
      <c r="F1552" t="s">
        <v>203</v>
      </c>
      <c r="G1552" t="s">
        <v>203</v>
      </c>
      <c r="J1552" t="s">
        <v>143</v>
      </c>
      <c r="K1552" s="23">
        <v>-1518</v>
      </c>
      <c r="L1552" t="s">
        <v>24</v>
      </c>
      <c r="M1552" t="s">
        <v>25</v>
      </c>
    </row>
    <row r="1553" spans="1:14" hidden="1" x14ac:dyDescent="0.25">
      <c r="A1553" s="5">
        <v>45989</v>
      </c>
      <c r="B1553" t="s">
        <v>569</v>
      </c>
      <c r="C1553" t="s">
        <v>1240</v>
      </c>
      <c r="D1553" t="s">
        <v>224</v>
      </c>
      <c r="E1553" t="str">
        <f t="shared" si="29"/>
        <v>COM</v>
      </c>
      <c r="F1553" t="s">
        <v>67</v>
      </c>
      <c r="G1553" t="s">
        <v>67</v>
      </c>
      <c r="J1553" t="s">
        <v>143</v>
      </c>
      <c r="K1553" s="23">
        <v>-55.1</v>
      </c>
      <c r="L1553" t="s">
        <v>24</v>
      </c>
      <c r="M1553" t="s">
        <v>25</v>
      </c>
    </row>
    <row r="1554" spans="1:14" hidden="1" x14ac:dyDescent="0.25">
      <c r="A1554" s="5">
        <v>45989</v>
      </c>
      <c r="B1554" t="s">
        <v>568</v>
      </c>
      <c r="C1554" t="s">
        <v>1241</v>
      </c>
      <c r="D1554" t="s">
        <v>198</v>
      </c>
      <c r="E1554" t="str">
        <f t="shared" si="29"/>
        <v>PES</v>
      </c>
      <c r="F1554" t="s">
        <v>831</v>
      </c>
      <c r="G1554" t="s">
        <v>831</v>
      </c>
      <c r="J1554" t="s">
        <v>143</v>
      </c>
      <c r="K1554" s="23">
        <v>-963.55</v>
      </c>
      <c r="L1554" t="s">
        <v>24</v>
      </c>
      <c r="M1554" t="s">
        <v>25</v>
      </c>
    </row>
    <row r="1555" spans="1:14" hidden="1" x14ac:dyDescent="0.25">
      <c r="A1555" s="5">
        <v>45989</v>
      </c>
      <c r="B1555" t="s">
        <v>568</v>
      </c>
      <c r="C1555" t="s">
        <v>484</v>
      </c>
      <c r="D1555" t="s">
        <v>207</v>
      </c>
      <c r="E1555" t="str">
        <f t="shared" ref="E1555:E1566" si="30">IF(ISERROR(FIND("-",D1555,1)),D1555,LEFT(D1555,3))</f>
        <v>DIR</v>
      </c>
      <c r="F1555" t="s">
        <v>54</v>
      </c>
      <c r="G1555" t="s">
        <v>54</v>
      </c>
      <c r="J1555" t="s">
        <v>17</v>
      </c>
      <c r="K1555" s="23">
        <v>-1351.02</v>
      </c>
      <c r="L1555" t="s">
        <v>24</v>
      </c>
      <c r="M1555" t="s">
        <v>25</v>
      </c>
    </row>
    <row r="1556" spans="1:14" hidden="1" x14ac:dyDescent="0.25">
      <c r="A1556" s="5">
        <v>45989</v>
      </c>
      <c r="B1556" t="s">
        <v>568</v>
      </c>
      <c r="C1556" t="s">
        <v>272</v>
      </c>
      <c r="D1556" t="s">
        <v>198</v>
      </c>
      <c r="E1556" t="str">
        <f t="shared" si="30"/>
        <v>PES</v>
      </c>
      <c r="F1556" t="s">
        <v>831</v>
      </c>
      <c r="G1556" t="s">
        <v>831</v>
      </c>
      <c r="J1556" t="s">
        <v>143</v>
      </c>
      <c r="K1556" s="23">
        <v>-2296.77</v>
      </c>
      <c r="L1556" t="s">
        <v>24</v>
      </c>
      <c r="M1556" t="s">
        <v>25</v>
      </c>
    </row>
    <row r="1557" spans="1:14" hidden="1" x14ac:dyDescent="0.25">
      <c r="A1557" s="5">
        <v>45989</v>
      </c>
      <c r="B1557" t="s">
        <v>568</v>
      </c>
      <c r="C1557" t="s">
        <v>272</v>
      </c>
      <c r="D1557" t="s">
        <v>198</v>
      </c>
      <c r="E1557" t="str">
        <f t="shared" si="30"/>
        <v>PES</v>
      </c>
      <c r="F1557" t="s">
        <v>1141</v>
      </c>
      <c r="G1557" t="s">
        <v>1141</v>
      </c>
      <c r="J1557" t="s">
        <v>143</v>
      </c>
      <c r="K1557" s="23">
        <v>-1551.77</v>
      </c>
      <c r="L1557" t="s">
        <v>24</v>
      </c>
      <c r="M1557" t="s">
        <v>25</v>
      </c>
    </row>
    <row r="1558" spans="1:14" hidden="1" x14ac:dyDescent="0.25">
      <c r="A1558" s="5">
        <v>45989</v>
      </c>
      <c r="B1558" t="s">
        <v>568</v>
      </c>
      <c r="C1558" t="s">
        <v>478</v>
      </c>
      <c r="D1558" t="s">
        <v>191</v>
      </c>
      <c r="E1558" t="str">
        <f t="shared" si="30"/>
        <v>ADM</v>
      </c>
      <c r="F1558" t="s">
        <v>380</v>
      </c>
      <c r="G1558" t="s">
        <v>380</v>
      </c>
      <c r="J1558" t="s">
        <v>17</v>
      </c>
      <c r="K1558" s="23">
        <v>-627.22</v>
      </c>
      <c r="L1558" t="s">
        <v>24</v>
      </c>
      <c r="M1558" s="7" t="s">
        <v>25</v>
      </c>
    </row>
    <row r="1559" spans="1:14" hidden="1" x14ac:dyDescent="0.25">
      <c r="A1559" s="5">
        <v>45989</v>
      </c>
      <c r="B1559" t="s">
        <v>568</v>
      </c>
      <c r="C1559" t="s">
        <v>481</v>
      </c>
      <c r="D1559" t="s">
        <v>191</v>
      </c>
      <c r="E1559" t="str">
        <f t="shared" si="30"/>
        <v>ADM</v>
      </c>
      <c r="F1559" t="s">
        <v>371</v>
      </c>
      <c r="G1559" t="s">
        <v>371</v>
      </c>
      <c r="J1559" t="s">
        <v>17</v>
      </c>
      <c r="K1559" s="23">
        <v>-380.75</v>
      </c>
      <c r="L1559" t="s">
        <v>24</v>
      </c>
      <c r="M1559" s="7" t="s">
        <v>25</v>
      </c>
    </row>
    <row r="1560" spans="1:14" hidden="1" x14ac:dyDescent="0.25">
      <c r="A1560" s="5">
        <v>45989</v>
      </c>
      <c r="B1560" t="s">
        <v>568</v>
      </c>
      <c r="C1560" t="s">
        <v>1241</v>
      </c>
      <c r="D1560" t="s">
        <v>198</v>
      </c>
      <c r="E1560" t="str">
        <f t="shared" si="30"/>
        <v>PES</v>
      </c>
      <c r="F1560" t="s">
        <v>199</v>
      </c>
      <c r="G1560" t="s">
        <v>199</v>
      </c>
      <c r="J1560" t="s">
        <v>143</v>
      </c>
      <c r="K1560" s="23">
        <v>-3381.96</v>
      </c>
      <c r="L1560" t="s">
        <v>24</v>
      </c>
      <c r="M1560" t="s">
        <v>25</v>
      </c>
    </row>
    <row r="1561" spans="1:14" hidden="1" x14ac:dyDescent="0.25">
      <c r="A1561" s="5">
        <v>45989</v>
      </c>
      <c r="B1561" t="s">
        <v>568</v>
      </c>
      <c r="C1561" t="s">
        <v>200</v>
      </c>
      <c r="D1561" t="s">
        <v>201</v>
      </c>
      <c r="E1561" t="str">
        <f t="shared" si="30"/>
        <v>DIR</v>
      </c>
      <c r="F1561" t="s">
        <v>54</v>
      </c>
      <c r="G1561" t="s">
        <v>54</v>
      </c>
      <c r="J1561" t="s">
        <v>17</v>
      </c>
      <c r="K1561" s="23">
        <v>-6148.98</v>
      </c>
      <c r="L1561" t="s">
        <v>24</v>
      </c>
      <c r="M1561" t="s">
        <v>25</v>
      </c>
    </row>
    <row r="1562" spans="1:14" hidden="1" x14ac:dyDescent="0.25">
      <c r="A1562" s="5">
        <v>45989</v>
      </c>
      <c r="B1562" t="s">
        <v>568</v>
      </c>
      <c r="C1562" t="s">
        <v>272</v>
      </c>
      <c r="D1562" t="s">
        <v>198</v>
      </c>
      <c r="E1562" t="str">
        <f t="shared" si="30"/>
        <v>PES</v>
      </c>
      <c r="F1562" t="s">
        <v>199</v>
      </c>
      <c r="G1562" t="s">
        <v>199</v>
      </c>
      <c r="J1562" t="s">
        <v>17</v>
      </c>
      <c r="K1562" s="23">
        <v>-3230.22</v>
      </c>
      <c r="L1562" t="s">
        <v>24</v>
      </c>
      <c r="M1562" t="s">
        <v>25</v>
      </c>
    </row>
    <row r="1563" spans="1:14" hidden="1" x14ac:dyDescent="0.25">
      <c r="A1563" s="5">
        <v>45989</v>
      </c>
      <c r="B1563" t="s">
        <v>569</v>
      </c>
      <c r="C1563" t="s">
        <v>1242</v>
      </c>
      <c r="D1563" t="s">
        <v>900</v>
      </c>
      <c r="E1563" t="str">
        <f t="shared" si="30"/>
        <v>PES</v>
      </c>
      <c r="F1563" t="s">
        <v>875</v>
      </c>
      <c r="G1563" t="s">
        <v>875</v>
      </c>
      <c r="J1563" t="s">
        <v>143</v>
      </c>
      <c r="K1563" s="23">
        <v>-200</v>
      </c>
      <c r="L1563" t="s">
        <v>24</v>
      </c>
      <c r="M1563" t="s">
        <v>25</v>
      </c>
    </row>
    <row r="1564" spans="1:14" hidden="1" x14ac:dyDescent="0.25">
      <c r="A1564" s="5">
        <v>45989</v>
      </c>
      <c r="B1564" t="s">
        <v>568</v>
      </c>
      <c r="C1564" t="s">
        <v>1241</v>
      </c>
      <c r="D1564" t="s">
        <v>198</v>
      </c>
      <c r="E1564" t="str">
        <f t="shared" si="30"/>
        <v>PES</v>
      </c>
      <c r="F1564" t="s">
        <v>1141</v>
      </c>
      <c r="G1564" t="s">
        <v>1141</v>
      </c>
      <c r="J1564" t="s">
        <v>143</v>
      </c>
      <c r="K1564" s="23">
        <v>-416.25</v>
      </c>
      <c r="L1564" t="s">
        <v>24</v>
      </c>
      <c r="M1564" t="s">
        <v>25</v>
      </c>
    </row>
    <row r="1565" spans="1:14" hidden="1" x14ac:dyDescent="0.25">
      <c r="A1565" s="5">
        <v>45989</v>
      </c>
      <c r="B1565" t="s">
        <v>568</v>
      </c>
      <c r="C1565" t="s">
        <v>1241</v>
      </c>
      <c r="D1565" t="s">
        <v>198</v>
      </c>
      <c r="E1565" t="str">
        <f t="shared" si="30"/>
        <v>PES</v>
      </c>
      <c r="F1565" t="s">
        <v>645</v>
      </c>
      <c r="G1565" t="s">
        <v>645</v>
      </c>
      <c r="J1565" t="s">
        <v>143</v>
      </c>
      <c r="K1565" s="23">
        <v>-1373.65</v>
      </c>
      <c r="L1565" t="s">
        <v>24</v>
      </c>
      <c r="M1565" t="s">
        <v>25</v>
      </c>
    </row>
    <row r="1566" spans="1:14" hidden="1" x14ac:dyDescent="0.25">
      <c r="A1566" s="5">
        <v>45989</v>
      </c>
      <c r="B1566" t="s">
        <v>568</v>
      </c>
      <c r="C1566" t="s">
        <v>272</v>
      </c>
      <c r="D1566" t="s">
        <v>198</v>
      </c>
      <c r="E1566" t="str">
        <f t="shared" si="30"/>
        <v>PES</v>
      </c>
      <c r="F1566" t="s">
        <v>645</v>
      </c>
      <c r="G1566" t="s">
        <v>645</v>
      </c>
      <c r="J1566" t="s">
        <v>143</v>
      </c>
      <c r="K1566" s="23">
        <v>-2338.41</v>
      </c>
      <c r="L1566" t="s">
        <v>24</v>
      </c>
      <c r="M1566" t="s">
        <v>25</v>
      </c>
    </row>
    <row r="1567" spans="1:14" hidden="1" x14ac:dyDescent="0.25">
      <c r="A1567" s="5">
        <v>46001</v>
      </c>
      <c r="B1567" t="s">
        <v>568</v>
      </c>
      <c r="C1567" t="s">
        <v>1039</v>
      </c>
      <c r="D1567" t="s">
        <v>56</v>
      </c>
      <c r="E1567" t="str">
        <f t="shared" ref="E1567:E1598" si="31">IF(ISERROR(FIND("-",D1567,1)),D1567,LEFT(D1567,3))</f>
        <v>Honorários</v>
      </c>
      <c r="F1567" t="s">
        <v>1040</v>
      </c>
      <c r="G1567" t="s">
        <v>1040</v>
      </c>
      <c r="I1567" t="s">
        <v>196</v>
      </c>
      <c r="J1567" t="s">
        <v>143</v>
      </c>
      <c r="K1567" s="23">
        <v>504.88</v>
      </c>
      <c r="L1567" t="s">
        <v>18</v>
      </c>
      <c r="M1567" t="s">
        <v>83</v>
      </c>
      <c r="N1567">
        <v>1</v>
      </c>
    </row>
    <row r="1568" spans="1:14" hidden="1" x14ac:dyDescent="0.25">
      <c r="A1568" s="5">
        <v>46000</v>
      </c>
      <c r="B1568" t="s">
        <v>569</v>
      </c>
      <c r="C1568" t="s">
        <v>683</v>
      </c>
      <c r="D1568" t="s">
        <v>56</v>
      </c>
      <c r="E1568" t="str">
        <f t="shared" si="31"/>
        <v>Honorários</v>
      </c>
      <c r="F1568" t="s">
        <v>1291</v>
      </c>
      <c r="G1568" t="s">
        <v>1291</v>
      </c>
      <c r="I1568" t="s">
        <v>75</v>
      </c>
      <c r="J1568" t="s">
        <v>143</v>
      </c>
      <c r="K1568" s="23">
        <v>1569</v>
      </c>
      <c r="L1568" t="s">
        <v>18</v>
      </c>
      <c r="M1568" t="s">
        <v>19</v>
      </c>
    </row>
    <row r="1569" spans="1:13" hidden="1" x14ac:dyDescent="0.25">
      <c r="A1569" s="5">
        <v>46001</v>
      </c>
      <c r="B1569" t="s">
        <v>569</v>
      </c>
      <c r="C1569" t="s">
        <v>1295</v>
      </c>
      <c r="D1569" t="s">
        <v>300</v>
      </c>
      <c r="E1569" t="str">
        <f t="shared" si="31"/>
        <v>VAR</v>
      </c>
      <c r="F1569" t="s">
        <v>1291</v>
      </c>
      <c r="G1569" t="s">
        <v>1291</v>
      </c>
      <c r="I1569" t="s">
        <v>75</v>
      </c>
      <c r="J1569" t="s">
        <v>143</v>
      </c>
      <c r="K1569" s="23">
        <v>-156.9</v>
      </c>
      <c r="L1569" t="s">
        <v>24</v>
      </c>
      <c r="M1569" t="s">
        <v>25</v>
      </c>
    </row>
    <row r="1570" spans="1:13" hidden="1" x14ac:dyDescent="0.25">
      <c r="A1570" s="5">
        <v>46002</v>
      </c>
      <c r="B1570" t="s">
        <v>568</v>
      </c>
      <c r="C1570" t="s">
        <v>763</v>
      </c>
      <c r="D1570" t="s">
        <v>56</v>
      </c>
      <c r="E1570" t="str">
        <f t="shared" si="31"/>
        <v>Honorários</v>
      </c>
      <c r="F1570" t="s">
        <v>764</v>
      </c>
      <c r="G1570" t="s">
        <v>764</v>
      </c>
      <c r="I1570" t="s">
        <v>93</v>
      </c>
      <c r="J1570" t="s">
        <v>143</v>
      </c>
      <c r="K1570" s="23">
        <v>707.94999999999993</v>
      </c>
      <c r="L1570" t="s">
        <v>18</v>
      </c>
      <c r="M1570" t="s">
        <v>19</v>
      </c>
    </row>
    <row r="1571" spans="1:13" hidden="1" x14ac:dyDescent="0.25">
      <c r="A1571" s="5">
        <v>45993</v>
      </c>
      <c r="B1571" t="s">
        <v>568</v>
      </c>
      <c r="C1571" t="s">
        <v>917</v>
      </c>
      <c r="D1571" t="s">
        <v>198</v>
      </c>
      <c r="E1571" t="str">
        <f t="shared" si="31"/>
        <v>PES</v>
      </c>
      <c r="F1571" t="s">
        <v>918</v>
      </c>
      <c r="G1571" t="s">
        <v>918</v>
      </c>
      <c r="J1571" t="s">
        <v>143</v>
      </c>
      <c r="K1571" s="23">
        <v>-1300</v>
      </c>
      <c r="L1571" t="s">
        <v>24</v>
      </c>
      <c r="M1571" t="s">
        <v>25</v>
      </c>
    </row>
    <row r="1572" spans="1:13" hidden="1" x14ac:dyDescent="0.25">
      <c r="A1572" s="5">
        <v>46000</v>
      </c>
      <c r="B1572" t="s">
        <v>569</v>
      </c>
      <c r="C1572" t="s">
        <v>1292</v>
      </c>
      <c r="D1572" t="s">
        <v>611</v>
      </c>
      <c r="E1572" t="str">
        <f t="shared" si="31"/>
        <v>COM</v>
      </c>
      <c r="F1572" t="s">
        <v>918</v>
      </c>
      <c r="G1572" t="s">
        <v>918</v>
      </c>
      <c r="J1572" t="s">
        <v>143</v>
      </c>
      <c r="K1572" s="23">
        <v>-43.9</v>
      </c>
      <c r="L1572" t="s">
        <v>24</v>
      </c>
      <c r="M1572" t="s">
        <v>25</v>
      </c>
    </row>
    <row r="1573" spans="1:13" hidden="1" x14ac:dyDescent="0.25">
      <c r="A1573" s="5">
        <v>46006</v>
      </c>
      <c r="B1573" t="s">
        <v>569</v>
      </c>
      <c r="C1573" t="s">
        <v>1308</v>
      </c>
      <c r="D1573" t="s">
        <v>1488</v>
      </c>
      <c r="E1573" t="str">
        <f t="shared" si="31"/>
        <v>PES</v>
      </c>
      <c r="F1573" t="s">
        <v>1309</v>
      </c>
      <c r="G1573" t="s">
        <v>1309</v>
      </c>
      <c r="J1573" t="s">
        <v>143</v>
      </c>
      <c r="K1573" s="23">
        <v>-60</v>
      </c>
      <c r="L1573" t="s">
        <v>24</v>
      </c>
      <c r="M1573" t="s">
        <v>25</v>
      </c>
    </row>
    <row r="1574" spans="1:13" hidden="1" x14ac:dyDescent="0.25">
      <c r="A1574" s="5">
        <v>45993</v>
      </c>
      <c r="B1574" t="s">
        <v>569</v>
      </c>
      <c r="C1574" t="s">
        <v>706</v>
      </c>
      <c r="D1574" t="s">
        <v>28</v>
      </c>
      <c r="E1574" t="str">
        <f t="shared" si="31"/>
        <v>ADM</v>
      </c>
      <c r="F1574" t="s">
        <v>491</v>
      </c>
      <c r="G1574" t="s">
        <v>491</v>
      </c>
      <c r="J1574" t="s">
        <v>143</v>
      </c>
      <c r="K1574" s="23">
        <v>-132.04</v>
      </c>
      <c r="L1574" t="s">
        <v>24</v>
      </c>
      <c r="M1574" t="s">
        <v>25</v>
      </c>
    </row>
    <row r="1575" spans="1:13" hidden="1" x14ac:dyDescent="0.25">
      <c r="A1575" s="5">
        <v>45994</v>
      </c>
      <c r="B1575" t="s">
        <v>569</v>
      </c>
      <c r="C1575" t="s">
        <v>706</v>
      </c>
      <c r="D1575" t="s">
        <v>28</v>
      </c>
      <c r="E1575" t="str">
        <f t="shared" si="31"/>
        <v>ADM</v>
      </c>
      <c r="F1575" t="s">
        <v>491</v>
      </c>
      <c r="G1575" t="s">
        <v>491</v>
      </c>
      <c r="J1575" t="s">
        <v>143</v>
      </c>
      <c r="K1575" s="23">
        <v>-410.4</v>
      </c>
      <c r="L1575" t="s">
        <v>24</v>
      </c>
      <c r="M1575" t="s">
        <v>25</v>
      </c>
    </row>
    <row r="1576" spans="1:13" hidden="1" x14ac:dyDescent="0.25">
      <c r="A1576" s="5">
        <v>45996</v>
      </c>
      <c r="B1576" t="s">
        <v>568</v>
      </c>
      <c r="C1576" t="s">
        <v>393</v>
      </c>
      <c r="D1576" t="s">
        <v>96</v>
      </c>
      <c r="E1576" t="str">
        <f t="shared" si="31"/>
        <v>ADM</v>
      </c>
      <c r="F1576" t="s">
        <v>97</v>
      </c>
      <c r="G1576" t="s">
        <v>97</v>
      </c>
      <c r="J1576" t="s">
        <v>17</v>
      </c>
      <c r="K1576" s="23">
        <v>-69.150000000000006</v>
      </c>
      <c r="L1576" t="s">
        <v>24</v>
      </c>
      <c r="M1576" t="s">
        <v>25</v>
      </c>
    </row>
    <row r="1577" spans="1:13" hidden="1" x14ac:dyDescent="0.25">
      <c r="A1577" s="5">
        <v>45996</v>
      </c>
      <c r="B1577" t="s">
        <v>568</v>
      </c>
      <c r="C1577" t="s">
        <v>388</v>
      </c>
      <c r="D1577" t="s">
        <v>96</v>
      </c>
      <c r="E1577" t="str">
        <f t="shared" si="31"/>
        <v>ADM</v>
      </c>
      <c r="F1577" t="s">
        <v>97</v>
      </c>
      <c r="G1577" t="s">
        <v>97</v>
      </c>
      <c r="J1577" t="s">
        <v>17</v>
      </c>
      <c r="K1577" s="23">
        <v>-1217.74</v>
      </c>
      <c r="L1577" t="s">
        <v>24</v>
      </c>
      <c r="M1577" t="s">
        <v>25</v>
      </c>
    </row>
    <row r="1578" spans="1:13" hidden="1" x14ac:dyDescent="0.25">
      <c r="A1578" s="5">
        <v>45996</v>
      </c>
      <c r="B1578" t="s">
        <v>568</v>
      </c>
      <c r="C1578" t="s">
        <v>394</v>
      </c>
      <c r="D1578" t="s">
        <v>96</v>
      </c>
      <c r="E1578" t="str">
        <f t="shared" si="31"/>
        <v>ADM</v>
      </c>
      <c r="F1578" t="s">
        <v>97</v>
      </c>
      <c r="G1578" t="s">
        <v>97</v>
      </c>
      <c r="J1578" t="s">
        <v>17</v>
      </c>
      <c r="K1578" s="23">
        <v>-69.150000000000006</v>
      </c>
      <c r="L1578" t="s">
        <v>24</v>
      </c>
      <c r="M1578" t="s">
        <v>25</v>
      </c>
    </row>
    <row r="1579" spans="1:13" hidden="1" x14ac:dyDescent="0.25">
      <c r="A1579" s="5">
        <v>45996</v>
      </c>
      <c r="B1579" t="s">
        <v>568</v>
      </c>
      <c r="C1579" t="s">
        <v>391</v>
      </c>
      <c r="D1579" t="s">
        <v>96</v>
      </c>
      <c r="E1579" t="str">
        <f t="shared" si="31"/>
        <v>ADM</v>
      </c>
      <c r="F1579" t="s">
        <v>97</v>
      </c>
      <c r="G1579" t="s">
        <v>97</v>
      </c>
      <c r="J1579" t="s">
        <v>17</v>
      </c>
      <c r="K1579" s="23">
        <v>-69.150000000000006</v>
      </c>
      <c r="L1579" t="s">
        <v>24</v>
      </c>
      <c r="M1579" t="s">
        <v>25</v>
      </c>
    </row>
    <row r="1580" spans="1:13" hidden="1" x14ac:dyDescent="0.25">
      <c r="A1580" s="5">
        <v>45996</v>
      </c>
      <c r="B1580" t="s">
        <v>568</v>
      </c>
      <c r="C1580" t="s">
        <v>390</v>
      </c>
      <c r="D1580" t="s">
        <v>96</v>
      </c>
      <c r="E1580" t="str">
        <f t="shared" si="31"/>
        <v>ADM</v>
      </c>
      <c r="F1580" t="s">
        <v>97</v>
      </c>
      <c r="G1580" t="s">
        <v>97</v>
      </c>
      <c r="J1580" t="s">
        <v>17</v>
      </c>
      <c r="K1580" s="23">
        <v>-69.150000000000006</v>
      </c>
      <c r="L1580" t="s">
        <v>24</v>
      </c>
      <c r="M1580" t="s">
        <v>25</v>
      </c>
    </row>
    <row r="1581" spans="1:13" hidden="1" x14ac:dyDescent="0.25">
      <c r="A1581" s="5">
        <v>45996</v>
      </c>
      <c r="B1581" t="s">
        <v>568</v>
      </c>
      <c r="C1581" t="s">
        <v>392</v>
      </c>
      <c r="D1581" t="s">
        <v>96</v>
      </c>
      <c r="E1581" t="str">
        <f t="shared" si="31"/>
        <v>ADM</v>
      </c>
      <c r="F1581" t="s">
        <v>97</v>
      </c>
      <c r="G1581" t="s">
        <v>97</v>
      </c>
      <c r="J1581" t="s">
        <v>17</v>
      </c>
      <c r="K1581" s="23">
        <v>-69.150000000000006</v>
      </c>
      <c r="L1581" t="s">
        <v>24</v>
      </c>
      <c r="M1581" t="s">
        <v>25</v>
      </c>
    </row>
    <row r="1582" spans="1:13" hidden="1" x14ac:dyDescent="0.25">
      <c r="A1582" s="5">
        <v>45996</v>
      </c>
      <c r="B1582" t="s">
        <v>568</v>
      </c>
      <c r="C1582" t="s">
        <v>389</v>
      </c>
      <c r="D1582" t="s">
        <v>96</v>
      </c>
      <c r="E1582" t="str">
        <f t="shared" si="31"/>
        <v>ADM</v>
      </c>
      <c r="F1582" t="s">
        <v>97</v>
      </c>
      <c r="G1582" t="s">
        <v>97</v>
      </c>
      <c r="J1582" t="s">
        <v>17</v>
      </c>
      <c r="K1582" s="23">
        <v>-1218.33</v>
      </c>
      <c r="L1582" t="s">
        <v>24</v>
      </c>
      <c r="M1582" t="s">
        <v>25</v>
      </c>
    </row>
    <row r="1583" spans="1:13" hidden="1" x14ac:dyDescent="0.25">
      <c r="A1583" s="5">
        <v>46001</v>
      </c>
      <c r="B1583" t="s">
        <v>569</v>
      </c>
      <c r="C1583" t="s">
        <v>119</v>
      </c>
      <c r="D1583" t="s">
        <v>72</v>
      </c>
      <c r="E1583" t="str">
        <f t="shared" si="31"/>
        <v>FIN</v>
      </c>
      <c r="F1583" t="s">
        <v>120</v>
      </c>
      <c r="G1583" t="s">
        <v>120</v>
      </c>
      <c r="J1583" t="s">
        <v>17</v>
      </c>
      <c r="K1583" s="23">
        <v>-15.9</v>
      </c>
      <c r="L1583" t="s">
        <v>24</v>
      </c>
      <c r="M1583" t="s">
        <v>25</v>
      </c>
    </row>
    <row r="1584" spans="1:13" hidden="1" x14ac:dyDescent="0.25">
      <c r="A1584" s="5">
        <v>45992</v>
      </c>
      <c r="B1584" t="s">
        <v>20</v>
      </c>
      <c r="C1584" t="s">
        <v>1256</v>
      </c>
      <c r="D1584" t="s">
        <v>30</v>
      </c>
      <c r="E1584" t="str">
        <f t="shared" si="31"/>
        <v>ADM</v>
      </c>
      <c r="F1584" t="s">
        <v>23</v>
      </c>
      <c r="G1584" t="s">
        <v>23</v>
      </c>
      <c r="J1584" t="s">
        <v>143</v>
      </c>
      <c r="K1584" s="23">
        <v>-45</v>
      </c>
      <c r="L1584" t="s">
        <v>24</v>
      </c>
      <c r="M1584" t="s">
        <v>728</v>
      </c>
    </row>
    <row r="1585" spans="1:13" hidden="1" x14ac:dyDescent="0.25">
      <c r="A1585" s="5">
        <v>45992</v>
      </c>
      <c r="B1585" t="s">
        <v>20</v>
      </c>
      <c r="C1585" t="s">
        <v>1218</v>
      </c>
      <c r="D1585" t="s">
        <v>30</v>
      </c>
      <c r="E1585" t="str">
        <f t="shared" si="31"/>
        <v>ADM</v>
      </c>
      <c r="F1585" t="s">
        <v>23</v>
      </c>
      <c r="G1585" t="s">
        <v>23</v>
      </c>
      <c r="J1585" t="s">
        <v>143</v>
      </c>
      <c r="K1585" s="23">
        <v>-49.99</v>
      </c>
      <c r="L1585" t="s">
        <v>24</v>
      </c>
      <c r="M1585" t="s">
        <v>728</v>
      </c>
    </row>
    <row r="1586" spans="1:13" hidden="1" x14ac:dyDescent="0.25">
      <c r="A1586" s="5">
        <v>45992</v>
      </c>
      <c r="B1586" t="s">
        <v>20</v>
      </c>
      <c r="C1586" t="s">
        <v>1257</v>
      </c>
      <c r="D1586" t="s">
        <v>30</v>
      </c>
      <c r="E1586" t="str">
        <f t="shared" si="31"/>
        <v>ADM</v>
      </c>
      <c r="F1586" t="s">
        <v>23</v>
      </c>
      <c r="G1586" t="s">
        <v>23</v>
      </c>
      <c r="J1586" t="s">
        <v>143</v>
      </c>
      <c r="K1586" s="23">
        <v>-32.9</v>
      </c>
      <c r="L1586" t="s">
        <v>24</v>
      </c>
      <c r="M1586" t="s">
        <v>728</v>
      </c>
    </row>
    <row r="1587" spans="1:13" hidden="1" x14ac:dyDescent="0.25">
      <c r="A1587" s="5">
        <v>45992</v>
      </c>
      <c r="B1587" t="s">
        <v>20</v>
      </c>
      <c r="C1587" t="s">
        <v>1258</v>
      </c>
      <c r="D1587" t="s">
        <v>89</v>
      </c>
      <c r="E1587" t="str">
        <f t="shared" si="31"/>
        <v>ADM</v>
      </c>
      <c r="F1587" t="s">
        <v>23</v>
      </c>
      <c r="G1587" t="s">
        <v>23</v>
      </c>
      <c r="J1587" t="s">
        <v>143</v>
      </c>
      <c r="K1587" s="23">
        <v>-395.42</v>
      </c>
      <c r="L1587" t="s">
        <v>24</v>
      </c>
      <c r="M1587" t="s">
        <v>728</v>
      </c>
    </row>
    <row r="1588" spans="1:13" hidden="1" x14ac:dyDescent="0.25">
      <c r="A1588" s="5">
        <v>45993</v>
      </c>
      <c r="B1588" t="s">
        <v>20</v>
      </c>
      <c r="C1588" t="s">
        <v>32</v>
      </c>
      <c r="D1588" t="s">
        <v>30</v>
      </c>
      <c r="E1588" t="str">
        <f t="shared" si="31"/>
        <v>ADM</v>
      </c>
      <c r="F1588" t="s">
        <v>23</v>
      </c>
      <c r="G1588" t="s">
        <v>23</v>
      </c>
      <c r="J1588" t="s">
        <v>17</v>
      </c>
      <c r="K1588" s="23">
        <v>-58.9</v>
      </c>
      <c r="L1588" t="s">
        <v>24</v>
      </c>
      <c r="M1588" t="s">
        <v>25</v>
      </c>
    </row>
    <row r="1589" spans="1:13" hidden="1" x14ac:dyDescent="0.25">
      <c r="A1589" s="5">
        <v>45993</v>
      </c>
      <c r="B1589" t="s">
        <v>33</v>
      </c>
      <c r="C1589" t="s">
        <v>803</v>
      </c>
      <c r="D1589" t="s">
        <v>508</v>
      </c>
      <c r="E1589" t="str">
        <f t="shared" si="31"/>
        <v>ADM</v>
      </c>
      <c r="F1589" t="s">
        <v>23</v>
      </c>
      <c r="G1589" t="s">
        <v>23</v>
      </c>
      <c r="J1589" t="s">
        <v>143</v>
      </c>
      <c r="K1589" s="23">
        <v>-300.05</v>
      </c>
      <c r="L1589" t="s">
        <v>24</v>
      </c>
      <c r="M1589" t="s">
        <v>25</v>
      </c>
    </row>
    <row r="1590" spans="1:13" hidden="1" x14ac:dyDescent="0.25">
      <c r="A1590" s="5">
        <v>45993</v>
      </c>
      <c r="B1590" t="s">
        <v>20</v>
      </c>
      <c r="C1590" t="s">
        <v>41</v>
      </c>
      <c r="D1590" t="s">
        <v>30</v>
      </c>
      <c r="E1590" t="str">
        <f t="shared" si="31"/>
        <v>ADM</v>
      </c>
      <c r="F1590" t="s">
        <v>23</v>
      </c>
      <c r="G1590" t="s">
        <v>23</v>
      </c>
      <c r="J1590" t="s">
        <v>17</v>
      </c>
      <c r="K1590" s="23">
        <v>-49.99</v>
      </c>
      <c r="L1590" t="s">
        <v>24</v>
      </c>
      <c r="M1590" t="s">
        <v>25</v>
      </c>
    </row>
    <row r="1591" spans="1:13" hidden="1" x14ac:dyDescent="0.25">
      <c r="A1591" s="5">
        <v>45993</v>
      </c>
      <c r="B1591" t="s">
        <v>20</v>
      </c>
      <c r="C1591" t="s">
        <v>1263</v>
      </c>
      <c r="D1591" t="s">
        <v>149</v>
      </c>
      <c r="E1591" t="str">
        <f t="shared" si="31"/>
        <v>ADM</v>
      </c>
      <c r="F1591" t="s">
        <v>23</v>
      </c>
      <c r="G1591" t="s">
        <v>23</v>
      </c>
      <c r="J1591" t="s">
        <v>143</v>
      </c>
      <c r="K1591" s="23">
        <v>-41.65</v>
      </c>
      <c r="L1591" t="s">
        <v>24</v>
      </c>
      <c r="M1591" t="s">
        <v>25</v>
      </c>
    </row>
    <row r="1592" spans="1:13" hidden="1" x14ac:dyDescent="0.25">
      <c r="A1592" s="5">
        <v>45993</v>
      </c>
      <c r="B1592" t="s">
        <v>20</v>
      </c>
      <c r="C1592" t="s">
        <v>1264</v>
      </c>
      <c r="D1592" t="s">
        <v>72</v>
      </c>
      <c r="E1592" t="str">
        <f t="shared" si="31"/>
        <v>FIN</v>
      </c>
      <c r="F1592" t="s">
        <v>23</v>
      </c>
      <c r="G1592" t="s">
        <v>23</v>
      </c>
      <c r="J1592" t="s">
        <v>143</v>
      </c>
      <c r="K1592" s="23">
        <v>-18.75</v>
      </c>
      <c r="L1592" t="s">
        <v>24</v>
      </c>
      <c r="M1592" t="s">
        <v>25</v>
      </c>
    </row>
    <row r="1593" spans="1:13" hidden="1" x14ac:dyDescent="0.25">
      <c r="A1593" s="5">
        <v>45993</v>
      </c>
      <c r="B1593" t="s">
        <v>20</v>
      </c>
      <c r="C1593" t="s">
        <v>45</v>
      </c>
      <c r="D1593" t="s">
        <v>15</v>
      </c>
      <c r="E1593" t="str">
        <f t="shared" si="31"/>
        <v>ADM</v>
      </c>
      <c r="F1593" t="s">
        <v>23</v>
      </c>
      <c r="G1593" t="s">
        <v>23</v>
      </c>
      <c r="J1593" t="s">
        <v>17</v>
      </c>
      <c r="K1593" s="23">
        <v>1058.57</v>
      </c>
      <c r="L1593" t="s">
        <v>18</v>
      </c>
      <c r="M1593" t="s">
        <v>19</v>
      </c>
    </row>
    <row r="1594" spans="1:13" hidden="1" x14ac:dyDescent="0.25">
      <c r="A1594" s="5">
        <v>45993</v>
      </c>
      <c r="B1594" t="s">
        <v>20</v>
      </c>
      <c r="C1594" t="s">
        <v>32</v>
      </c>
      <c r="D1594" t="s">
        <v>30</v>
      </c>
      <c r="E1594" t="str">
        <f t="shared" si="31"/>
        <v>ADM</v>
      </c>
      <c r="F1594" t="s">
        <v>23</v>
      </c>
      <c r="G1594" t="s">
        <v>23</v>
      </c>
      <c r="J1594" t="s">
        <v>17</v>
      </c>
      <c r="K1594" s="23">
        <v>-58.9</v>
      </c>
      <c r="L1594" t="s">
        <v>24</v>
      </c>
      <c r="M1594" t="s">
        <v>25</v>
      </c>
    </row>
    <row r="1595" spans="1:13" hidden="1" x14ac:dyDescent="0.25">
      <c r="A1595" s="5">
        <v>45993</v>
      </c>
      <c r="B1595" t="s">
        <v>20</v>
      </c>
      <c r="C1595" t="s">
        <v>1266</v>
      </c>
      <c r="D1595" t="s">
        <v>30</v>
      </c>
      <c r="E1595" t="str">
        <f t="shared" si="31"/>
        <v>ADM</v>
      </c>
      <c r="F1595" t="s">
        <v>23</v>
      </c>
      <c r="G1595" t="s">
        <v>23</v>
      </c>
      <c r="J1595" t="s">
        <v>143</v>
      </c>
      <c r="K1595" s="23">
        <v>-119.8</v>
      </c>
      <c r="L1595" t="s">
        <v>24</v>
      </c>
      <c r="M1595" t="s">
        <v>25</v>
      </c>
    </row>
    <row r="1596" spans="1:13" hidden="1" x14ac:dyDescent="0.25">
      <c r="A1596" s="5">
        <v>45993</v>
      </c>
      <c r="B1596" t="s">
        <v>20</v>
      </c>
      <c r="C1596" t="s">
        <v>37</v>
      </c>
      <c r="D1596" t="s">
        <v>30</v>
      </c>
      <c r="E1596" t="str">
        <f t="shared" si="31"/>
        <v>ADM</v>
      </c>
      <c r="F1596" t="s">
        <v>23</v>
      </c>
      <c r="G1596" t="s">
        <v>23</v>
      </c>
      <c r="J1596" t="s">
        <v>17</v>
      </c>
      <c r="K1596" s="23">
        <v>-80.91</v>
      </c>
      <c r="L1596" t="s">
        <v>24</v>
      </c>
      <c r="M1596" t="s">
        <v>25</v>
      </c>
    </row>
    <row r="1597" spans="1:13" hidden="1" x14ac:dyDescent="0.25">
      <c r="A1597" s="5">
        <v>45993</v>
      </c>
      <c r="B1597" t="s">
        <v>20</v>
      </c>
      <c r="C1597" t="s">
        <v>1028</v>
      </c>
      <c r="D1597" t="s">
        <v>215</v>
      </c>
      <c r="E1597" t="str">
        <f t="shared" si="31"/>
        <v>COM</v>
      </c>
      <c r="F1597" t="s">
        <v>23</v>
      </c>
      <c r="G1597" t="s">
        <v>23</v>
      </c>
      <c r="J1597" t="s">
        <v>143</v>
      </c>
      <c r="K1597" s="23">
        <v>-77.98</v>
      </c>
      <c r="L1597" t="s">
        <v>24</v>
      </c>
      <c r="M1597" t="s">
        <v>25</v>
      </c>
    </row>
    <row r="1598" spans="1:13" hidden="1" x14ac:dyDescent="0.25">
      <c r="A1598" s="5">
        <v>45993</v>
      </c>
      <c r="B1598" t="s">
        <v>1174</v>
      </c>
      <c r="C1598" t="s">
        <v>1178</v>
      </c>
      <c r="D1598" t="s">
        <v>89</v>
      </c>
      <c r="E1598" t="str">
        <f t="shared" si="31"/>
        <v>ADM</v>
      </c>
      <c r="F1598" t="s">
        <v>23</v>
      </c>
      <c r="G1598" t="s">
        <v>23</v>
      </c>
      <c r="J1598" t="s">
        <v>143</v>
      </c>
      <c r="K1598" s="23">
        <v>-93.94</v>
      </c>
      <c r="L1598" t="s">
        <v>24</v>
      </c>
      <c r="M1598" t="s">
        <v>25</v>
      </c>
    </row>
    <row r="1599" spans="1:13" hidden="1" x14ac:dyDescent="0.25">
      <c r="A1599" s="5">
        <v>45993</v>
      </c>
      <c r="B1599" t="s">
        <v>33</v>
      </c>
      <c r="C1599" t="s">
        <v>1054</v>
      </c>
      <c r="D1599" t="s">
        <v>224</v>
      </c>
      <c r="E1599" t="str">
        <f t="shared" ref="E1599:E1630" si="32">IF(ISERROR(FIND("-",D1599,1)),D1599,LEFT(D1599,3))</f>
        <v>COM</v>
      </c>
      <c r="F1599" t="s">
        <v>23</v>
      </c>
      <c r="G1599" t="s">
        <v>23</v>
      </c>
      <c r="J1599" t="s">
        <v>143</v>
      </c>
      <c r="K1599" s="23">
        <v>-242.06</v>
      </c>
      <c r="L1599" t="s">
        <v>24</v>
      </c>
      <c r="M1599" t="s">
        <v>25</v>
      </c>
    </row>
    <row r="1600" spans="1:13" hidden="1" x14ac:dyDescent="0.25">
      <c r="A1600" s="5">
        <v>45993</v>
      </c>
      <c r="B1600" t="s">
        <v>33</v>
      </c>
      <c r="C1600" t="s">
        <v>677</v>
      </c>
      <c r="D1600" t="s">
        <v>15</v>
      </c>
      <c r="E1600" t="str">
        <f t="shared" si="32"/>
        <v>ADM</v>
      </c>
      <c r="F1600" t="s">
        <v>23</v>
      </c>
      <c r="G1600" t="s">
        <v>23</v>
      </c>
      <c r="J1600" t="s">
        <v>143</v>
      </c>
      <c r="K1600" s="23">
        <v>-224.99</v>
      </c>
      <c r="L1600" t="s">
        <v>24</v>
      </c>
      <c r="M1600" t="s">
        <v>25</v>
      </c>
    </row>
    <row r="1601" spans="1:13" hidden="1" x14ac:dyDescent="0.25">
      <c r="A1601" s="5">
        <v>45993</v>
      </c>
      <c r="B1601" t="s">
        <v>20</v>
      </c>
      <c r="C1601" t="s">
        <v>284</v>
      </c>
      <c r="D1601" t="s">
        <v>39</v>
      </c>
      <c r="E1601" t="str">
        <f t="shared" si="32"/>
        <v>INV</v>
      </c>
      <c r="F1601" t="s">
        <v>23</v>
      </c>
      <c r="G1601" t="s">
        <v>23</v>
      </c>
      <c r="H1601" t="s">
        <v>285</v>
      </c>
      <c r="J1601" t="s">
        <v>143</v>
      </c>
      <c r="K1601" s="23">
        <v>-333.24</v>
      </c>
      <c r="L1601" t="s">
        <v>24</v>
      </c>
      <c r="M1601" t="s">
        <v>25</v>
      </c>
    </row>
    <row r="1602" spans="1:13" hidden="1" x14ac:dyDescent="0.25">
      <c r="A1602" s="5">
        <v>45993</v>
      </c>
      <c r="B1602" t="s">
        <v>33</v>
      </c>
      <c r="C1602" t="s">
        <v>1051</v>
      </c>
      <c r="D1602" t="s">
        <v>224</v>
      </c>
      <c r="E1602" t="str">
        <f t="shared" si="32"/>
        <v>COM</v>
      </c>
      <c r="F1602" t="s">
        <v>23</v>
      </c>
      <c r="G1602" t="s">
        <v>23</v>
      </c>
      <c r="J1602" t="s">
        <v>143</v>
      </c>
      <c r="K1602" s="23">
        <v>-319.41000000000003</v>
      </c>
      <c r="L1602" t="s">
        <v>24</v>
      </c>
      <c r="M1602" t="s">
        <v>25</v>
      </c>
    </row>
    <row r="1603" spans="1:13" hidden="1" x14ac:dyDescent="0.25">
      <c r="A1603" s="5">
        <v>45993</v>
      </c>
      <c r="B1603" t="s">
        <v>1174</v>
      </c>
      <c r="C1603" t="s">
        <v>381</v>
      </c>
      <c r="D1603" t="s">
        <v>28</v>
      </c>
      <c r="E1603" t="str">
        <f t="shared" si="32"/>
        <v>ADM</v>
      </c>
      <c r="F1603" t="s">
        <v>23</v>
      </c>
      <c r="G1603" t="s">
        <v>23</v>
      </c>
      <c r="J1603" t="s">
        <v>143</v>
      </c>
      <c r="K1603" s="23">
        <v>-433.8</v>
      </c>
      <c r="L1603" t="s">
        <v>24</v>
      </c>
      <c r="M1603" t="s">
        <v>25</v>
      </c>
    </row>
    <row r="1604" spans="1:13" hidden="1" x14ac:dyDescent="0.25">
      <c r="A1604" s="5">
        <v>45993</v>
      </c>
      <c r="B1604" t="s">
        <v>33</v>
      </c>
      <c r="C1604" t="s">
        <v>1057</v>
      </c>
      <c r="D1604" t="s">
        <v>224</v>
      </c>
      <c r="E1604" t="str">
        <f t="shared" si="32"/>
        <v>COM</v>
      </c>
      <c r="F1604" t="s">
        <v>23</v>
      </c>
      <c r="G1604" t="s">
        <v>23</v>
      </c>
      <c r="J1604" t="s">
        <v>143</v>
      </c>
      <c r="K1604" s="23">
        <v>-236.1</v>
      </c>
      <c r="L1604" t="s">
        <v>24</v>
      </c>
      <c r="M1604" t="s">
        <v>25</v>
      </c>
    </row>
    <row r="1605" spans="1:13" hidden="1" x14ac:dyDescent="0.25">
      <c r="A1605" s="5">
        <v>45993</v>
      </c>
      <c r="B1605" t="s">
        <v>20</v>
      </c>
      <c r="C1605" t="s">
        <v>573</v>
      </c>
      <c r="D1605" t="s">
        <v>382</v>
      </c>
      <c r="E1605" t="str">
        <f t="shared" si="32"/>
        <v>PES</v>
      </c>
      <c r="F1605" t="s">
        <v>23</v>
      </c>
      <c r="G1605" t="s">
        <v>23</v>
      </c>
      <c r="J1605" t="s">
        <v>143</v>
      </c>
      <c r="K1605" s="23">
        <v>-59.9</v>
      </c>
      <c r="L1605" t="s">
        <v>24</v>
      </c>
      <c r="M1605" t="s">
        <v>25</v>
      </c>
    </row>
    <row r="1606" spans="1:13" hidden="1" x14ac:dyDescent="0.25">
      <c r="A1606" s="5">
        <v>45993</v>
      </c>
      <c r="B1606" t="s">
        <v>1174</v>
      </c>
      <c r="C1606" t="s">
        <v>1268</v>
      </c>
      <c r="D1606" t="s">
        <v>39</v>
      </c>
      <c r="E1606" t="str">
        <f t="shared" si="32"/>
        <v>INV</v>
      </c>
      <c r="F1606" t="s">
        <v>23</v>
      </c>
      <c r="G1606" t="s">
        <v>23</v>
      </c>
      <c r="J1606" t="s">
        <v>143</v>
      </c>
      <c r="K1606" s="23">
        <v>-353.85</v>
      </c>
      <c r="L1606" t="s">
        <v>24</v>
      </c>
      <c r="M1606" t="s">
        <v>25</v>
      </c>
    </row>
    <row r="1607" spans="1:13" hidden="1" x14ac:dyDescent="0.25">
      <c r="A1607" s="5">
        <v>45993</v>
      </c>
      <c r="B1607" t="s">
        <v>1174</v>
      </c>
      <c r="C1607" t="s">
        <v>1177</v>
      </c>
      <c r="D1607" s="17" t="s">
        <v>15</v>
      </c>
      <c r="E1607" t="str">
        <f t="shared" si="32"/>
        <v>ADM</v>
      </c>
      <c r="F1607" t="s">
        <v>23</v>
      </c>
      <c r="G1607" t="s">
        <v>23</v>
      </c>
      <c r="J1607" t="s">
        <v>143</v>
      </c>
      <c r="K1607" s="23">
        <v>5680.59</v>
      </c>
      <c r="L1607" t="s">
        <v>18</v>
      </c>
      <c r="M1607" t="s">
        <v>19</v>
      </c>
    </row>
    <row r="1608" spans="1:13" hidden="1" x14ac:dyDescent="0.25">
      <c r="A1608" s="5">
        <v>45993</v>
      </c>
      <c r="B1608" t="s">
        <v>20</v>
      </c>
      <c r="C1608" t="s">
        <v>46</v>
      </c>
      <c r="D1608" t="s">
        <v>30</v>
      </c>
      <c r="E1608" t="str">
        <f t="shared" si="32"/>
        <v>ADM</v>
      </c>
      <c r="F1608" t="s">
        <v>23</v>
      </c>
      <c r="G1608" t="s">
        <v>23</v>
      </c>
      <c r="J1608" t="s">
        <v>17</v>
      </c>
      <c r="K1608" s="23">
        <v>-119.9</v>
      </c>
      <c r="L1608" t="s">
        <v>24</v>
      </c>
      <c r="M1608" t="s">
        <v>25</v>
      </c>
    </row>
    <row r="1609" spans="1:13" hidden="1" x14ac:dyDescent="0.25">
      <c r="A1609" s="5">
        <v>45993</v>
      </c>
      <c r="B1609" t="s">
        <v>33</v>
      </c>
      <c r="C1609" t="s">
        <v>671</v>
      </c>
      <c r="D1609" t="s">
        <v>15</v>
      </c>
      <c r="E1609" t="str">
        <f t="shared" si="32"/>
        <v>ADM</v>
      </c>
      <c r="F1609" t="s">
        <v>23</v>
      </c>
      <c r="G1609" t="s">
        <v>23</v>
      </c>
      <c r="J1609" t="s">
        <v>143</v>
      </c>
      <c r="K1609" s="23">
        <v>1594.41</v>
      </c>
      <c r="L1609" t="s">
        <v>18</v>
      </c>
      <c r="M1609" t="s">
        <v>19</v>
      </c>
    </row>
    <row r="1610" spans="1:13" hidden="1" x14ac:dyDescent="0.25">
      <c r="A1610" s="5">
        <v>45993</v>
      </c>
      <c r="B1610" t="s">
        <v>1174</v>
      </c>
      <c r="C1610" t="s">
        <v>1270</v>
      </c>
      <c r="D1610" t="s">
        <v>39</v>
      </c>
      <c r="E1610" t="str">
        <f t="shared" si="32"/>
        <v>INV</v>
      </c>
      <c r="F1610" t="s">
        <v>23</v>
      </c>
      <c r="G1610" t="s">
        <v>23</v>
      </c>
      <c r="J1610" t="s">
        <v>143</v>
      </c>
      <c r="K1610" s="23">
        <v>-4799</v>
      </c>
      <c r="L1610" t="s">
        <v>24</v>
      </c>
      <c r="M1610" t="s">
        <v>25</v>
      </c>
    </row>
    <row r="1611" spans="1:13" hidden="1" x14ac:dyDescent="0.25">
      <c r="A1611" s="5">
        <v>45993</v>
      </c>
      <c r="B1611" t="s">
        <v>20</v>
      </c>
      <c r="C1611" t="s">
        <v>1264</v>
      </c>
      <c r="D1611" t="s">
        <v>72</v>
      </c>
      <c r="E1611" t="str">
        <f t="shared" si="32"/>
        <v>FIN</v>
      </c>
      <c r="F1611" t="s">
        <v>23</v>
      </c>
      <c r="G1611" t="s">
        <v>23</v>
      </c>
      <c r="J1611" t="s">
        <v>143</v>
      </c>
      <c r="K1611" s="23">
        <v>-18.75</v>
      </c>
      <c r="L1611" t="s">
        <v>24</v>
      </c>
      <c r="M1611" t="s">
        <v>25</v>
      </c>
    </row>
    <row r="1612" spans="1:13" hidden="1" x14ac:dyDescent="0.25">
      <c r="A1612" s="5">
        <v>45993</v>
      </c>
      <c r="B1612" t="s">
        <v>33</v>
      </c>
      <c r="C1612" t="s">
        <v>1173</v>
      </c>
      <c r="D1612" t="s">
        <v>224</v>
      </c>
      <c r="E1612" t="str">
        <f t="shared" si="32"/>
        <v>COM</v>
      </c>
      <c r="F1612" t="s">
        <v>23</v>
      </c>
      <c r="G1612" t="s">
        <v>23</v>
      </c>
      <c r="J1612" t="s">
        <v>143</v>
      </c>
      <c r="K1612" s="23">
        <v>-271.8</v>
      </c>
      <c r="L1612" t="s">
        <v>24</v>
      </c>
      <c r="M1612" t="s">
        <v>25</v>
      </c>
    </row>
    <row r="1613" spans="1:13" hidden="1" x14ac:dyDescent="0.25">
      <c r="A1613" s="5">
        <v>45993</v>
      </c>
      <c r="B1613" t="s">
        <v>20</v>
      </c>
      <c r="C1613" t="s">
        <v>40</v>
      </c>
      <c r="D1613" t="s">
        <v>30</v>
      </c>
      <c r="E1613" t="str">
        <f t="shared" si="32"/>
        <v>ADM</v>
      </c>
      <c r="F1613" t="s">
        <v>23</v>
      </c>
      <c r="G1613" t="s">
        <v>23</v>
      </c>
      <c r="J1613" t="s">
        <v>17</v>
      </c>
      <c r="K1613" s="23">
        <v>-19.899999999999999</v>
      </c>
      <c r="L1613" t="s">
        <v>24</v>
      </c>
      <c r="M1613" t="s">
        <v>25</v>
      </c>
    </row>
    <row r="1614" spans="1:13" hidden="1" x14ac:dyDescent="0.25">
      <c r="A1614" s="5">
        <v>45994</v>
      </c>
      <c r="B1614" t="s">
        <v>568</v>
      </c>
      <c r="C1614" t="s">
        <v>71</v>
      </c>
      <c r="D1614" t="s">
        <v>72</v>
      </c>
      <c r="E1614" t="str">
        <f t="shared" si="32"/>
        <v>FIN</v>
      </c>
      <c r="F1614" t="s">
        <v>23</v>
      </c>
      <c r="G1614" t="s">
        <v>23</v>
      </c>
      <c r="J1614" t="s">
        <v>17</v>
      </c>
      <c r="K1614" s="23">
        <v>-261.75</v>
      </c>
      <c r="L1614" t="s">
        <v>24</v>
      </c>
      <c r="M1614" t="s">
        <v>728</v>
      </c>
    </row>
    <row r="1615" spans="1:13" hidden="1" x14ac:dyDescent="0.25">
      <c r="A1615" s="5">
        <v>45996</v>
      </c>
      <c r="B1615" t="s">
        <v>568</v>
      </c>
      <c r="C1615" t="s">
        <v>45</v>
      </c>
      <c r="D1615" t="s">
        <v>15</v>
      </c>
      <c r="E1615" t="str">
        <f t="shared" si="32"/>
        <v>ADM</v>
      </c>
      <c r="F1615" t="s">
        <v>23</v>
      </c>
      <c r="G1615" t="s">
        <v>23</v>
      </c>
      <c r="J1615" t="s">
        <v>143</v>
      </c>
      <c r="K1615" s="23">
        <v>-1058.57</v>
      </c>
      <c r="L1615" t="s">
        <v>24</v>
      </c>
      <c r="M1615" t="s">
        <v>25</v>
      </c>
    </row>
    <row r="1616" spans="1:13" hidden="1" x14ac:dyDescent="0.25">
      <c r="A1616" s="5">
        <v>46000</v>
      </c>
      <c r="B1616" t="s">
        <v>568</v>
      </c>
      <c r="C1616" t="s">
        <v>1181</v>
      </c>
      <c r="D1616" s="17" t="s">
        <v>15</v>
      </c>
      <c r="E1616" t="str">
        <f t="shared" si="32"/>
        <v>ADM</v>
      </c>
      <c r="F1616" t="s">
        <v>23</v>
      </c>
      <c r="G1616" t="s">
        <v>23</v>
      </c>
      <c r="J1616" t="s">
        <v>143</v>
      </c>
      <c r="K1616" s="23">
        <v>-5680.59</v>
      </c>
      <c r="L1616" t="s">
        <v>24</v>
      </c>
      <c r="M1616" t="s">
        <v>25</v>
      </c>
    </row>
    <row r="1617" spans="1:13" hidden="1" x14ac:dyDescent="0.25">
      <c r="A1617" s="5">
        <v>46000</v>
      </c>
      <c r="B1617" t="s">
        <v>568</v>
      </c>
      <c r="C1617" t="s">
        <v>1075</v>
      </c>
      <c r="D1617" s="17" t="s">
        <v>15</v>
      </c>
      <c r="E1617" t="str">
        <f t="shared" si="32"/>
        <v>ADM</v>
      </c>
      <c r="F1617" t="s">
        <v>23</v>
      </c>
      <c r="G1617" t="s">
        <v>23</v>
      </c>
      <c r="J1617" t="s">
        <v>143</v>
      </c>
      <c r="K1617" s="23">
        <v>-1594.41</v>
      </c>
      <c r="L1617" t="s">
        <v>24</v>
      </c>
      <c r="M1617" t="s">
        <v>25</v>
      </c>
    </row>
    <row r="1618" spans="1:13" hidden="1" x14ac:dyDescent="0.25">
      <c r="A1618" s="30">
        <v>45994</v>
      </c>
      <c r="B1618" s="31" t="s">
        <v>568</v>
      </c>
      <c r="C1618" s="31" t="s">
        <v>1271</v>
      </c>
      <c r="D1618" s="31" t="s">
        <v>56</v>
      </c>
      <c r="E1618" s="31" t="str">
        <f t="shared" si="32"/>
        <v>Honorários</v>
      </c>
      <c r="F1618" s="31" t="s">
        <v>1272</v>
      </c>
      <c r="G1618" t="s">
        <v>1272</v>
      </c>
      <c r="I1618" t="s">
        <v>1273</v>
      </c>
      <c r="J1618" t="s">
        <v>143</v>
      </c>
      <c r="K1618" s="32">
        <v>78885.899999999994</v>
      </c>
      <c r="L1618" s="31" t="s">
        <v>18</v>
      </c>
      <c r="M1618" s="31" t="s">
        <v>19</v>
      </c>
    </row>
    <row r="1619" spans="1:13" hidden="1" x14ac:dyDescent="0.25">
      <c r="A1619" s="30">
        <v>45994</v>
      </c>
      <c r="B1619" s="31" t="s">
        <v>568</v>
      </c>
      <c r="C1619" s="31" t="s">
        <v>318</v>
      </c>
      <c r="D1619" s="31" t="s">
        <v>56</v>
      </c>
      <c r="E1619" s="31" t="str">
        <f t="shared" si="32"/>
        <v>Honorários</v>
      </c>
      <c r="F1619" s="31" t="s">
        <v>1272</v>
      </c>
      <c r="G1619" t="s">
        <v>1272</v>
      </c>
      <c r="I1619" t="s">
        <v>1273</v>
      </c>
      <c r="J1619" t="s">
        <v>143</v>
      </c>
      <c r="K1619" s="32">
        <v>26376.62</v>
      </c>
      <c r="L1619" s="31" t="s">
        <v>18</v>
      </c>
      <c r="M1619" s="31" t="s">
        <v>19</v>
      </c>
    </row>
    <row r="1620" spans="1:13" hidden="1" x14ac:dyDescent="0.25">
      <c r="A1620" s="30">
        <v>45994</v>
      </c>
      <c r="B1620" s="31" t="s">
        <v>568</v>
      </c>
      <c r="C1620" s="31" t="s">
        <v>1274</v>
      </c>
      <c r="D1620" s="31" t="s">
        <v>300</v>
      </c>
      <c r="E1620" s="31" t="str">
        <f t="shared" si="32"/>
        <v>VAR</v>
      </c>
      <c r="F1620" s="31" t="s">
        <v>1272</v>
      </c>
      <c r="G1620" t="s">
        <v>1272</v>
      </c>
      <c r="I1620" t="s">
        <v>1273</v>
      </c>
      <c r="J1620" t="s">
        <v>17</v>
      </c>
      <c r="K1620" s="32">
        <v>-9404.84</v>
      </c>
      <c r="L1620" s="31" t="s">
        <v>24</v>
      </c>
      <c r="M1620" s="31" t="s">
        <v>25</v>
      </c>
    </row>
    <row r="1621" spans="1:13" hidden="1" x14ac:dyDescent="0.25">
      <c r="A1621" s="30">
        <v>45994</v>
      </c>
      <c r="B1621" s="31" t="s">
        <v>568</v>
      </c>
      <c r="C1621" s="31" t="s">
        <v>1275</v>
      </c>
      <c r="D1621" s="31" t="s">
        <v>300</v>
      </c>
      <c r="E1621" s="31" t="str">
        <f t="shared" si="32"/>
        <v>VAR</v>
      </c>
      <c r="F1621" s="31" t="s">
        <v>1272</v>
      </c>
      <c r="G1621" t="s">
        <v>1272</v>
      </c>
      <c r="I1621" t="s">
        <v>1273</v>
      </c>
      <c r="J1621" t="s">
        <v>17</v>
      </c>
      <c r="K1621" s="32">
        <v>-28127.55</v>
      </c>
      <c r="L1621" s="31" t="s">
        <v>24</v>
      </c>
      <c r="M1621" s="31" t="s">
        <v>25</v>
      </c>
    </row>
    <row r="1622" spans="1:13" hidden="1" x14ac:dyDescent="0.25">
      <c r="A1622" s="30">
        <v>45994</v>
      </c>
      <c r="B1622" s="31" t="s">
        <v>568</v>
      </c>
      <c r="C1622" s="31" t="s">
        <v>1276</v>
      </c>
      <c r="D1622" s="31" t="s">
        <v>300</v>
      </c>
      <c r="E1622" s="31" t="str">
        <f t="shared" si="32"/>
        <v>VAR</v>
      </c>
      <c r="F1622" s="31" t="s">
        <v>1272</v>
      </c>
      <c r="G1622" t="s">
        <v>1272</v>
      </c>
      <c r="I1622" t="s">
        <v>1273</v>
      </c>
      <c r="J1622" t="s">
        <v>17</v>
      </c>
      <c r="K1622" s="32">
        <v>-29533.93</v>
      </c>
      <c r="L1622" s="31" t="s">
        <v>24</v>
      </c>
      <c r="M1622" s="31" t="s">
        <v>25</v>
      </c>
    </row>
    <row r="1623" spans="1:13" hidden="1" x14ac:dyDescent="0.25">
      <c r="A1623" s="30">
        <v>45994</v>
      </c>
      <c r="B1623" s="31" t="s">
        <v>568</v>
      </c>
      <c r="C1623" s="31" t="s">
        <v>1277</v>
      </c>
      <c r="D1623" s="31" t="s">
        <v>300</v>
      </c>
      <c r="E1623" s="31" t="str">
        <f t="shared" si="32"/>
        <v>VAR</v>
      </c>
      <c r="F1623" s="31" t="s">
        <v>1272</v>
      </c>
      <c r="G1623" t="s">
        <v>1272</v>
      </c>
      <c r="I1623" t="s">
        <v>1273</v>
      </c>
      <c r="J1623" t="s">
        <v>17</v>
      </c>
      <c r="K1623" s="32">
        <v>-9875.08</v>
      </c>
      <c r="L1623" s="31" t="s">
        <v>24</v>
      </c>
      <c r="M1623" s="31" t="s">
        <v>25</v>
      </c>
    </row>
    <row r="1624" spans="1:13" hidden="1" x14ac:dyDescent="0.25">
      <c r="A1624" s="5">
        <v>46006</v>
      </c>
      <c r="B1624" t="s">
        <v>569</v>
      </c>
      <c r="C1624" t="s">
        <v>13</v>
      </c>
      <c r="D1624" t="s">
        <v>15</v>
      </c>
      <c r="E1624" t="str">
        <f t="shared" si="32"/>
        <v>ADM</v>
      </c>
      <c r="F1624" t="s">
        <v>16</v>
      </c>
      <c r="G1624" t="s">
        <v>16</v>
      </c>
      <c r="J1624" t="s">
        <v>17</v>
      </c>
      <c r="K1624" s="23">
        <v>-1425.7</v>
      </c>
      <c r="L1624" t="s">
        <v>24</v>
      </c>
      <c r="M1624" t="s">
        <v>25</v>
      </c>
    </row>
    <row r="1625" spans="1:13" hidden="1" x14ac:dyDescent="0.25">
      <c r="A1625" s="5">
        <v>46007</v>
      </c>
      <c r="B1625" t="s">
        <v>1216</v>
      </c>
      <c r="C1625" t="s">
        <v>1082</v>
      </c>
      <c r="D1625" t="s">
        <v>30</v>
      </c>
      <c r="E1625" t="str">
        <f t="shared" si="32"/>
        <v>ADM</v>
      </c>
      <c r="F1625" t="s">
        <v>16</v>
      </c>
      <c r="G1625" t="s">
        <v>16</v>
      </c>
      <c r="J1625" t="s">
        <v>143</v>
      </c>
      <c r="K1625" s="23">
        <v>-116.21</v>
      </c>
      <c r="L1625" t="s">
        <v>24</v>
      </c>
      <c r="M1625" t="s">
        <v>25</v>
      </c>
    </row>
    <row r="1626" spans="1:13" hidden="1" x14ac:dyDescent="0.25">
      <c r="A1626" s="5">
        <v>46007</v>
      </c>
      <c r="B1626" t="s">
        <v>1216</v>
      </c>
      <c r="C1626" t="s">
        <v>1310</v>
      </c>
      <c r="D1626" t="s">
        <v>28</v>
      </c>
      <c r="E1626" t="str">
        <f t="shared" si="32"/>
        <v>ADM</v>
      </c>
      <c r="F1626" t="s">
        <v>16</v>
      </c>
      <c r="G1626" t="s">
        <v>16</v>
      </c>
      <c r="J1626" t="s">
        <v>143</v>
      </c>
      <c r="K1626" s="23">
        <v>-198.99</v>
      </c>
      <c r="L1626" t="s">
        <v>24</v>
      </c>
      <c r="M1626" t="s">
        <v>25</v>
      </c>
    </row>
    <row r="1627" spans="1:13" hidden="1" x14ac:dyDescent="0.25">
      <c r="A1627" s="5">
        <v>46007</v>
      </c>
      <c r="B1627" t="s">
        <v>1216</v>
      </c>
      <c r="C1627" t="s">
        <v>1313</v>
      </c>
      <c r="D1627" t="s">
        <v>30</v>
      </c>
      <c r="E1627" t="str">
        <f t="shared" si="32"/>
        <v>ADM</v>
      </c>
      <c r="F1627" t="s">
        <v>16</v>
      </c>
      <c r="G1627" t="s">
        <v>16</v>
      </c>
      <c r="J1627" t="s">
        <v>143</v>
      </c>
      <c r="K1627" s="23">
        <v>-109.9</v>
      </c>
      <c r="L1627" t="s">
        <v>24</v>
      </c>
      <c r="M1627" t="s">
        <v>25</v>
      </c>
    </row>
    <row r="1628" spans="1:13" hidden="1" x14ac:dyDescent="0.25">
      <c r="A1628" s="5">
        <v>46007</v>
      </c>
      <c r="B1628" t="s">
        <v>1216</v>
      </c>
      <c r="C1628" t="s">
        <v>1219</v>
      </c>
      <c r="D1628" t="s">
        <v>30</v>
      </c>
      <c r="E1628" t="str">
        <f t="shared" si="32"/>
        <v>ADM</v>
      </c>
      <c r="F1628" t="s">
        <v>16</v>
      </c>
      <c r="G1628" t="s">
        <v>16</v>
      </c>
      <c r="J1628" t="s">
        <v>143</v>
      </c>
      <c r="K1628" s="23">
        <v>-118.3</v>
      </c>
      <c r="L1628" t="s">
        <v>24</v>
      </c>
      <c r="M1628" t="s">
        <v>25</v>
      </c>
    </row>
    <row r="1629" spans="1:13" hidden="1" x14ac:dyDescent="0.25">
      <c r="A1629" s="5">
        <v>46007</v>
      </c>
      <c r="B1629" t="s">
        <v>1216</v>
      </c>
      <c r="C1629" t="s">
        <v>1221</v>
      </c>
      <c r="D1629" t="s">
        <v>382</v>
      </c>
      <c r="E1629" t="str">
        <f t="shared" si="32"/>
        <v>PES</v>
      </c>
      <c r="F1629" t="s">
        <v>16</v>
      </c>
      <c r="G1629" t="s">
        <v>16</v>
      </c>
      <c r="J1629" t="s">
        <v>143</v>
      </c>
      <c r="K1629" s="23">
        <v>-229</v>
      </c>
      <c r="L1629" t="s">
        <v>24</v>
      </c>
      <c r="M1629" t="s">
        <v>25</v>
      </c>
    </row>
    <row r="1630" spans="1:13" hidden="1" x14ac:dyDescent="0.25">
      <c r="A1630" s="5">
        <v>46007</v>
      </c>
      <c r="B1630" t="s">
        <v>1216</v>
      </c>
      <c r="C1630" t="s">
        <v>14</v>
      </c>
      <c r="D1630" t="s">
        <v>15</v>
      </c>
      <c r="E1630" t="str">
        <f t="shared" si="32"/>
        <v>ADM</v>
      </c>
      <c r="F1630" t="s">
        <v>16</v>
      </c>
      <c r="G1630" t="s">
        <v>16</v>
      </c>
      <c r="J1630" t="s">
        <v>143</v>
      </c>
      <c r="K1630" s="23">
        <v>1425.7</v>
      </c>
      <c r="L1630" t="s">
        <v>18</v>
      </c>
      <c r="M1630" t="s">
        <v>19</v>
      </c>
    </row>
    <row r="1631" spans="1:13" hidden="1" x14ac:dyDescent="0.25">
      <c r="A1631" s="5">
        <v>46007</v>
      </c>
      <c r="B1631" t="s">
        <v>1216</v>
      </c>
      <c r="C1631" t="s">
        <v>29</v>
      </c>
      <c r="D1631" t="s">
        <v>30</v>
      </c>
      <c r="E1631" t="str">
        <f t="shared" ref="E1631:E1662" si="33">IF(ISERROR(FIND("-",D1631,1)),D1631,LEFT(D1631,3))</f>
        <v>ADM</v>
      </c>
      <c r="F1631" t="s">
        <v>16</v>
      </c>
      <c r="G1631" t="s">
        <v>16</v>
      </c>
      <c r="J1631" t="s">
        <v>17</v>
      </c>
      <c r="K1631" s="23">
        <v>-653.29999999999995</v>
      </c>
      <c r="L1631" t="s">
        <v>24</v>
      </c>
      <c r="M1631" t="s">
        <v>25</v>
      </c>
    </row>
    <row r="1632" spans="1:13" hidden="1" x14ac:dyDescent="0.25">
      <c r="A1632" s="5">
        <v>46008</v>
      </c>
      <c r="B1632" t="s">
        <v>569</v>
      </c>
      <c r="C1632" t="s">
        <v>640</v>
      </c>
      <c r="D1632" t="s">
        <v>56</v>
      </c>
      <c r="E1632" t="str">
        <f t="shared" si="33"/>
        <v>Honorários</v>
      </c>
      <c r="F1632" t="s">
        <v>1322</v>
      </c>
      <c r="G1632" t="s">
        <v>1322</v>
      </c>
      <c r="I1632" t="s">
        <v>75</v>
      </c>
      <c r="J1632" t="s">
        <v>143</v>
      </c>
      <c r="K1632" s="23">
        <v>2736</v>
      </c>
      <c r="L1632" t="s">
        <v>18</v>
      </c>
      <c r="M1632" t="s">
        <v>19</v>
      </c>
    </row>
    <row r="1633" spans="1:13" hidden="1" x14ac:dyDescent="0.25">
      <c r="A1633" s="5">
        <v>45992</v>
      </c>
      <c r="B1633" t="s">
        <v>568</v>
      </c>
      <c r="C1633" t="s">
        <v>51</v>
      </c>
      <c r="D1633" t="s">
        <v>52</v>
      </c>
      <c r="E1633" t="str">
        <f t="shared" si="33"/>
        <v>ADM</v>
      </c>
      <c r="F1633" t="s">
        <v>53</v>
      </c>
      <c r="G1633" t="s">
        <v>53</v>
      </c>
      <c r="J1633" t="s">
        <v>17</v>
      </c>
      <c r="K1633" s="23">
        <v>-1518</v>
      </c>
      <c r="L1633" t="s">
        <v>24</v>
      </c>
      <c r="M1633" t="s">
        <v>25</v>
      </c>
    </row>
    <row r="1634" spans="1:13" hidden="1" x14ac:dyDescent="0.25">
      <c r="A1634" s="5">
        <v>45992</v>
      </c>
      <c r="B1634" t="s">
        <v>568</v>
      </c>
      <c r="C1634" t="s">
        <v>1262</v>
      </c>
      <c r="D1634" t="s">
        <v>52</v>
      </c>
      <c r="E1634" t="str">
        <f t="shared" si="33"/>
        <v>ADM</v>
      </c>
      <c r="F1634" t="s">
        <v>53</v>
      </c>
      <c r="G1634" t="s">
        <v>53</v>
      </c>
      <c r="J1634" t="s">
        <v>143</v>
      </c>
      <c r="K1634" s="23">
        <v>-1518</v>
      </c>
      <c r="L1634" t="s">
        <v>24</v>
      </c>
      <c r="M1634" t="s">
        <v>25</v>
      </c>
    </row>
    <row r="1635" spans="1:13" hidden="1" x14ac:dyDescent="0.25">
      <c r="A1635" s="5">
        <v>46018</v>
      </c>
      <c r="B1635" t="s">
        <v>568</v>
      </c>
      <c r="C1635" t="s">
        <v>1120</v>
      </c>
      <c r="D1635" t="s">
        <v>56</v>
      </c>
      <c r="E1635" t="str">
        <f t="shared" si="33"/>
        <v>Honorários</v>
      </c>
      <c r="F1635" t="s">
        <v>1118</v>
      </c>
      <c r="G1635" t="s">
        <v>1118</v>
      </c>
      <c r="I1635" t="s">
        <v>1119</v>
      </c>
      <c r="J1635" t="s">
        <v>143</v>
      </c>
      <c r="K1635" s="23">
        <v>500</v>
      </c>
      <c r="L1635" t="s">
        <v>18</v>
      </c>
      <c r="M1635" t="s">
        <v>83</v>
      </c>
    </row>
    <row r="1636" spans="1:13" hidden="1" x14ac:dyDescent="0.25">
      <c r="A1636" s="5">
        <v>45995</v>
      </c>
      <c r="B1636" t="s">
        <v>569</v>
      </c>
      <c r="C1636" t="s">
        <v>1171</v>
      </c>
      <c r="D1636" t="s">
        <v>224</v>
      </c>
      <c r="E1636" t="str">
        <f t="shared" si="33"/>
        <v>COM</v>
      </c>
      <c r="F1636" t="s">
        <v>1090</v>
      </c>
      <c r="G1636" t="s">
        <v>1090</v>
      </c>
      <c r="J1636" t="s">
        <v>143</v>
      </c>
      <c r="K1636" s="23">
        <v>-5.4</v>
      </c>
      <c r="L1636" t="s">
        <v>24</v>
      </c>
      <c r="M1636" t="s">
        <v>25</v>
      </c>
    </row>
    <row r="1637" spans="1:13" hidden="1" x14ac:dyDescent="0.25">
      <c r="A1637" s="5">
        <v>45996</v>
      </c>
      <c r="B1637" t="s">
        <v>569</v>
      </c>
      <c r="C1637" t="s">
        <v>1109</v>
      </c>
      <c r="D1637" t="s">
        <v>224</v>
      </c>
      <c r="E1637" t="str">
        <f t="shared" si="33"/>
        <v>COM</v>
      </c>
      <c r="F1637" t="s">
        <v>1090</v>
      </c>
      <c r="G1637" t="s">
        <v>1090</v>
      </c>
      <c r="J1637" t="s">
        <v>143</v>
      </c>
      <c r="K1637" s="23">
        <v>-5.4</v>
      </c>
      <c r="L1637" t="s">
        <v>24</v>
      </c>
      <c r="M1637" t="s">
        <v>25</v>
      </c>
    </row>
    <row r="1638" spans="1:13" hidden="1" x14ac:dyDescent="0.25">
      <c r="A1638" s="5">
        <v>45995</v>
      </c>
      <c r="B1638" t="s">
        <v>569</v>
      </c>
      <c r="C1638" t="s">
        <v>1171</v>
      </c>
      <c r="D1638" t="s">
        <v>224</v>
      </c>
      <c r="E1638" t="str">
        <f t="shared" si="33"/>
        <v>COM</v>
      </c>
      <c r="F1638" t="s">
        <v>1172</v>
      </c>
      <c r="G1638" t="s">
        <v>1172</v>
      </c>
      <c r="J1638" t="s">
        <v>143</v>
      </c>
      <c r="K1638" s="23">
        <v>-14.3</v>
      </c>
      <c r="L1638" t="s">
        <v>24</v>
      </c>
      <c r="M1638" t="s">
        <v>25</v>
      </c>
    </row>
    <row r="1639" spans="1:13" hidden="1" x14ac:dyDescent="0.25">
      <c r="A1639" s="5">
        <v>45996</v>
      </c>
      <c r="B1639" t="s">
        <v>569</v>
      </c>
      <c r="C1639" t="s">
        <v>1109</v>
      </c>
      <c r="D1639" t="s">
        <v>224</v>
      </c>
      <c r="E1639" t="str">
        <f t="shared" si="33"/>
        <v>COM</v>
      </c>
      <c r="F1639" t="s">
        <v>1172</v>
      </c>
      <c r="G1639" t="s">
        <v>1172</v>
      </c>
      <c r="J1639" t="s">
        <v>143</v>
      </c>
      <c r="K1639" s="23">
        <v>-14.3</v>
      </c>
      <c r="L1639" t="s">
        <v>24</v>
      </c>
      <c r="M1639" t="s">
        <v>25</v>
      </c>
    </row>
    <row r="1640" spans="1:13" hidden="1" x14ac:dyDescent="0.25">
      <c r="A1640" s="5">
        <v>46003</v>
      </c>
      <c r="B1640" t="s">
        <v>568</v>
      </c>
      <c r="C1640" t="s">
        <v>965</v>
      </c>
      <c r="D1640" t="s">
        <v>56</v>
      </c>
      <c r="E1640" t="str">
        <f t="shared" si="33"/>
        <v>Honorários</v>
      </c>
      <c r="F1640" t="s">
        <v>966</v>
      </c>
      <c r="G1640" t="s">
        <v>966</v>
      </c>
      <c r="I1640" t="s">
        <v>605</v>
      </c>
      <c r="J1640" t="s">
        <v>143</v>
      </c>
      <c r="K1640" s="23">
        <v>1030.8400000000001</v>
      </c>
      <c r="L1640" t="s">
        <v>18</v>
      </c>
      <c r="M1640" t="s">
        <v>19</v>
      </c>
    </row>
    <row r="1641" spans="1:13" hidden="1" x14ac:dyDescent="0.25">
      <c r="A1641" s="5">
        <v>45996</v>
      </c>
      <c r="B1641" t="s">
        <v>569</v>
      </c>
      <c r="C1641" t="s">
        <v>1288</v>
      </c>
      <c r="D1641" t="s">
        <v>28</v>
      </c>
      <c r="E1641" t="str">
        <f t="shared" si="33"/>
        <v>ADM</v>
      </c>
      <c r="F1641" t="s">
        <v>1288</v>
      </c>
      <c r="G1641" t="s">
        <v>1288</v>
      </c>
      <c r="J1641" t="s">
        <v>143</v>
      </c>
      <c r="K1641" s="23">
        <v>-16</v>
      </c>
      <c r="L1641" t="s">
        <v>24</v>
      </c>
      <c r="M1641" t="s">
        <v>25</v>
      </c>
    </row>
    <row r="1642" spans="1:13" hidden="1" x14ac:dyDescent="0.25">
      <c r="A1642" s="5">
        <v>46013</v>
      </c>
      <c r="B1642" t="s">
        <v>568</v>
      </c>
      <c r="C1642" t="s">
        <v>1341</v>
      </c>
      <c r="D1642" t="s">
        <v>56</v>
      </c>
      <c r="E1642" t="str">
        <f t="shared" si="33"/>
        <v>Honorários</v>
      </c>
      <c r="F1642" t="s">
        <v>784</v>
      </c>
      <c r="G1642" t="s">
        <v>784</v>
      </c>
      <c r="I1642" t="s">
        <v>75</v>
      </c>
      <c r="J1642" t="s">
        <v>143</v>
      </c>
      <c r="K1642" s="23">
        <v>4519.63</v>
      </c>
      <c r="L1642" t="s">
        <v>18</v>
      </c>
      <c r="M1642" t="s">
        <v>19</v>
      </c>
    </row>
    <row r="1643" spans="1:13" hidden="1" x14ac:dyDescent="0.25">
      <c r="A1643" s="5">
        <v>46003</v>
      </c>
      <c r="B1643" t="s">
        <v>569</v>
      </c>
      <c r="C1643" t="s">
        <v>1301</v>
      </c>
      <c r="D1643" t="s">
        <v>300</v>
      </c>
      <c r="E1643" t="str">
        <f t="shared" si="33"/>
        <v>VAR</v>
      </c>
      <c r="F1643" t="s">
        <v>875</v>
      </c>
      <c r="G1643" t="s">
        <v>875</v>
      </c>
      <c r="J1643" t="s">
        <v>143</v>
      </c>
      <c r="K1643" s="23">
        <v>-2500</v>
      </c>
      <c r="L1643" t="s">
        <v>24</v>
      </c>
      <c r="M1643" t="s">
        <v>25</v>
      </c>
    </row>
    <row r="1644" spans="1:13" hidden="1" x14ac:dyDescent="0.25">
      <c r="A1644" s="5">
        <v>45999</v>
      </c>
      <c r="B1644" t="s">
        <v>569</v>
      </c>
      <c r="C1644" t="s">
        <v>1290</v>
      </c>
      <c r="D1644" t="s">
        <v>900</v>
      </c>
      <c r="E1644" t="str">
        <f t="shared" si="33"/>
        <v>PES</v>
      </c>
      <c r="F1644" t="s">
        <v>875</v>
      </c>
      <c r="G1644" t="s">
        <v>875</v>
      </c>
      <c r="J1644" t="s">
        <v>143</v>
      </c>
      <c r="K1644" s="23">
        <v>-200</v>
      </c>
      <c r="L1644" t="s">
        <v>24</v>
      </c>
      <c r="M1644" t="s">
        <v>25</v>
      </c>
    </row>
    <row r="1645" spans="1:13" hidden="1" x14ac:dyDescent="0.25">
      <c r="A1645" s="5">
        <v>46010</v>
      </c>
      <c r="B1645" t="s">
        <v>569</v>
      </c>
      <c r="C1645" t="s">
        <v>1334</v>
      </c>
      <c r="D1645" t="s">
        <v>900</v>
      </c>
      <c r="E1645" t="str">
        <f t="shared" si="33"/>
        <v>PES</v>
      </c>
      <c r="F1645" t="s">
        <v>875</v>
      </c>
      <c r="G1645" t="s">
        <v>875</v>
      </c>
      <c r="J1645" t="s">
        <v>143</v>
      </c>
      <c r="K1645" s="23">
        <v>-400</v>
      </c>
      <c r="L1645" t="s">
        <v>24</v>
      </c>
      <c r="M1645" t="s">
        <v>25</v>
      </c>
    </row>
    <row r="1646" spans="1:13" hidden="1" x14ac:dyDescent="0.25">
      <c r="A1646" s="5">
        <v>46015</v>
      </c>
      <c r="B1646" t="s">
        <v>569</v>
      </c>
      <c r="C1646" t="s">
        <v>1079</v>
      </c>
      <c r="D1646" t="s">
        <v>900</v>
      </c>
      <c r="E1646" t="str">
        <f t="shared" si="33"/>
        <v>PES</v>
      </c>
      <c r="F1646" t="s">
        <v>875</v>
      </c>
      <c r="G1646" t="s">
        <v>875</v>
      </c>
      <c r="J1646" t="s">
        <v>143</v>
      </c>
      <c r="K1646" s="23">
        <v>-600</v>
      </c>
      <c r="L1646" t="s">
        <v>24</v>
      </c>
      <c r="M1646" t="s">
        <v>25</v>
      </c>
    </row>
    <row r="1647" spans="1:13" hidden="1" x14ac:dyDescent="0.25">
      <c r="A1647" s="5">
        <v>45992</v>
      </c>
      <c r="B1647" t="s">
        <v>569</v>
      </c>
      <c r="C1647" t="s">
        <v>1259</v>
      </c>
      <c r="D1647" t="s">
        <v>28</v>
      </c>
      <c r="E1647" t="str">
        <f t="shared" si="33"/>
        <v>ADM</v>
      </c>
      <c r="F1647" t="s">
        <v>1261</v>
      </c>
      <c r="G1647" t="s">
        <v>1261</v>
      </c>
      <c r="J1647" t="s">
        <v>143</v>
      </c>
      <c r="K1647" s="23">
        <v>-142.28</v>
      </c>
      <c r="L1647" t="s">
        <v>24</v>
      </c>
      <c r="M1647" t="s">
        <v>25</v>
      </c>
    </row>
    <row r="1648" spans="1:13" hidden="1" x14ac:dyDescent="0.25">
      <c r="A1648" s="5">
        <v>46007</v>
      </c>
      <c r="B1648" t="s">
        <v>569</v>
      </c>
      <c r="C1648" t="s">
        <v>1317</v>
      </c>
      <c r="D1648" t="s">
        <v>56</v>
      </c>
      <c r="E1648" t="str">
        <f t="shared" si="33"/>
        <v>Honorários</v>
      </c>
      <c r="F1648" t="s">
        <v>1318</v>
      </c>
      <c r="G1648" t="s">
        <v>1318</v>
      </c>
      <c r="I1648" t="s">
        <v>1319</v>
      </c>
      <c r="J1648" t="s">
        <v>143</v>
      </c>
      <c r="K1648" s="23">
        <v>221.26</v>
      </c>
      <c r="L1648" t="s">
        <v>18</v>
      </c>
      <c r="M1648" t="s">
        <v>19</v>
      </c>
    </row>
    <row r="1649" spans="1:13" hidden="1" x14ac:dyDescent="0.25">
      <c r="A1649" s="5">
        <v>46001</v>
      </c>
      <c r="B1649" t="s">
        <v>569</v>
      </c>
      <c r="C1649" t="s">
        <v>1298</v>
      </c>
      <c r="D1649" t="s">
        <v>56</v>
      </c>
      <c r="E1649" t="str">
        <f t="shared" si="33"/>
        <v>Honorários</v>
      </c>
      <c r="F1649" t="s">
        <v>1299</v>
      </c>
      <c r="G1649" t="s">
        <v>1299</v>
      </c>
      <c r="I1649" t="s">
        <v>1139</v>
      </c>
      <c r="J1649" t="s">
        <v>143</v>
      </c>
      <c r="K1649" s="23">
        <v>1096.6199999999999</v>
      </c>
      <c r="L1649" t="s">
        <v>18</v>
      </c>
      <c r="M1649" t="s">
        <v>19</v>
      </c>
    </row>
    <row r="1650" spans="1:13" hidden="1" x14ac:dyDescent="0.25">
      <c r="A1650" s="5">
        <v>46013</v>
      </c>
      <c r="B1650" t="s">
        <v>568</v>
      </c>
      <c r="C1650" t="s">
        <v>1342</v>
      </c>
      <c r="D1650" t="s">
        <v>149</v>
      </c>
      <c r="E1650" t="str">
        <f t="shared" si="33"/>
        <v>ADM</v>
      </c>
      <c r="F1650" t="s">
        <v>798</v>
      </c>
      <c r="G1650" t="s">
        <v>798</v>
      </c>
      <c r="J1650" t="s">
        <v>143</v>
      </c>
      <c r="K1650" s="23">
        <v>-1000</v>
      </c>
      <c r="L1650" t="s">
        <v>24</v>
      </c>
      <c r="M1650" t="s">
        <v>25</v>
      </c>
    </row>
    <row r="1651" spans="1:13" hidden="1" x14ac:dyDescent="0.25">
      <c r="A1651" s="5">
        <v>46002</v>
      </c>
      <c r="B1651" t="s">
        <v>568</v>
      </c>
      <c r="C1651" t="s">
        <v>1300</v>
      </c>
      <c r="D1651" t="s">
        <v>56</v>
      </c>
      <c r="E1651" t="str">
        <f t="shared" si="33"/>
        <v>Honorários</v>
      </c>
      <c r="F1651" t="s">
        <v>870</v>
      </c>
      <c r="G1651" t="s">
        <v>870</v>
      </c>
      <c r="I1651" t="s">
        <v>605</v>
      </c>
      <c r="J1651" t="s">
        <v>143</v>
      </c>
      <c r="K1651" s="23">
        <v>32425.66</v>
      </c>
      <c r="L1651" t="s">
        <v>18</v>
      </c>
      <c r="M1651" t="s">
        <v>19</v>
      </c>
    </row>
    <row r="1652" spans="1:13" hidden="1" x14ac:dyDescent="0.25">
      <c r="A1652" s="5">
        <v>45996</v>
      </c>
      <c r="B1652" t="s">
        <v>569</v>
      </c>
      <c r="C1652" t="s">
        <v>584</v>
      </c>
      <c r="D1652" t="s">
        <v>99</v>
      </c>
      <c r="E1652" t="str">
        <f t="shared" si="33"/>
        <v>ADM</v>
      </c>
      <c r="F1652" t="s">
        <v>100</v>
      </c>
      <c r="G1652" t="s">
        <v>100</v>
      </c>
      <c r="J1652" t="s">
        <v>143</v>
      </c>
      <c r="K1652" s="23">
        <v>-340</v>
      </c>
      <c r="L1652" t="s">
        <v>24</v>
      </c>
      <c r="M1652" t="s">
        <v>25</v>
      </c>
    </row>
    <row r="1653" spans="1:13" hidden="1" x14ac:dyDescent="0.25">
      <c r="A1653" s="5">
        <v>46003</v>
      </c>
      <c r="B1653" t="s">
        <v>569</v>
      </c>
      <c r="C1653" t="s">
        <v>584</v>
      </c>
      <c r="D1653" t="s">
        <v>99</v>
      </c>
      <c r="E1653" t="str">
        <f t="shared" si="33"/>
        <v>ADM</v>
      </c>
      <c r="F1653" t="s">
        <v>100</v>
      </c>
      <c r="G1653" t="s">
        <v>100</v>
      </c>
      <c r="J1653" t="s">
        <v>143</v>
      </c>
      <c r="K1653" s="23">
        <v>-340</v>
      </c>
      <c r="L1653" t="s">
        <v>24</v>
      </c>
      <c r="M1653" t="s">
        <v>25</v>
      </c>
    </row>
    <row r="1654" spans="1:13" hidden="1" x14ac:dyDescent="0.25">
      <c r="A1654" s="5">
        <v>46010</v>
      </c>
      <c r="B1654" t="s">
        <v>569</v>
      </c>
      <c r="C1654" t="s">
        <v>98</v>
      </c>
      <c r="D1654" t="s">
        <v>99</v>
      </c>
      <c r="E1654" t="str">
        <f t="shared" si="33"/>
        <v>ADM</v>
      </c>
      <c r="F1654" t="s">
        <v>100</v>
      </c>
      <c r="G1654" t="s">
        <v>100</v>
      </c>
      <c r="J1654" t="s">
        <v>143</v>
      </c>
      <c r="K1654" s="23">
        <v>-340</v>
      </c>
      <c r="L1654" t="s">
        <v>24</v>
      </c>
      <c r="M1654" t="s">
        <v>25</v>
      </c>
    </row>
    <row r="1655" spans="1:13" hidden="1" x14ac:dyDescent="0.25">
      <c r="A1655" s="5">
        <v>46013</v>
      </c>
      <c r="B1655" t="s">
        <v>568</v>
      </c>
      <c r="C1655" t="s">
        <v>1252</v>
      </c>
      <c r="D1655" t="s">
        <v>56</v>
      </c>
      <c r="E1655" t="str">
        <f t="shared" si="33"/>
        <v>Honorários</v>
      </c>
      <c r="F1655" t="s">
        <v>913</v>
      </c>
      <c r="G1655" t="s">
        <v>913</v>
      </c>
      <c r="I1655" t="s">
        <v>75</v>
      </c>
      <c r="J1655" t="s">
        <v>143</v>
      </c>
      <c r="K1655" s="23">
        <v>3640.46</v>
      </c>
      <c r="L1655" t="s">
        <v>18</v>
      </c>
      <c r="M1655" t="s">
        <v>19</v>
      </c>
    </row>
    <row r="1656" spans="1:13" hidden="1" x14ac:dyDescent="0.25">
      <c r="A1656" s="5">
        <v>46007</v>
      </c>
      <c r="B1656" t="s">
        <v>569</v>
      </c>
      <c r="C1656" t="s">
        <v>1311</v>
      </c>
      <c r="D1656" t="s">
        <v>56</v>
      </c>
      <c r="E1656" t="str">
        <f t="shared" si="33"/>
        <v>Honorários</v>
      </c>
      <c r="F1656" t="s">
        <v>1312</v>
      </c>
      <c r="G1656" t="s">
        <v>1312</v>
      </c>
      <c r="I1656" t="s">
        <v>75</v>
      </c>
      <c r="J1656" t="s">
        <v>143</v>
      </c>
      <c r="K1656" s="23">
        <v>1518</v>
      </c>
      <c r="L1656" t="s">
        <v>18</v>
      </c>
      <c r="M1656" t="s">
        <v>19</v>
      </c>
    </row>
    <row r="1657" spans="1:13" hidden="1" x14ac:dyDescent="0.25">
      <c r="A1657" s="5">
        <v>46003</v>
      </c>
      <c r="B1657" t="s">
        <v>569</v>
      </c>
      <c r="C1657" t="s">
        <v>1301</v>
      </c>
      <c r="D1657" t="s">
        <v>300</v>
      </c>
      <c r="E1657" t="str">
        <f t="shared" si="33"/>
        <v>VAR</v>
      </c>
      <c r="F1657" t="s">
        <v>304</v>
      </c>
      <c r="G1657" t="s">
        <v>304</v>
      </c>
      <c r="J1657" t="s">
        <v>143</v>
      </c>
      <c r="K1657" s="23">
        <v>-2500</v>
      </c>
      <c r="L1657" t="s">
        <v>24</v>
      </c>
      <c r="M1657" t="s">
        <v>25</v>
      </c>
    </row>
    <row r="1658" spans="1:13" hidden="1" x14ac:dyDescent="0.25">
      <c r="A1658" s="5">
        <v>46010</v>
      </c>
      <c r="B1658" t="s">
        <v>568</v>
      </c>
      <c r="C1658" t="s">
        <v>1335</v>
      </c>
      <c r="D1658" t="s">
        <v>198</v>
      </c>
      <c r="E1658" t="str">
        <f t="shared" si="33"/>
        <v>PES</v>
      </c>
      <c r="F1658" t="s">
        <v>304</v>
      </c>
      <c r="G1658" t="s">
        <v>304</v>
      </c>
      <c r="J1658" t="s">
        <v>143</v>
      </c>
      <c r="K1658" s="23">
        <v>-4282.82</v>
      </c>
      <c r="L1658" t="s">
        <v>24</v>
      </c>
      <c r="M1658" t="s">
        <v>25</v>
      </c>
    </row>
    <row r="1659" spans="1:13" hidden="1" x14ac:dyDescent="0.25">
      <c r="A1659" s="5">
        <v>46010</v>
      </c>
      <c r="B1659" t="s">
        <v>568</v>
      </c>
      <c r="C1659" t="s">
        <v>158</v>
      </c>
      <c r="D1659" t="s">
        <v>159</v>
      </c>
      <c r="E1659" t="str">
        <f t="shared" si="33"/>
        <v>PES</v>
      </c>
      <c r="F1659" t="s">
        <v>158</v>
      </c>
      <c r="G1659" t="s">
        <v>158</v>
      </c>
      <c r="J1659" t="s">
        <v>143</v>
      </c>
      <c r="K1659" s="23">
        <v>-1960.93</v>
      </c>
      <c r="L1659" t="s">
        <v>24</v>
      </c>
      <c r="M1659" t="s">
        <v>25</v>
      </c>
    </row>
    <row r="1660" spans="1:13" hidden="1" x14ac:dyDescent="0.25">
      <c r="A1660" s="5">
        <v>46010</v>
      </c>
      <c r="B1660" t="s">
        <v>568</v>
      </c>
      <c r="C1660" t="s">
        <v>158</v>
      </c>
      <c r="D1660" t="s">
        <v>159</v>
      </c>
      <c r="E1660" t="str">
        <f t="shared" si="33"/>
        <v>PES</v>
      </c>
      <c r="F1660" t="s">
        <v>158</v>
      </c>
      <c r="G1660" t="s">
        <v>158</v>
      </c>
      <c r="J1660" t="s">
        <v>17</v>
      </c>
      <c r="K1660" s="23">
        <v>-1002.17</v>
      </c>
      <c r="L1660" t="s">
        <v>24</v>
      </c>
      <c r="M1660" t="s">
        <v>25</v>
      </c>
    </row>
    <row r="1661" spans="1:13" hidden="1" x14ac:dyDescent="0.25">
      <c r="A1661" s="5">
        <v>45993</v>
      </c>
      <c r="B1661" t="s">
        <v>568</v>
      </c>
      <c r="C1661" t="s">
        <v>1269</v>
      </c>
      <c r="D1661" t="s">
        <v>508</v>
      </c>
      <c r="E1661" t="str">
        <f t="shared" si="33"/>
        <v>ADM</v>
      </c>
      <c r="F1661" t="s">
        <v>1009</v>
      </c>
      <c r="G1661" t="s">
        <v>1009</v>
      </c>
      <c r="J1661" t="s">
        <v>143</v>
      </c>
      <c r="K1661" s="23">
        <v>-1000</v>
      </c>
      <c r="L1661" t="s">
        <v>24</v>
      </c>
      <c r="M1661" t="s">
        <v>25</v>
      </c>
    </row>
    <row r="1662" spans="1:13" hidden="1" x14ac:dyDescent="0.25">
      <c r="A1662" s="5">
        <v>45999</v>
      </c>
      <c r="B1662" t="s">
        <v>568</v>
      </c>
      <c r="C1662" t="s">
        <v>1212</v>
      </c>
      <c r="D1662" t="s">
        <v>56</v>
      </c>
      <c r="E1662" t="str">
        <f t="shared" si="33"/>
        <v>Honorários</v>
      </c>
      <c r="F1662" t="s">
        <v>1114</v>
      </c>
      <c r="G1662" t="s">
        <v>1114</v>
      </c>
      <c r="I1662" t="s">
        <v>605</v>
      </c>
      <c r="J1662" t="s">
        <v>143</v>
      </c>
      <c r="K1662" s="23">
        <v>1800.68</v>
      </c>
      <c r="L1662" t="s">
        <v>18</v>
      </c>
      <c r="M1662" t="s">
        <v>19</v>
      </c>
    </row>
    <row r="1663" spans="1:13" hidden="1" x14ac:dyDescent="0.25">
      <c r="A1663" s="5">
        <v>46006</v>
      </c>
      <c r="B1663" t="s">
        <v>569</v>
      </c>
      <c r="C1663" t="s">
        <v>479</v>
      </c>
      <c r="D1663" t="s">
        <v>1488</v>
      </c>
      <c r="E1663" t="str">
        <f t="shared" ref="E1663:E1694" si="34">IF(ISERROR(FIND("-",D1663,1)),D1663,LEFT(D1663,3))</f>
        <v>PES</v>
      </c>
      <c r="F1663" t="s">
        <v>1305</v>
      </c>
      <c r="G1663" t="s">
        <v>1305</v>
      </c>
      <c r="J1663" t="s">
        <v>143</v>
      </c>
      <c r="K1663" s="23">
        <v>-35</v>
      </c>
      <c r="L1663" t="s">
        <v>24</v>
      </c>
      <c r="M1663" t="s">
        <v>25</v>
      </c>
    </row>
    <row r="1664" spans="1:13" hidden="1" x14ac:dyDescent="0.25">
      <c r="A1664" s="5">
        <v>46003</v>
      </c>
      <c r="B1664" t="s">
        <v>569</v>
      </c>
      <c r="C1664" t="s">
        <v>1301</v>
      </c>
      <c r="D1664" t="s">
        <v>300</v>
      </c>
      <c r="E1664" t="str">
        <f t="shared" si="34"/>
        <v>VAR</v>
      </c>
      <c r="F1664" t="s">
        <v>1141</v>
      </c>
      <c r="G1664" t="s">
        <v>1141</v>
      </c>
      <c r="J1664" t="s">
        <v>143</v>
      </c>
      <c r="K1664" s="23">
        <v>-2500</v>
      </c>
      <c r="L1664" t="s">
        <v>24</v>
      </c>
      <c r="M1664" t="s">
        <v>25</v>
      </c>
    </row>
    <row r="1665" spans="1:13" hidden="1" x14ac:dyDescent="0.25">
      <c r="A1665" s="5">
        <v>46010</v>
      </c>
      <c r="B1665" t="s">
        <v>568</v>
      </c>
      <c r="C1665" t="s">
        <v>1335</v>
      </c>
      <c r="D1665" t="s">
        <v>198</v>
      </c>
      <c r="E1665" t="str">
        <f t="shared" si="34"/>
        <v>PES</v>
      </c>
      <c r="F1665" t="s">
        <v>1141</v>
      </c>
      <c r="G1665" t="s">
        <v>1141</v>
      </c>
      <c r="J1665" t="s">
        <v>143</v>
      </c>
      <c r="K1665" s="23">
        <v>-1110</v>
      </c>
      <c r="L1665" t="s">
        <v>24</v>
      </c>
      <c r="M1665" t="s">
        <v>25</v>
      </c>
    </row>
    <row r="1666" spans="1:13" hidden="1" x14ac:dyDescent="0.25">
      <c r="A1666" s="5">
        <v>46022</v>
      </c>
      <c r="B1666" t="s">
        <v>568</v>
      </c>
      <c r="C1666" t="s">
        <v>272</v>
      </c>
      <c r="D1666" t="s">
        <v>198</v>
      </c>
      <c r="E1666" t="str">
        <f t="shared" si="34"/>
        <v>PES</v>
      </c>
      <c r="F1666" t="s">
        <v>1141</v>
      </c>
      <c r="G1666" t="s">
        <v>1141</v>
      </c>
      <c r="J1666" t="s">
        <v>143</v>
      </c>
      <c r="K1666" s="23">
        <v>-1029.77</v>
      </c>
      <c r="L1666" t="s">
        <v>24</v>
      </c>
      <c r="M1666" t="s">
        <v>25</v>
      </c>
    </row>
    <row r="1667" spans="1:13" hidden="1" x14ac:dyDescent="0.25">
      <c r="A1667" s="5">
        <v>45992</v>
      </c>
      <c r="B1667" t="s">
        <v>568</v>
      </c>
      <c r="C1667" t="s">
        <v>1154</v>
      </c>
      <c r="D1667" t="s">
        <v>998</v>
      </c>
      <c r="E1667" t="str">
        <f t="shared" si="34"/>
        <v>ADM</v>
      </c>
      <c r="F1667" t="s">
        <v>1033</v>
      </c>
      <c r="G1667" t="s">
        <v>1033</v>
      </c>
      <c r="J1667" t="s">
        <v>143</v>
      </c>
      <c r="K1667" s="23">
        <v>-1000</v>
      </c>
      <c r="L1667" t="s">
        <v>24</v>
      </c>
      <c r="M1667" t="s">
        <v>25</v>
      </c>
    </row>
    <row r="1668" spans="1:13" hidden="1" x14ac:dyDescent="0.25">
      <c r="A1668" s="5">
        <v>46015</v>
      </c>
      <c r="B1668" t="s">
        <v>569</v>
      </c>
      <c r="C1668" t="s">
        <v>640</v>
      </c>
      <c r="D1668" t="s">
        <v>56</v>
      </c>
      <c r="E1668" t="str">
        <f t="shared" si="34"/>
        <v>Honorários</v>
      </c>
      <c r="F1668" t="s">
        <v>1349</v>
      </c>
      <c r="G1668" t="s">
        <v>1349</v>
      </c>
      <c r="I1668" t="s">
        <v>75</v>
      </c>
      <c r="J1668" t="s">
        <v>143</v>
      </c>
      <c r="K1668" s="23">
        <v>2273.4</v>
      </c>
      <c r="L1668" t="s">
        <v>18</v>
      </c>
      <c r="M1668" t="s">
        <v>19</v>
      </c>
    </row>
    <row r="1669" spans="1:13" hidden="1" x14ac:dyDescent="0.25">
      <c r="A1669" s="5">
        <v>46002</v>
      </c>
      <c r="B1669" t="s">
        <v>568</v>
      </c>
      <c r="C1669" t="s">
        <v>754</v>
      </c>
      <c r="D1669" t="s">
        <v>56</v>
      </c>
      <c r="E1669" t="str">
        <f t="shared" si="34"/>
        <v>Honorários</v>
      </c>
      <c r="F1669" t="s">
        <v>739</v>
      </c>
      <c r="G1669" t="s">
        <v>739</v>
      </c>
      <c r="I1669" t="s">
        <v>740</v>
      </c>
      <c r="J1669" t="s">
        <v>143</v>
      </c>
      <c r="K1669" s="23">
        <v>577.74</v>
      </c>
      <c r="L1669" t="s">
        <v>18</v>
      </c>
      <c r="M1669" t="s">
        <v>19</v>
      </c>
    </row>
    <row r="1670" spans="1:13" hidden="1" x14ac:dyDescent="0.25">
      <c r="A1670" s="5">
        <v>45993</v>
      </c>
      <c r="B1670" t="s">
        <v>569</v>
      </c>
      <c r="C1670" t="s">
        <v>1267</v>
      </c>
      <c r="D1670" t="s">
        <v>300</v>
      </c>
      <c r="E1670" t="str">
        <f t="shared" si="34"/>
        <v>VAR</v>
      </c>
      <c r="F1670" t="s">
        <v>1185</v>
      </c>
      <c r="G1670" t="s">
        <v>1185</v>
      </c>
      <c r="I1670" t="s">
        <v>236</v>
      </c>
      <c r="J1670" t="s">
        <v>143</v>
      </c>
      <c r="K1670" s="23">
        <v>-240.12</v>
      </c>
      <c r="L1670" t="s">
        <v>24</v>
      </c>
      <c r="M1670" t="s">
        <v>25</v>
      </c>
    </row>
    <row r="1671" spans="1:13" hidden="1" x14ac:dyDescent="0.25">
      <c r="A1671" s="5">
        <v>46015</v>
      </c>
      <c r="B1671" t="s">
        <v>568</v>
      </c>
      <c r="C1671" t="s">
        <v>1229</v>
      </c>
      <c r="D1671" t="s">
        <v>56</v>
      </c>
      <c r="E1671" t="str">
        <f t="shared" si="34"/>
        <v>Honorários</v>
      </c>
      <c r="F1671" t="s">
        <v>1131</v>
      </c>
      <c r="G1671" t="s">
        <v>1131</v>
      </c>
      <c r="I1671" t="s">
        <v>1132</v>
      </c>
      <c r="J1671" t="s">
        <v>143</v>
      </c>
      <c r="K1671" s="23">
        <v>327.7</v>
      </c>
      <c r="L1671" t="s">
        <v>18</v>
      </c>
      <c r="M1671" t="s">
        <v>83</v>
      </c>
    </row>
    <row r="1672" spans="1:13" hidden="1" x14ac:dyDescent="0.25">
      <c r="A1672" s="5">
        <v>45992</v>
      </c>
      <c r="B1672" t="s">
        <v>569</v>
      </c>
      <c r="C1672" t="s">
        <v>1259</v>
      </c>
      <c r="D1672" t="s">
        <v>28</v>
      </c>
      <c r="E1672" t="str">
        <f t="shared" si="34"/>
        <v>ADM</v>
      </c>
      <c r="F1672" t="s">
        <v>1260</v>
      </c>
      <c r="G1672" t="s">
        <v>1260</v>
      </c>
      <c r="J1672" t="s">
        <v>143</v>
      </c>
      <c r="K1672" s="23">
        <v>-123</v>
      </c>
      <c r="L1672" t="s">
        <v>24</v>
      </c>
      <c r="M1672" t="s">
        <v>25</v>
      </c>
    </row>
    <row r="1673" spans="1:13" hidden="1" x14ac:dyDescent="0.25">
      <c r="A1673" s="5">
        <v>45996</v>
      </c>
      <c r="B1673" t="s">
        <v>569</v>
      </c>
      <c r="C1673" t="s">
        <v>640</v>
      </c>
      <c r="D1673" t="s">
        <v>56</v>
      </c>
      <c r="E1673" t="str">
        <f t="shared" si="34"/>
        <v>Honorários</v>
      </c>
      <c r="F1673" t="s">
        <v>1188</v>
      </c>
      <c r="G1673" t="s">
        <v>1188</v>
      </c>
      <c r="I1673" t="s">
        <v>93</v>
      </c>
      <c r="J1673" t="s">
        <v>143</v>
      </c>
      <c r="K1673" s="23">
        <v>953.1</v>
      </c>
      <c r="L1673" t="s">
        <v>18</v>
      </c>
      <c r="M1673" t="s">
        <v>19</v>
      </c>
    </row>
    <row r="1674" spans="1:13" hidden="1" x14ac:dyDescent="0.25">
      <c r="A1674" s="30">
        <v>46007</v>
      </c>
      <c r="B1674" s="31" t="s">
        <v>568</v>
      </c>
      <c r="C1674" s="31" t="s">
        <v>1314</v>
      </c>
      <c r="D1674" s="31" t="s">
        <v>56</v>
      </c>
      <c r="E1674" s="31" t="str">
        <f t="shared" si="34"/>
        <v>Honorários</v>
      </c>
      <c r="F1674" s="31" t="s">
        <v>1315</v>
      </c>
      <c r="G1674" t="s">
        <v>1315</v>
      </c>
      <c r="I1674" t="s">
        <v>1316</v>
      </c>
      <c r="J1674" t="s">
        <v>143</v>
      </c>
      <c r="K1674" s="32">
        <v>97225.38</v>
      </c>
      <c r="L1674" s="31" t="s">
        <v>18</v>
      </c>
      <c r="M1674" s="31" t="s">
        <v>19</v>
      </c>
    </row>
    <row r="1675" spans="1:13" hidden="1" x14ac:dyDescent="0.25">
      <c r="A1675" s="30">
        <v>46007</v>
      </c>
      <c r="B1675" s="31" t="s">
        <v>568</v>
      </c>
      <c r="C1675" s="31" t="s">
        <v>1320</v>
      </c>
      <c r="D1675" s="31" t="s">
        <v>56</v>
      </c>
      <c r="E1675" s="31" t="str">
        <f t="shared" si="34"/>
        <v>Honorários</v>
      </c>
      <c r="F1675" s="31" t="s">
        <v>1315</v>
      </c>
      <c r="G1675" t="s">
        <v>1315</v>
      </c>
      <c r="I1675" t="s">
        <v>1316</v>
      </c>
      <c r="J1675" t="s">
        <v>143</v>
      </c>
      <c r="K1675" s="32">
        <v>48612.69</v>
      </c>
      <c r="L1675" s="31" t="s">
        <v>18</v>
      </c>
      <c r="M1675" s="31" t="s">
        <v>19</v>
      </c>
    </row>
    <row r="1676" spans="1:13" hidden="1" x14ac:dyDescent="0.25">
      <c r="A1676" s="30">
        <v>46008</v>
      </c>
      <c r="B1676" s="31" t="s">
        <v>568</v>
      </c>
      <c r="C1676" s="31" t="s">
        <v>1321</v>
      </c>
      <c r="D1676" s="31" t="s">
        <v>300</v>
      </c>
      <c r="E1676" s="31" t="str">
        <f t="shared" si="34"/>
        <v>VAR</v>
      </c>
      <c r="F1676" s="31" t="s">
        <v>1315</v>
      </c>
      <c r="G1676" t="s">
        <v>1315</v>
      </c>
      <c r="I1676" t="s">
        <v>1316</v>
      </c>
      <c r="J1676" t="s">
        <v>17</v>
      </c>
      <c r="K1676" s="32">
        <v>-17333.34</v>
      </c>
      <c r="L1676" s="31" t="s">
        <v>24</v>
      </c>
      <c r="M1676" s="31" t="s">
        <v>25</v>
      </c>
    </row>
    <row r="1677" spans="1:13" hidden="1" x14ac:dyDescent="0.25">
      <c r="A1677" s="30">
        <v>46008</v>
      </c>
      <c r="B1677" s="31" t="s">
        <v>568</v>
      </c>
      <c r="C1677" s="31" t="s">
        <v>1323</v>
      </c>
      <c r="D1677" s="31" t="s">
        <v>300</v>
      </c>
      <c r="E1677" s="31" t="str">
        <f t="shared" si="34"/>
        <v>VAR</v>
      </c>
      <c r="F1677" s="31" t="s">
        <v>1315</v>
      </c>
      <c r="G1677" t="s">
        <v>1315</v>
      </c>
      <c r="I1677" t="s">
        <v>1316</v>
      </c>
      <c r="J1677" t="s">
        <v>17</v>
      </c>
      <c r="K1677" s="32">
        <v>-34666.68</v>
      </c>
      <c r="L1677" s="31" t="s">
        <v>24</v>
      </c>
      <c r="M1677" s="31" t="s">
        <v>25</v>
      </c>
    </row>
    <row r="1678" spans="1:13" hidden="1" x14ac:dyDescent="0.25">
      <c r="A1678" s="5">
        <v>46013</v>
      </c>
      <c r="B1678" t="s">
        <v>569</v>
      </c>
      <c r="C1678" t="s">
        <v>1343</v>
      </c>
      <c r="D1678" t="s">
        <v>56</v>
      </c>
      <c r="E1678" t="str">
        <f t="shared" si="34"/>
        <v>Honorários</v>
      </c>
      <c r="F1678" t="s">
        <v>1344</v>
      </c>
      <c r="G1678" t="s">
        <v>1344</v>
      </c>
      <c r="I1678" t="s">
        <v>1345</v>
      </c>
      <c r="J1678" t="s">
        <v>143</v>
      </c>
      <c r="K1678" s="23">
        <v>448</v>
      </c>
      <c r="L1678" t="s">
        <v>18</v>
      </c>
      <c r="M1678" t="s">
        <v>19</v>
      </c>
    </row>
    <row r="1679" spans="1:13" hidden="1" x14ac:dyDescent="0.25">
      <c r="A1679" s="5">
        <v>46014</v>
      </c>
      <c r="B1679" t="s">
        <v>569</v>
      </c>
      <c r="C1679" t="s">
        <v>1347</v>
      </c>
      <c r="D1679" t="s">
        <v>300</v>
      </c>
      <c r="E1679" t="str">
        <f t="shared" si="34"/>
        <v>VAR</v>
      </c>
      <c r="F1679" t="s">
        <v>1344</v>
      </c>
      <c r="G1679" t="s">
        <v>1344</v>
      </c>
      <c r="I1679" t="s">
        <v>1345</v>
      </c>
      <c r="J1679" t="s">
        <v>143</v>
      </c>
      <c r="K1679" s="23">
        <v>-134.4</v>
      </c>
      <c r="L1679" t="s">
        <v>24</v>
      </c>
      <c r="M1679" t="s">
        <v>25</v>
      </c>
    </row>
    <row r="1680" spans="1:13" hidden="1" x14ac:dyDescent="0.25">
      <c r="A1680" s="5">
        <v>46013</v>
      </c>
      <c r="B1680" t="s">
        <v>568</v>
      </c>
      <c r="C1680" t="s">
        <v>351</v>
      </c>
      <c r="D1680" t="s">
        <v>302</v>
      </c>
      <c r="E1680" t="str">
        <f t="shared" si="34"/>
        <v>ADM</v>
      </c>
      <c r="F1680" t="s">
        <v>150</v>
      </c>
      <c r="G1680" t="s">
        <v>150</v>
      </c>
      <c r="J1680" t="s">
        <v>143</v>
      </c>
      <c r="K1680" s="23">
        <v>-125.57</v>
      </c>
      <c r="L1680" t="s">
        <v>24</v>
      </c>
      <c r="M1680" t="s">
        <v>25</v>
      </c>
    </row>
    <row r="1681" spans="1:13" hidden="1" x14ac:dyDescent="0.25">
      <c r="A1681" s="5">
        <v>45996</v>
      </c>
      <c r="B1681" t="s">
        <v>569</v>
      </c>
      <c r="C1681" t="s">
        <v>1289</v>
      </c>
      <c r="D1681" t="s">
        <v>149</v>
      </c>
      <c r="E1681" t="str">
        <f t="shared" si="34"/>
        <v>ADM</v>
      </c>
      <c r="F1681" t="s">
        <v>937</v>
      </c>
      <c r="G1681" t="s">
        <v>937</v>
      </c>
      <c r="J1681" t="s">
        <v>143</v>
      </c>
      <c r="K1681" s="23">
        <v>-90</v>
      </c>
      <c r="L1681" t="s">
        <v>24</v>
      </c>
      <c r="M1681" t="s">
        <v>25</v>
      </c>
    </row>
    <row r="1682" spans="1:13" hidden="1" x14ac:dyDescent="0.25">
      <c r="A1682" s="5">
        <v>45993</v>
      </c>
      <c r="B1682" t="s">
        <v>569</v>
      </c>
      <c r="C1682" t="s">
        <v>578</v>
      </c>
      <c r="D1682" t="s">
        <v>56</v>
      </c>
      <c r="E1682" t="str">
        <f t="shared" si="34"/>
        <v>Honorários</v>
      </c>
      <c r="F1682" t="s">
        <v>586</v>
      </c>
      <c r="G1682" t="s">
        <v>586</v>
      </c>
      <c r="I1682" t="s">
        <v>75</v>
      </c>
      <c r="J1682" t="s">
        <v>143</v>
      </c>
      <c r="K1682" s="23">
        <v>1366.2</v>
      </c>
      <c r="L1682" t="s">
        <v>18</v>
      </c>
      <c r="M1682" t="s">
        <v>19</v>
      </c>
    </row>
    <row r="1683" spans="1:13" hidden="1" x14ac:dyDescent="0.25">
      <c r="A1683" s="5">
        <v>46003</v>
      </c>
      <c r="B1683" t="s">
        <v>568</v>
      </c>
      <c r="C1683" t="s">
        <v>1304</v>
      </c>
      <c r="D1683" t="s">
        <v>56</v>
      </c>
      <c r="E1683" t="str">
        <f t="shared" si="34"/>
        <v>Honorários</v>
      </c>
      <c r="F1683" t="s">
        <v>586</v>
      </c>
      <c r="G1683" t="s">
        <v>586</v>
      </c>
      <c r="I1683" t="s">
        <v>587</v>
      </c>
      <c r="J1683" t="s">
        <v>17</v>
      </c>
      <c r="K1683" s="23">
        <v>8886.2900000000009</v>
      </c>
      <c r="L1683" t="s">
        <v>18</v>
      </c>
      <c r="M1683" t="s">
        <v>19</v>
      </c>
    </row>
    <row r="1684" spans="1:13" hidden="1" x14ac:dyDescent="0.25">
      <c r="A1684" s="5">
        <v>46001</v>
      </c>
      <c r="B1684" t="s">
        <v>569</v>
      </c>
      <c r="C1684" t="s">
        <v>805</v>
      </c>
      <c r="D1684" t="s">
        <v>56</v>
      </c>
      <c r="E1684" t="str">
        <f t="shared" si="34"/>
        <v>Honorários</v>
      </c>
      <c r="F1684" t="s">
        <v>766</v>
      </c>
      <c r="G1684" t="s">
        <v>766</v>
      </c>
      <c r="I1684" t="s">
        <v>75</v>
      </c>
      <c r="J1684" t="s">
        <v>143</v>
      </c>
      <c r="K1684" s="23">
        <v>1125.3399999999999</v>
      </c>
      <c r="L1684" t="s">
        <v>18</v>
      </c>
      <c r="M1684" t="s">
        <v>19</v>
      </c>
    </row>
    <row r="1685" spans="1:13" hidden="1" x14ac:dyDescent="0.25">
      <c r="A1685" s="5">
        <v>46009</v>
      </c>
      <c r="B1685" t="s">
        <v>569</v>
      </c>
      <c r="C1685" t="s">
        <v>1331</v>
      </c>
      <c r="D1685" t="s">
        <v>149</v>
      </c>
      <c r="E1685" t="str">
        <f t="shared" si="34"/>
        <v>ADM</v>
      </c>
      <c r="F1685" t="s">
        <v>1332</v>
      </c>
      <c r="G1685" t="s">
        <v>1332</v>
      </c>
      <c r="J1685" t="s">
        <v>143</v>
      </c>
      <c r="K1685" s="23">
        <v>-2500</v>
      </c>
      <c r="L1685" t="s">
        <v>24</v>
      </c>
      <c r="M1685" t="s">
        <v>25</v>
      </c>
    </row>
    <row r="1686" spans="1:13" hidden="1" x14ac:dyDescent="0.25">
      <c r="A1686" s="5">
        <v>45993</v>
      </c>
      <c r="B1686" t="s">
        <v>568</v>
      </c>
      <c r="C1686" t="s">
        <v>1251</v>
      </c>
      <c r="D1686" t="s">
        <v>56</v>
      </c>
      <c r="E1686" t="str">
        <f t="shared" si="34"/>
        <v>Honorários</v>
      </c>
      <c r="F1686" t="s">
        <v>723</v>
      </c>
      <c r="G1686" t="s">
        <v>723</v>
      </c>
      <c r="I1686" t="s">
        <v>724</v>
      </c>
      <c r="J1686" t="s">
        <v>143</v>
      </c>
      <c r="K1686" s="23">
        <v>500</v>
      </c>
      <c r="L1686" t="s">
        <v>18</v>
      </c>
      <c r="M1686" t="s">
        <v>83</v>
      </c>
    </row>
    <row r="1687" spans="1:13" hidden="1" x14ac:dyDescent="0.25">
      <c r="A1687" s="5">
        <v>46013</v>
      </c>
      <c r="B1687" t="s">
        <v>568</v>
      </c>
      <c r="C1687" t="s">
        <v>1336</v>
      </c>
      <c r="D1687" t="s">
        <v>39</v>
      </c>
      <c r="E1687" t="str">
        <f t="shared" si="34"/>
        <v>INV</v>
      </c>
      <c r="F1687" t="s">
        <v>1337</v>
      </c>
      <c r="G1687" t="s">
        <v>1337</v>
      </c>
      <c r="J1687" t="s">
        <v>143</v>
      </c>
      <c r="K1687" s="23">
        <v>-4133.1899999999996</v>
      </c>
      <c r="L1687" t="s">
        <v>24</v>
      </c>
      <c r="M1687" t="s">
        <v>25</v>
      </c>
    </row>
    <row r="1688" spans="1:13" hidden="1" x14ac:dyDescent="0.25">
      <c r="A1688" s="5">
        <v>46013</v>
      </c>
      <c r="B1688" t="s">
        <v>568</v>
      </c>
      <c r="C1688" t="s">
        <v>1186</v>
      </c>
      <c r="D1688" t="s">
        <v>56</v>
      </c>
      <c r="E1688" t="str">
        <f t="shared" si="34"/>
        <v>Honorários</v>
      </c>
      <c r="F1688" t="s">
        <v>1339</v>
      </c>
      <c r="G1688" t="s">
        <v>1339</v>
      </c>
      <c r="I1688" t="s">
        <v>1340</v>
      </c>
      <c r="J1688" t="s">
        <v>143</v>
      </c>
      <c r="K1688" s="23">
        <v>6600.25</v>
      </c>
      <c r="L1688" t="s">
        <v>18</v>
      </c>
      <c r="M1688" t="s">
        <v>19</v>
      </c>
    </row>
    <row r="1689" spans="1:13" hidden="1" x14ac:dyDescent="0.25">
      <c r="A1689" s="5">
        <v>46001</v>
      </c>
      <c r="B1689" t="s">
        <v>569</v>
      </c>
      <c r="C1689" t="s">
        <v>1296</v>
      </c>
      <c r="D1689" t="s">
        <v>56</v>
      </c>
      <c r="E1689" t="str">
        <f t="shared" si="34"/>
        <v>Honorários</v>
      </c>
      <c r="F1689" t="s">
        <v>81</v>
      </c>
      <c r="G1689" t="s">
        <v>81</v>
      </c>
      <c r="I1689" t="s">
        <v>82</v>
      </c>
      <c r="J1689" t="s">
        <v>143</v>
      </c>
      <c r="K1689" s="23">
        <v>500</v>
      </c>
      <c r="L1689" t="s">
        <v>18</v>
      </c>
      <c r="M1689" t="s">
        <v>19</v>
      </c>
    </row>
    <row r="1690" spans="1:13" hidden="1" x14ac:dyDescent="0.25">
      <c r="A1690" s="30">
        <v>46009</v>
      </c>
      <c r="B1690" s="31" t="s">
        <v>568</v>
      </c>
      <c r="C1690" s="31" t="s">
        <v>1324</v>
      </c>
      <c r="D1690" s="31" t="s">
        <v>56</v>
      </c>
      <c r="E1690" s="31" t="str">
        <f t="shared" si="34"/>
        <v>Honorários</v>
      </c>
      <c r="F1690" s="31" t="s">
        <v>1325</v>
      </c>
      <c r="G1690" t="s">
        <v>1325</v>
      </c>
      <c r="I1690" t="s">
        <v>1139</v>
      </c>
      <c r="J1690" t="s">
        <v>143</v>
      </c>
      <c r="K1690" s="32">
        <v>28171.86</v>
      </c>
      <c r="L1690" s="31" t="s">
        <v>18</v>
      </c>
      <c r="M1690" s="31" t="s">
        <v>19</v>
      </c>
    </row>
    <row r="1691" spans="1:13" hidden="1" x14ac:dyDescent="0.25">
      <c r="A1691" s="30">
        <v>46009</v>
      </c>
      <c r="B1691" s="31" t="s">
        <v>568</v>
      </c>
      <c r="C1691" s="31" t="s">
        <v>1326</v>
      </c>
      <c r="D1691" s="31" t="s">
        <v>56</v>
      </c>
      <c r="E1691" s="31" t="str">
        <f t="shared" si="34"/>
        <v>Honorários</v>
      </c>
      <c r="F1691" s="31" t="s">
        <v>1325</v>
      </c>
      <c r="G1691" t="s">
        <v>1325</v>
      </c>
      <c r="I1691" t="s">
        <v>196</v>
      </c>
      <c r="J1691" t="s">
        <v>143</v>
      </c>
      <c r="K1691" s="32">
        <v>256684.22</v>
      </c>
      <c r="L1691" s="31" t="s">
        <v>18</v>
      </c>
      <c r="M1691" s="31" t="s">
        <v>19</v>
      </c>
    </row>
    <row r="1692" spans="1:13" hidden="1" x14ac:dyDescent="0.25">
      <c r="A1692" s="30">
        <v>46009</v>
      </c>
      <c r="B1692" s="31" t="s">
        <v>568</v>
      </c>
      <c r="C1692" s="31" t="s">
        <v>1327</v>
      </c>
      <c r="D1692" s="31" t="s">
        <v>300</v>
      </c>
      <c r="E1692" s="31" t="str">
        <f t="shared" si="34"/>
        <v>VAR</v>
      </c>
      <c r="F1692" s="31" t="s">
        <v>1325</v>
      </c>
      <c r="G1692" t="s">
        <v>1325</v>
      </c>
      <c r="I1692" t="s">
        <v>1139</v>
      </c>
      <c r="J1692" t="s">
        <v>17</v>
      </c>
      <c r="K1692" s="32">
        <v>-12556.19</v>
      </c>
      <c r="L1692" s="31" t="s">
        <v>24</v>
      </c>
      <c r="M1692" s="31" t="s">
        <v>25</v>
      </c>
    </row>
    <row r="1693" spans="1:13" hidden="1" x14ac:dyDescent="0.25">
      <c r="A1693" s="30">
        <v>46014</v>
      </c>
      <c r="B1693" s="31" t="s">
        <v>568</v>
      </c>
      <c r="C1693" s="31" t="s">
        <v>1348</v>
      </c>
      <c r="D1693" s="31" t="s">
        <v>300</v>
      </c>
      <c r="E1693" s="31" t="str">
        <f t="shared" si="34"/>
        <v>VAR</v>
      </c>
      <c r="F1693" s="31" t="s">
        <v>1325</v>
      </c>
      <c r="G1693" t="s">
        <v>1325</v>
      </c>
      <c r="I1693" t="s">
        <v>196</v>
      </c>
      <c r="J1693" t="s">
        <v>17</v>
      </c>
      <c r="K1693" s="32">
        <v>-228052.73</v>
      </c>
      <c r="L1693" s="31" t="s">
        <v>24</v>
      </c>
      <c r="M1693" s="31" t="s">
        <v>25</v>
      </c>
    </row>
    <row r="1694" spans="1:13" hidden="1" x14ac:dyDescent="0.25">
      <c r="A1694" s="5">
        <v>46003</v>
      </c>
      <c r="B1694" t="s">
        <v>569</v>
      </c>
      <c r="C1694" t="s">
        <v>1301</v>
      </c>
      <c r="D1694" t="s">
        <v>300</v>
      </c>
      <c r="E1694" t="str">
        <f t="shared" si="34"/>
        <v>VAR</v>
      </c>
      <c r="F1694" t="s">
        <v>645</v>
      </c>
      <c r="G1694" t="s">
        <v>645</v>
      </c>
      <c r="J1694" t="s">
        <v>143</v>
      </c>
      <c r="K1694" s="23">
        <v>-2500</v>
      </c>
      <c r="L1694" t="s">
        <v>24</v>
      </c>
      <c r="M1694" t="s">
        <v>25</v>
      </c>
    </row>
    <row r="1695" spans="1:13" hidden="1" x14ac:dyDescent="0.25">
      <c r="A1695" s="5">
        <v>46010</v>
      </c>
      <c r="B1695" t="s">
        <v>568</v>
      </c>
      <c r="C1695" t="s">
        <v>1335</v>
      </c>
      <c r="D1695" t="s">
        <v>198</v>
      </c>
      <c r="E1695" t="str">
        <f t="shared" ref="E1695:E1726" si="35">IF(ISERROR(FIND("-",D1695,1)),D1695,LEFT(D1695,3))</f>
        <v>PES</v>
      </c>
      <c r="F1695" t="s">
        <v>645</v>
      </c>
      <c r="G1695" t="s">
        <v>645</v>
      </c>
      <c r="J1695" t="s">
        <v>143</v>
      </c>
      <c r="K1695" s="23">
        <v>-1567.2</v>
      </c>
      <c r="L1695" t="s">
        <v>24</v>
      </c>
      <c r="M1695" t="s">
        <v>25</v>
      </c>
    </row>
    <row r="1696" spans="1:13" hidden="1" x14ac:dyDescent="0.25">
      <c r="A1696" s="5">
        <v>46022</v>
      </c>
      <c r="B1696" t="s">
        <v>568</v>
      </c>
      <c r="C1696" t="s">
        <v>272</v>
      </c>
      <c r="D1696" t="s">
        <v>198</v>
      </c>
      <c r="E1696" t="str">
        <f t="shared" si="35"/>
        <v>PES</v>
      </c>
      <c r="F1696" t="s">
        <v>645</v>
      </c>
      <c r="G1696" t="s">
        <v>645</v>
      </c>
      <c r="J1696" t="s">
        <v>143</v>
      </c>
      <c r="K1696" s="23">
        <v>-1550</v>
      </c>
      <c r="L1696" t="s">
        <v>24</v>
      </c>
      <c r="M1696" t="s">
        <v>25</v>
      </c>
    </row>
    <row r="1697" spans="1:13" hidden="1" x14ac:dyDescent="0.25">
      <c r="A1697" s="5">
        <v>46001</v>
      </c>
      <c r="B1697" t="s">
        <v>569</v>
      </c>
      <c r="C1697" t="s">
        <v>1200</v>
      </c>
      <c r="D1697" t="s">
        <v>300</v>
      </c>
      <c r="E1697" t="str">
        <f t="shared" si="35"/>
        <v>VAR</v>
      </c>
      <c r="F1697" t="s">
        <v>617</v>
      </c>
      <c r="G1697" t="s">
        <v>617</v>
      </c>
      <c r="J1697" t="s">
        <v>143</v>
      </c>
      <c r="K1697" s="23">
        <v>-1500</v>
      </c>
      <c r="L1697" t="s">
        <v>24</v>
      </c>
      <c r="M1697" t="s">
        <v>25</v>
      </c>
    </row>
    <row r="1698" spans="1:13" hidden="1" x14ac:dyDescent="0.25">
      <c r="A1698" s="5">
        <v>46006</v>
      </c>
      <c r="B1698" t="s">
        <v>568</v>
      </c>
      <c r="C1698" t="s">
        <v>1306</v>
      </c>
      <c r="D1698" t="s">
        <v>658</v>
      </c>
      <c r="E1698" t="str">
        <f t="shared" si="35"/>
        <v>INV</v>
      </c>
      <c r="F1698" t="s">
        <v>1307</v>
      </c>
      <c r="G1698" t="s">
        <v>1307</v>
      </c>
      <c r="J1698" t="s">
        <v>143</v>
      </c>
      <c r="K1698" s="23">
        <v>240.02</v>
      </c>
      <c r="L1698" t="s">
        <v>18</v>
      </c>
      <c r="M1698" t="s">
        <v>19</v>
      </c>
    </row>
    <row r="1699" spans="1:13" hidden="1" x14ac:dyDescent="0.25">
      <c r="A1699" s="5">
        <v>45994</v>
      </c>
      <c r="B1699" t="s">
        <v>568</v>
      </c>
      <c r="C1699" t="s">
        <v>843</v>
      </c>
      <c r="D1699" t="s">
        <v>56</v>
      </c>
      <c r="E1699" t="str">
        <f t="shared" si="35"/>
        <v>Honorários</v>
      </c>
      <c r="F1699" t="s">
        <v>483</v>
      </c>
      <c r="G1699" t="s">
        <v>483</v>
      </c>
      <c r="I1699" t="s">
        <v>93</v>
      </c>
      <c r="J1699" t="s">
        <v>143</v>
      </c>
      <c r="K1699" s="23">
        <v>489.47999999999996</v>
      </c>
      <c r="L1699" t="s">
        <v>18</v>
      </c>
      <c r="M1699" t="s">
        <v>19</v>
      </c>
    </row>
    <row r="1700" spans="1:13" hidden="1" x14ac:dyDescent="0.25">
      <c r="A1700" s="5">
        <v>46001</v>
      </c>
      <c r="B1700" t="s">
        <v>569</v>
      </c>
      <c r="C1700" t="s">
        <v>1297</v>
      </c>
      <c r="D1700" t="s">
        <v>300</v>
      </c>
      <c r="E1700" t="str">
        <f t="shared" si="35"/>
        <v>VAR</v>
      </c>
      <c r="F1700" t="s">
        <v>483</v>
      </c>
      <c r="G1700" t="s">
        <v>483</v>
      </c>
      <c r="J1700" t="s">
        <v>143</v>
      </c>
      <c r="K1700" s="23">
        <v>-300</v>
      </c>
      <c r="L1700" t="s">
        <v>24</v>
      </c>
      <c r="M1700" t="s">
        <v>25</v>
      </c>
    </row>
    <row r="1701" spans="1:13" hidden="1" x14ac:dyDescent="0.25">
      <c r="A1701" s="5">
        <v>46021</v>
      </c>
      <c r="B1701" t="s">
        <v>568</v>
      </c>
      <c r="C1701" t="s">
        <v>1352</v>
      </c>
      <c r="D1701" t="s">
        <v>1070</v>
      </c>
      <c r="E1701" t="str">
        <f t="shared" si="35"/>
        <v>PES</v>
      </c>
      <c r="F1701" t="s">
        <v>1137</v>
      </c>
      <c r="G1701" t="s">
        <v>1137</v>
      </c>
      <c r="J1701" t="s">
        <v>143</v>
      </c>
      <c r="K1701" s="23">
        <v>-165.9</v>
      </c>
      <c r="L1701" t="s">
        <v>24</v>
      </c>
      <c r="M1701" t="s">
        <v>25</v>
      </c>
    </row>
    <row r="1702" spans="1:13" hidden="1" x14ac:dyDescent="0.25">
      <c r="A1702" s="5">
        <v>46021</v>
      </c>
      <c r="B1702" t="s">
        <v>568</v>
      </c>
      <c r="C1702" t="s">
        <v>1236</v>
      </c>
      <c r="D1702" t="s">
        <v>1070</v>
      </c>
      <c r="E1702" t="str">
        <f t="shared" si="35"/>
        <v>PES</v>
      </c>
      <c r="F1702" t="s">
        <v>1137</v>
      </c>
      <c r="G1702" t="s">
        <v>1137</v>
      </c>
      <c r="J1702" t="s">
        <v>143</v>
      </c>
      <c r="K1702" s="23">
        <v>-1202.5</v>
      </c>
      <c r="L1702" t="s">
        <v>24</v>
      </c>
      <c r="M1702" t="s">
        <v>25</v>
      </c>
    </row>
    <row r="1703" spans="1:13" hidden="1" x14ac:dyDescent="0.25">
      <c r="A1703" s="5">
        <v>46003</v>
      </c>
      <c r="B1703" t="s">
        <v>569</v>
      </c>
      <c r="C1703" t="s">
        <v>1303</v>
      </c>
      <c r="D1703" t="s">
        <v>300</v>
      </c>
      <c r="E1703" t="str">
        <f t="shared" si="35"/>
        <v>VAR</v>
      </c>
      <c r="F1703" t="s">
        <v>203</v>
      </c>
      <c r="G1703" t="s">
        <v>203</v>
      </c>
      <c r="J1703" t="s">
        <v>143</v>
      </c>
      <c r="K1703" s="23">
        <v>-1000</v>
      </c>
      <c r="L1703" t="s">
        <v>24</v>
      </c>
      <c r="M1703" t="s">
        <v>25</v>
      </c>
    </row>
    <row r="1704" spans="1:13" hidden="1" x14ac:dyDescent="0.25">
      <c r="A1704" s="5">
        <v>46021</v>
      </c>
      <c r="B1704" t="s">
        <v>569</v>
      </c>
      <c r="C1704" t="s">
        <v>272</v>
      </c>
      <c r="D1704" t="s">
        <v>198</v>
      </c>
      <c r="E1704" t="str">
        <f t="shared" si="35"/>
        <v>PES</v>
      </c>
      <c r="F1704" t="s">
        <v>203</v>
      </c>
      <c r="G1704" t="s">
        <v>203</v>
      </c>
      <c r="J1704" t="s">
        <v>143</v>
      </c>
      <c r="K1704" s="23">
        <v>-1518</v>
      </c>
      <c r="L1704" t="s">
        <v>24</v>
      </c>
      <c r="M1704" t="s">
        <v>25</v>
      </c>
    </row>
    <row r="1705" spans="1:13" hidden="1" x14ac:dyDescent="0.25">
      <c r="A1705" s="5">
        <v>46022</v>
      </c>
      <c r="B1705" t="s">
        <v>568</v>
      </c>
      <c r="C1705" t="s">
        <v>272</v>
      </c>
      <c r="D1705" t="s">
        <v>198</v>
      </c>
      <c r="E1705" t="str">
        <f t="shared" si="35"/>
        <v>PES</v>
      </c>
      <c r="F1705" t="s">
        <v>199</v>
      </c>
      <c r="G1705" t="s">
        <v>199</v>
      </c>
      <c r="J1705" t="s">
        <v>17</v>
      </c>
      <c r="K1705" s="23">
        <v>-2152.29</v>
      </c>
      <c r="L1705" t="s">
        <v>24</v>
      </c>
      <c r="M1705" t="s">
        <v>25</v>
      </c>
    </row>
    <row r="1706" spans="1:13" hidden="1" x14ac:dyDescent="0.25">
      <c r="A1706" s="5">
        <v>45994</v>
      </c>
      <c r="B1706" t="s">
        <v>569</v>
      </c>
      <c r="C1706" t="s">
        <v>1102</v>
      </c>
      <c r="D1706" t="s">
        <v>611</v>
      </c>
      <c r="E1706" t="str">
        <f t="shared" si="35"/>
        <v>COM</v>
      </c>
      <c r="F1706" t="s">
        <v>1056</v>
      </c>
      <c r="G1706" t="s">
        <v>1056</v>
      </c>
      <c r="J1706" t="s">
        <v>143</v>
      </c>
      <c r="K1706" s="23">
        <v>-231.81</v>
      </c>
      <c r="L1706" t="s">
        <v>24</v>
      </c>
      <c r="M1706" t="s">
        <v>25</v>
      </c>
    </row>
    <row r="1707" spans="1:13" hidden="1" x14ac:dyDescent="0.25">
      <c r="A1707" s="5">
        <v>45995</v>
      </c>
      <c r="B1707" t="s">
        <v>568</v>
      </c>
      <c r="C1707" t="s">
        <v>1282</v>
      </c>
      <c r="D1707" t="s">
        <v>215</v>
      </c>
      <c r="E1707" t="str">
        <f t="shared" si="35"/>
        <v>COM</v>
      </c>
      <c r="F1707" t="s">
        <v>1283</v>
      </c>
      <c r="G1707" t="s">
        <v>1283</v>
      </c>
      <c r="J1707" t="s">
        <v>143</v>
      </c>
      <c r="K1707" s="23">
        <v>-639.91999999999996</v>
      </c>
      <c r="L1707" t="s">
        <v>24</v>
      </c>
      <c r="M1707" t="s">
        <v>25</v>
      </c>
    </row>
    <row r="1708" spans="1:13" hidden="1" x14ac:dyDescent="0.25">
      <c r="A1708" s="5">
        <v>45992</v>
      </c>
      <c r="B1708" t="s">
        <v>568</v>
      </c>
      <c r="C1708" t="s">
        <v>61</v>
      </c>
      <c r="D1708" t="s">
        <v>62</v>
      </c>
      <c r="E1708" t="str">
        <f t="shared" si="35"/>
        <v>INV</v>
      </c>
      <c r="F1708" t="s">
        <v>63</v>
      </c>
      <c r="G1708" t="s">
        <v>63</v>
      </c>
      <c r="J1708" t="s">
        <v>17</v>
      </c>
      <c r="K1708" s="23">
        <v>-1750</v>
      </c>
      <c r="L1708" t="s">
        <v>24</v>
      </c>
      <c r="M1708" t="s">
        <v>25</v>
      </c>
    </row>
    <row r="1709" spans="1:13" hidden="1" x14ac:dyDescent="0.25">
      <c r="A1709" s="5">
        <v>45995</v>
      </c>
      <c r="B1709" t="s">
        <v>569</v>
      </c>
      <c r="C1709" t="s">
        <v>27</v>
      </c>
      <c r="D1709" t="s">
        <v>28</v>
      </c>
      <c r="E1709" t="str">
        <f t="shared" si="35"/>
        <v>ADM</v>
      </c>
      <c r="F1709" t="s">
        <v>1281</v>
      </c>
      <c r="G1709" t="s">
        <v>1281</v>
      </c>
      <c r="J1709" t="s">
        <v>143</v>
      </c>
      <c r="K1709" s="23">
        <v>-64.5</v>
      </c>
      <c r="L1709" t="s">
        <v>24</v>
      </c>
      <c r="M1709" t="s">
        <v>25</v>
      </c>
    </row>
    <row r="1710" spans="1:13" hidden="1" x14ac:dyDescent="0.25">
      <c r="A1710" s="5">
        <v>46010</v>
      </c>
      <c r="B1710" t="s">
        <v>568</v>
      </c>
      <c r="C1710" t="s">
        <v>1333</v>
      </c>
      <c r="D1710" t="s">
        <v>89</v>
      </c>
      <c r="E1710" t="str">
        <f t="shared" si="35"/>
        <v>ADM</v>
      </c>
      <c r="F1710" t="s">
        <v>546</v>
      </c>
      <c r="G1710" t="s">
        <v>546</v>
      </c>
      <c r="J1710" t="s">
        <v>143</v>
      </c>
      <c r="K1710" s="23">
        <v>-490.7</v>
      </c>
      <c r="L1710" t="s">
        <v>24</v>
      </c>
      <c r="M1710" t="s">
        <v>25</v>
      </c>
    </row>
    <row r="1711" spans="1:13" hidden="1" x14ac:dyDescent="0.25">
      <c r="A1711" s="5">
        <v>46021</v>
      </c>
      <c r="B1711" t="s">
        <v>569</v>
      </c>
      <c r="C1711" t="s">
        <v>272</v>
      </c>
      <c r="D1711" t="s">
        <v>198</v>
      </c>
      <c r="E1711" t="str">
        <f t="shared" si="35"/>
        <v>PES</v>
      </c>
      <c r="F1711" t="s">
        <v>209</v>
      </c>
      <c r="G1711" t="s">
        <v>209</v>
      </c>
      <c r="J1711" t="s">
        <v>17</v>
      </c>
      <c r="K1711" s="23">
        <v>-3500</v>
      </c>
      <c r="L1711" t="s">
        <v>24</v>
      </c>
      <c r="M1711" t="s">
        <v>25</v>
      </c>
    </row>
    <row r="1712" spans="1:13" hidden="1" x14ac:dyDescent="0.25">
      <c r="A1712" s="5">
        <v>46010</v>
      </c>
      <c r="B1712" t="s">
        <v>568</v>
      </c>
      <c r="C1712" t="s">
        <v>165</v>
      </c>
      <c r="D1712" t="s">
        <v>166</v>
      </c>
      <c r="E1712" t="str">
        <f t="shared" si="35"/>
        <v>PES</v>
      </c>
      <c r="F1712" t="s">
        <v>537</v>
      </c>
      <c r="G1712" t="s">
        <v>537</v>
      </c>
      <c r="J1712" t="s">
        <v>17</v>
      </c>
      <c r="K1712" s="23">
        <v>-4086</v>
      </c>
      <c r="L1712" t="s">
        <v>24</v>
      </c>
      <c r="M1712" t="s">
        <v>25</v>
      </c>
    </row>
    <row r="1713" spans="1:13" hidden="1" x14ac:dyDescent="0.25">
      <c r="A1713" s="5">
        <v>45996</v>
      </c>
      <c r="B1713" t="s">
        <v>569</v>
      </c>
      <c r="C1713" t="s">
        <v>1286</v>
      </c>
      <c r="D1713" t="s">
        <v>611</v>
      </c>
      <c r="E1713" t="str">
        <f t="shared" si="35"/>
        <v>COM</v>
      </c>
      <c r="F1713" t="s">
        <v>1287</v>
      </c>
      <c r="G1713" t="s">
        <v>1287</v>
      </c>
      <c r="J1713" t="s">
        <v>143</v>
      </c>
      <c r="K1713" s="23">
        <v>-318.54000000000002</v>
      </c>
      <c r="L1713" t="s">
        <v>24</v>
      </c>
      <c r="M1713" t="s">
        <v>25</v>
      </c>
    </row>
    <row r="1714" spans="1:13" hidden="1" x14ac:dyDescent="0.25">
      <c r="A1714" s="5">
        <v>46009</v>
      </c>
      <c r="B1714" t="s">
        <v>569</v>
      </c>
      <c r="C1714" t="s">
        <v>578</v>
      </c>
      <c r="D1714" t="s">
        <v>56</v>
      </c>
      <c r="E1714" t="str">
        <f t="shared" si="35"/>
        <v>Honorários</v>
      </c>
      <c r="F1714" t="s">
        <v>1255</v>
      </c>
      <c r="G1714" t="s">
        <v>1255</v>
      </c>
      <c r="I1714" t="s">
        <v>607</v>
      </c>
      <c r="J1714" t="s">
        <v>143</v>
      </c>
      <c r="K1714" s="23">
        <v>460</v>
      </c>
      <c r="L1714" t="s">
        <v>18</v>
      </c>
      <c r="M1714" t="s">
        <v>19</v>
      </c>
    </row>
    <row r="1715" spans="1:13" hidden="1" x14ac:dyDescent="0.25">
      <c r="A1715" s="5">
        <v>45995</v>
      </c>
      <c r="B1715" t="s">
        <v>569</v>
      </c>
      <c r="C1715" t="s">
        <v>1279</v>
      </c>
      <c r="D1715" t="s">
        <v>611</v>
      </c>
      <c r="E1715" t="str">
        <f t="shared" si="35"/>
        <v>COM</v>
      </c>
      <c r="F1715" t="s">
        <v>1280</v>
      </c>
      <c r="G1715" t="s">
        <v>1280</v>
      </c>
      <c r="J1715" t="s">
        <v>143</v>
      </c>
      <c r="K1715" s="23">
        <v>-200</v>
      </c>
      <c r="L1715" t="s">
        <v>24</v>
      </c>
      <c r="M1715" t="s">
        <v>25</v>
      </c>
    </row>
    <row r="1716" spans="1:13" hidden="1" x14ac:dyDescent="0.25">
      <c r="A1716" s="5">
        <v>46017</v>
      </c>
      <c r="B1716" t="s">
        <v>568</v>
      </c>
      <c r="C1716" t="s">
        <v>1350</v>
      </c>
      <c r="D1716" t="s">
        <v>508</v>
      </c>
      <c r="E1716" t="str">
        <f t="shared" si="35"/>
        <v>ADM</v>
      </c>
      <c r="F1716" t="s">
        <v>1351</v>
      </c>
      <c r="G1716" t="s">
        <v>1351</v>
      </c>
      <c r="J1716" t="s">
        <v>143</v>
      </c>
      <c r="K1716" s="23">
        <v>-745.67</v>
      </c>
      <c r="L1716" t="s">
        <v>24</v>
      </c>
      <c r="M1716" t="s">
        <v>25</v>
      </c>
    </row>
    <row r="1717" spans="1:13" hidden="1" x14ac:dyDescent="0.25">
      <c r="A1717" s="5">
        <v>46010</v>
      </c>
      <c r="B1717" t="s">
        <v>568</v>
      </c>
      <c r="C1717" t="s">
        <v>1335</v>
      </c>
      <c r="D1717" t="s">
        <v>198</v>
      </c>
      <c r="E1717" t="str">
        <f t="shared" si="35"/>
        <v>PES</v>
      </c>
      <c r="F1717" t="s">
        <v>831</v>
      </c>
      <c r="G1717" t="s">
        <v>831</v>
      </c>
      <c r="J1717" t="s">
        <v>143</v>
      </c>
      <c r="K1717" s="23">
        <v>-1539.44</v>
      </c>
      <c r="L1717" t="s">
        <v>24</v>
      </c>
      <c r="M1717" t="s">
        <v>25</v>
      </c>
    </row>
    <row r="1718" spans="1:13" hidden="1" x14ac:dyDescent="0.25">
      <c r="A1718" s="5">
        <v>46003</v>
      </c>
      <c r="B1718" t="s">
        <v>569</v>
      </c>
      <c r="C1718" t="s">
        <v>1301</v>
      </c>
      <c r="D1718" t="s">
        <v>300</v>
      </c>
      <c r="E1718" t="str">
        <f t="shared" si="35"/>
        <v>VAR</v>
      </c>
      <c r="F1718" t="s">
        <v>831</v>
      </c>
      <c r="G1718" t="s">
        <v>831</v>
      </c>
      <c r="J1718" t="s">
        <v>143</v>
      </c>
      <c r="K1718" s="23">
        <v>-2500</v>
      </c>
      <c r="L1718" t="s">
        <v>24</v>
      </c>
      <c r="M1718" t="s">
        <v>25</v>
      </c>
    </row>
    <row r="1719" spans="1:13" hidden="1" x14ac:dyDescent="0.25">
      <c r="A1719" s="5">
        <v>46022</v>
      </c>
      <c r="B1719" t="s">
        <v>568</v>
      </c>
      <c r="C1719" t="s">
        <v>272</v>
      </c>
      <c r="D1719" t="s">
        <v>198</v>
      </c>
      <c r="E1719" t="str">
        <f t="shared" si="35"/>
        <v>PES</v>
      </c>
      <c r="F1719" t="s">
        <v>831</v>
      </c>
      <c r="G1719" t="s">
        <v>831</v>
      </c>
      <c r="J1719" t="s">
        <v>143</v>
      </c>
      <c r="K1719" s="23">
        <v>-1523.21</v>
      </c>
      <c r="L1719" t="s">
        <v>24</v>
      </c>
      <c r="M1719" t="s">
        <v>25</v>
      </c>
    </row>
    <row r="1720" spans="1:13" hidden="1" x14ac:dyDescent="0.25">
      <c r="A1720" s="5">
        <v>46013</v>
      </c>
      <c r="B1720" t="s">
        <v>568</v>
      </c>
      <c r="C1720" t="s">
        <v>153</v>
      </c>
      <c r="D1720" t="s">
        <v>154</v>
      </c>
      <c r="E1720" t="str">
        <f t="shared" si="35"/>
        <v>ADM</v>
      </c>
      <c r="F1720" t="s">
        <v>155</v>
      </c>
      <c r="G1720" t="s">
        <v>155</v>
      </c>
      <c r="J1720" t="s">
        <v>17</v>
      </c>
      <c r="K1720" s="23">
        <v>-132.22999999999999</v>
      </c>
      <c r="L1720" t="s">
        <v>24</v>
      </c>
      <c r="M1720" t="s">
        <v>25</v>
      </c>
    </row>
    <row r="1721" spans="1:13" hidden="1" x14ac:dyDescent="0.25">
      <c r="A1721" s="5">
        <v>45995</v>
      </c>
      <c r="B1721" t="s">
        <v>569</v>
      </c>
      <c r="C1721" t="s">
        <v>1284</v>
      </c>
      <c r="D1721" t="s">
        <v>162</v>
      </c>
      <c r="E1721" t="str">
        <f t="shared" si="35"/>
        <v>COM</v>
      </c>
      <c r="F1721" t="s">
        <v>1285</v>
      </c>
      <c r="G1721" t="s">
        <v>1285</v>
      </c>
      <c r="J1721" t="s">
        <v>143</v>
      </c>
      <c r="K1721" s="23">
        <v>-1400</v>
      </c>
      <c r="L1721" t="s">
        <v>24</v>
      </c>
      <c r="M1721" t="s">
        <v>25</v>
      </c>
    </row>
    <row r="1722" spans="1:13" hidden="1" x14ac:dyDescent="0.25">
      <c r="A1722" s="5">
        <v>46000</v>
      </c>
      <c r="B1722" t="s">
        <v>569</v>
      </c>
      <c r="C1722" t="s">
        <v>1292</v>
      </c>
      <c r="D1722" t="s">
        <v>611</v>
      </c>
      <c r="E1722" t="str">
        <f t="shared" si="35"/>
        <v>COM</v>
      </c>
      <c r="F1722" t="s">
        <v>327</v>
      </c>
      <c r="G1722" t="s">
        <v>327</v>
      </c>
      <c r="J1722" t="s">
        <v>143</v>
      </c>
      <c r="K1722" s="23">
        <v>-346.76</v>
      </c>
      <c r="L1722" t="s">
        <v>24</v>
      </c>
      <c r="M1722" t="s">
        <v>25</v>
      </c>
    </row>
    <row r="1723" spans="1:13" hidden="1" x14ac:dyDescent="0.25">
      <c r="A1723" s="5">
        <v>46003</v>
      </c>
      <c r="B1723" t="s">
        <v>568</v>
      </c>
      <c r="C1723" t="s">
        <v>1302</v>
      </c>
      <c r="D1723" t="s">
        <v>201</v>
      </c>
      <c r="E1723" t="str">
        <f t="shared" si="35"/>
        <v>DIR</v>
      </c>
      <c r="F1723" t="s">
        <v>327</v>
      </c>
      <c r="G1723" t="s">
        <v>327</v>
      </c>
      <c r="J1723" t="s">
        <v>143</v>
      </c>
      <c r="K1723" s="23">
        <v>-30000</v>
      </c>
      <c r="L1723" t="s">
        <v>24</v>
      </c>
      <c r="M1723" t="s">
        <v>25</v>
      </c>
    </row>
    <row r="1724" spans="1:13" hidden="1" x14ac:dyDescent="0.25">
      <c r="A1724" s="5">
        <v>46022</v>
      </c>
      <c r="B1724" t="s">
        <v>568</v>
      </c>
      <c r="C1724" t="s">
        <v>484</v>
      </c>
      <c r="D1724" t="s">
        <v>207</v>
      </c>
      <c r="E1724" t="str">
        <f t="shared" si="35"/>
        <v>DIR</v>
      </c>
      <c r="F1724" t="s">
        <v>54</v>
      </c>
      <c r="G1724" t="s">
        <v>54</v>
      </c>
      <c r="J1724" t="s">
        <v>17</v>
      </c>
      <c r="K1724" s="23">
        <v>-1351.02</v>
      </c>
      <c r="L1724" t="s">
        <v>24</v>
      </c>
      <c r="M1724" t="s">
        <v>25</v>
      </c>
    </row>
    <row r="1725" spans="1:13" hidden="1" x14ac:dyDescent="0.25">
      <c r="A1725" s="5">
        <v>46022</v>
      </c>
      <c r="B1725" t="s">
        <v>569</v>
      </c>
      <c r="C1725" t="s">
        <v>200</v>
      </c>
      <c r="D1725" t="s">
        <v>201</v>
      </c>
      <c r="E1725" t="str">
        <f t="shared" si="35"/>
        <v>DIR</v>
      </c>
      <c r="F1725" t="s">
        <v>54</v>
      </c>
      <c r="G1725" t="s">
        <v>54</v>
      </c>
      <c r="J1725" t="s">
        <v>17</v>
      </c>
      <c r="K1725" s="23">
        <v>-6148.98</v>
      </c>
      <c r="L1725" t="s">
        <v>24</v>
      </c>
      <c r="M1725" t="s">
        <v>728</v>
      </c>
    </row>
    <row r="1726" spans="1:13" hidden="1" x14ac:dyDescent="0.25">
      <c r="A1726" s="5">
        <v>45993</v>
      </c>
      <c r="B1726" t="s">
        <v>569</v>
      </c>
      <c r="C1726" t="s">
        <v>1265</v>
      </c>
      <c r="D1726" t="s">
        <v>56</v>
      </c>
      <c r="E1726" t="str">
        <f t="shared" si="35"/>
        <v>Honorários</v>
      </c>
      <c r="F1726" t="s">
        <v>726</v>
      </c>
      <c r="G1726" t="s">
        <v>726</v>
      </c>
      <c r="I1726" t="s">
        <v>727</v>
      </c>
      <c r="J1726" t="s">
        <v>143</v>
      </c>
      <c r="K1726" s="23">
        <v>1114</v>
      </c>
      <c r="L1726" t="s">
        <v>18</v>
      </c>
      <c r="M1726" t="s">
        <v>19</v>
      </c>
    </row>
    <row r="1727" spans="1:13" hidden="1" x14ac:dyDescent="0.25">
      <c r="A1727" s="5">
        <v>46000</v>
      </c>
      <c r="B1727" t="s">
        <v>568</v>
      </c>
      <c r="C1727" t="s">
        <v>1293</v>
      </c>
      <c r="D1727" t="s">
        <v>149</v>
      </c>
      <c r="E1727" t="str">
        <f t="shared" ref="E1727:E1743" si="36">IF(ISERROR(FIND("-",D1727,1)),D1727,LEFT(D1727,3))</f>
        <v>ADM</v>
      </c>
      <c r="F1727" t="s">
        <v>1294</v>
      </c>
      <c r="G1727" t="s">
        <v>1294</v>
      </c>
      <c r="J1727" t="s">
        <v>143</v>
      </c>
      <c r="K1727" s="23">
        <v>-648.98</v>
      </c>
      <c r="L1727" t="s">
        <v>24</v>
      </c>
      <c r="M1727" t="s">
        <v>25</v>
      </c>
    </row>
    <row r="1728" spans="1:13" hidden="1" x14ac:dyDescent="0.25">
      <c r="A1728" s="5">
        <v>46010</v>
      </c>
      <c r="B1728" t="s">
        <v>568</v>
      </c>
      <c r="C1728" t="s">
        <v>151</v>
      </c>
      <c r="D1728" t="s">
        <v>152</v>
      </c>
      <c r="E1728" t="str">
        <f t="shared" si="36"/>
        <v>VAR</v>
      </c>
      <c r="F1728" t="s">
        <v>151</v>
      </c>
      <c r="G1728" t="s">
        <v>151</v>
      </c>
      <c r="J1728" t="s">
        <v>17</v>
      </c>
      <c r="K1728" s="23">
        <v>-11240.92</v>
      </c>
      <c r="L1728" t="s">
        <v>24</v>
      </c>
      <c r="M1728" t="s">
        <v>25</v>
      </c>
    </row>
    <row r="1729" spans="1:13" hidden="1" x14ac:dyDescent="0.25">
      <c r="A1729" s="5">
        <v>46009</v>
      </c>
      <c r="B1729" t="s">
        <v>569</v>
      </c>
      <c r="C1729" t="s">
        <v>1328</v>
      </c>
      <c r="D1729" t="s">
        <v>56</v>
      </c>
      <c r="E1729" t="str">
        <f t="shared" si="36"/>
        <v>Honorários</v>
      </c>
      <c r="F1729" t="s">
        <v>1329</v>
      </c>
      <c r="G1729" t="s">
        <v>1329</v>
      </c>
      <c r="I1729" t="s">
        <v>1330</v>
      </c>
      <c r="J1729" t="s">
        <v>143</v>
      </c>
      <c r="K1729" s="23">
        <v>171.61</v>
      </c>
      <c r="L1729" t="s">
        <v>18</v>
      </c>
      <c r="M1729" t="s">
        <v>19</v>
      </c>
    </row>
    <row r="1730" spans="1:13" hidden="1" x14ac:dyDescent="0.25">
      <c r="A1730" s="5">
        <v>46013</v>
      </c>
      <c r="B1730" t="s">
        <v>568</v>
      </c>
      <c r="C1730" t="s">
        <v>1186</v>
      </c>
      <c r="D1730" t="s">
        <v>56</v>
      </c>
      <c r="E1730" t="str">
        <f t="shared" si="36"/>
        <v>Honorários</v>
      </c>
      <c r="F1730" t="s">
        <v>322</v>
      </c>
      <c r="G1730" t="s">
        <v>322</v>
      </c>
      <c r="I1730" t="s">
        <v>323</v>
      </c>
      <c r="J1730" t="s">
        <v>143</v>
      </c>
      <c r="K1730" s="23">
        <v>13598.29</v>
      </c>
      <c r="L1730" t="s">
        <v>18</v>
      </c>
      <c r="M1730" t="s">
        <v>19</v>
      </c>
    </row>
    <row r="1731" spans="1:13" hidden="1" x14ac:dyDescent="0.25">
      <c r="A1731" s="5">
        <v>45994</v>
      </c>
      <c r="B1731" t="s">
        <v>568</v>
      </c>
      <c r="C1731" t="s">
        <v>1252</v>
      </c>
      <c r="D1731" t="s">
        <v>56</v>
      </c>
      <c r="E1731" t="str">
        <f t="shared" si="36"/>
        <v>Honorários</v>
      </c>
      <c r="F1731" t="s">
        <v>1253</v>
      </c>
      <c r="G1731" t="s">
        <v>1253</v>
      </c>
      <c r="I1731" t="s">
        <v>1254</v>
      </c>
      <c r="J1731" t="s">
        <v>143</v>
      </c>
      <c r="K1731" s="23">
        <v>272.01</v>
      </c>
      <c r="L1731" t="s">
        <v>18</v>
      </c>
      <c r="M1731" t="s">
        <v>83</v>
      </c>
    </row>
    <row r="1732" spans="1:13" hidden="1" x14ac:dyDescent="0.25">
      <c r="A1732" s="5">
        <v>45995</v>
      </c>
      <c r="B1732" t="s">
        <v>569</v>
      </c>
      <c r="C1732" t="s">
        <v>1278</v>
      </c>
      <c r="D1732" t="s">
        <v>28</v>
      </c>
      <c r="E1732" t="str">
        <f t="shared" si="36"/>
        <v>ADM</v>
      </c>
      <c r="F1732" t="s">
        <v>540</v>
      </c>
      <c r="G1732" t="s">
        <v>540</v>
      </c>
      <c r="J1732" t="s">
        <v>143</v>
      </c>
      <c r="K1732" s="23">
        <v>-141.22</v>
      </c>
      <c r="L1732" t="s">
        <v>24</v>
      </c>
      <c r="M1732" t="s">
        <v>25</v>
      </c>
    </row>
    <row r="1733" spans="1:13" hidden="1" x14ac:dyDescent="0.25">
      <c r="A1733" s="5">
        <v>46003</v>
      </c>
      <c r="B1733" t="s">
        <v>568</v>
      </c>
      <c r="C1733" t="s">
        <v>1302</v>
      </c>
      <c r="D1733" t="s">
        <v>201</v>
      </c>
      <c r="E1733" t="str">
        <f t="shared" si="36"/>
        <v>DIR</v>
      </c>
      <c r="F1733" t="s">
        <v>67</v>
      </c>
      <c r="G1733" t="s">
        <v>67</v>
      </c>
      <c r="J1733" t="s">
        <v>143</v>
      </c>
      <c r="K1733" s="23">
        <v>-20000</v>
      </c>
      <c r="L1733" t="s">
        <v>24</v>
      </c>
      <c r="M1733" t="s">
        <v>25</v>
      </c>
    </row>
    <row r="1734" spans="1:13" hidden="1" x14ac:dyDescent="0.25">
      <c r="A1734" s="5">
        <v>46014</v>
      </c>
      <c r="B1734" t="s">
        <v>569</v>
      </c>
      <c r="C1734" t="s">
        <v>1346</v>
      </c>
      <c r="D1734" t="s">
        <v>224</v>
      </c>
      <c r="E1734" t="str">
        <f t="shared" si="36"/>
        <v>COM</v>
      </c>
      <c r="F1734" t="s">
        <v>67</v>
      </c>
      <c r="G1734" t="s">
        <v>67</v>
      </c>
      <c r="J1734" t="s">
        <v>143</v>
      </c>
      <c r="K1734" s="23">
        <v>-325.2</v>
      </c>
      <c r="L1734" t="s">
        <v>24</v>
      </c>
      <c r="M1734" t="s">
        <v>25</v>
      </c>
    </row>
    <row r="1735" spans="1:13" hidden="1" x14ac:dyDescent="0.25">
      <c r="A1735" s="5">
        <v>46022</v>
      </c>
      <c r="B1735" t="s">
        <v>569</v>
      </c>
      <c r="C1735" t="s">
        <v>200</v>
      </c>
      <c r="D1735" t="s">
        <v>201</v>
      </c>
      <c r="E1735" t="str">
        <f t="shared" si="36"/>
        <v>DIR</v>
      </c>
      <c r="F1735" t="s">
        <v>67</v>
      </c>
      <c r="G1735" t="s">
        <v>67</v>
      </c>
      <c r="J1735" t="s">
        <v>17</v>
      </c>
      <c r="K1735" s="23">
        <v>-3648.98</v>
      </c>
      <c r="L1735" t="s">
        <v>24</v>
      </c>
      <c r="M1735" t="s">
        <v>728</v>
      </c>
    </row>
    <row r="1736" spans="1:13" hidden="1" x14ac:dyDescent="0.25">
      <c r="A1736" s="5">
        <v>46022</v>
      </c>
      <c r="B1736" t="s">
        <v>568</v>
      </c>
      <c r="C1736" t="s">
        <v>484</v>
      </c>
      <c r="D1736" t="s">
        <v>207</v>
      </c>
      <c r="E1736" t="str">
        <f t="shared" si="36"/>
        <v>DIR</v>
      </c>
      <c r="F1736" t="s">
        <v>67</v>
      </c>
      <c r="G1736" t="s">
        <v>67</v>
      </c>
      <c r="J1736" t="s">
        <v>17</v>
      </c>
      <c r="K1736" s="23">
        <v>-1351.02</v>
      </c>
      <c r="L1736" t="s">
        <v>24</v>
      </c>
      <c r="M1736" t="s">
        <v>25</v>
      </c>
    </row>
    <row r="1737" spans="1:13" hidden="1" x14ac:dyDescent="0.25">
      <c r="A1737" s="5">
        <v>46022</v>
      </c>
      <c r="B1737" t="s">
        <v>568</v>
      </c>
      <c r="C1737" t="s">
        <v>1353</v>
      </c>
      <c r="D1737" t="s">
        <v>149</v>
      </c>
      <c r="E1737" t="str">
        <f t="shared" si="36"/>
        <v>ADM</v>
      </c>
      <c r="F1737" t="s">
        <v>1354</v>
      </c>
      <c r="G1737" t="s">
        <v>1354</v>
      </c>
      <c r="J1737" t="s">
        <v>143</v>
      </c>
      <c r="K1737" s="23">
        <v>-402.12</v>
      </c>
      <c r="L1737" t="s">
        <v>24</v>
      </c>
      <c r="M1737" t="s">
        <v>25</v>
      </c>
    </row>
    <row r="1738" spans="1:13" hidden="1" x14ac:dyDescent="0.25">
      <c r="A1738" s="5">
        <v>45999</v>
      </c>
      <c r="B1738" t="s">
        <v>569</v>
      </c>
      <c r="C1738" t="s">
        <v>411</v>
      </c>
      <c r="D1738" t="s">
        <v>56</v>
      </c>
      <c r="E1738" t="str">
        <f t="shared" si="36"/>
        <v>Honorários</v>
      </c>
      <c r="F1738" t="s">
        <v>412</v>
      </c>
      <c r="G1738" t="s">
        <v>412</v>
      </c>
      <c r="I1738" t="s">
        <v>196</v>
      </c>
      <c r="J1738" t="s">
        <v>143</v>
      </c>
      <c r="K1738" s="23">
        <v>300</v>
      </c>
      <c r="L1738" t="s">
        <v>18</v>
      </c>
      <c r="M1738" t="s">
        <v>19</v>
      </c>
    </row>
    <row r="1739" spans="1:13" hidden="1" x14ac:dyDescent="0.25">
      <c r="A1739" s="5">
        <v>46013</v>
      </c>
      <c r="B1739" t="s">
        <v>568</v>
      </c>
      <c r="C1739" t="s">
        <v>1338</v>
      </c>
      <c r="D1739" t="s">
        <v>56</v>
      </c>
      <c r="E1739" t="str">
        <f t="shared" si="36"/>
        <v>Honorários</v>
      </c>
      <c r="F1739" t="s">
        <v>580</v>
      </c>
      <c r="G1739" t="s">
        <v>580</v>
      </c>
      <c r="I1739" t="s">
        <v>669</v>
      </c>
      <c r="J1739" t="s">
        <v>143</v>
      </c>
      <c r="K1739" s="23">
        <v>13363.47</v>
      </c>
      <c r="L1739" t="s">
        <v>18</v>
      </c>
      <c r="M1739" t="s">
        <v>19</v>
      </c>
    </row>
    <row r="1740" spans="1:13" hidden="1" x14ac:dyDescent="0.25">
      <c r="A1740" s="5">
        <v>46003</v>
      </c>
      <c r="B1740" t="s">
        <v>568</v>
      </c>
      <c r="C1740" t="s">
        <v>118</v>
      </c>
      <c r="D1740" t="s">
        <v>113</v>
      </c>
      <c r="E1740" t="str">
        <f t="shared" si="36"/>
        <v>ADM</v>
      </c>
      <c r="F1740" t="s">
        <v>114</v>
      </c>
      <c r="G1740" t="s">
        <v>114</v>
      </c>
      <c r="J1740" t="s">
        <v>17</v>
      </c>
      <c r="K1740" s="23">
        <v>-137.37</v>
      </c>
      <c r="L1740" t="s">
        <v>24</v>
      </c>
      <c r="M1740" t="s">
        <v>25</v>
      </c>
    </row>
    <row r="1741" spans="1:13" hidden="1" x14ac:dyDescent="0.25">
      <c r="A1741" s="5">
        <v>45999</v>
      </c>
      <c r="B1741" t="s">
        <v>568</v>
      </c>
      <c r="C1741" t="s">
        <v>437</v>
      </c>
      <c r="D1741" t="s">
        <v>113</v>
      </c>
      <c r="E1741" t="str">
        <f t="shared" si="36"/>
        <v>ADM</v>
      </c>
      <c r="F1741" t="s">
        <v>438</v>
      </c>
      <c r="G1741" t="s">
        <v>438</v>
      </c>
      <c r="J1741" t="s">
        <v>17</v>
      </c>
      <c r="K1741" s="23">
        <v>-260.58</v>
      </c>
      <c r="L1741" t="s">
        <v>24</v>
      </c>
      <c r="M1741" t="s">
        <v>25</v>
      </c>
    </row>
    <row r="1742" spans="1:13" hidden="1" x14ac:dyDescent="0.25">
      <c r="A1742" s="5">
        <v>46023</v>
      </c>
      <c r="B1742" t="s">
        <v>20</v>
      </c>
      <c r="C1742" t="s">
        <v>907</v>
      </c>
      <c r="D1742" t="s">
        <v>28</v>
      </c>
      <c r="E1742" t="str">
        <f t="shared" si="36"/>
        <v>ADM</v>
      </c>
      <c r="F1742" t="s">
        <v>23</v>
      </c>
      <c r="G1742" t="s">
        <v>23</v>
      </c>
      <c r="J1742" t="s">
        <v>143</v>
      </c>
      <c r="K1742" s="23">
        <v>-211.5</v>
      </c>
      <c r="L1742" t="s">
        <v>24</v>
      </c>
      <c r="M1742" t="s">
        <v>25</v>
      </c>
    </row>
    <row r="1743" spans="1:13" hidden="1" x14ac:dyDescent="0.25">
      <c r="A1743" s="5">
        <v>46023</v>
      </c>
      <c r="B1743" t="s">
        <v>20</v>
      </c>
      <c r="C1743" t="s">
        <v>1355</v>
      </c>
      <c r="D1743" t="s">
        <v>28</v>
      </c>
      <c r="E1743" t="str">
        <f t="shared" si="36"/>
        <v>ADM</v>
      </c>
      <c r="F1743" t="s">
        <v>23</v>
      </c>
      <c r="G1743" t="s">
        <v>23</v>
      </c>
      <c r="J1743" t="s">
        <v>143</v>
      </c>
      <c r="K1743" s="23">
        <v>-74.17</v>
      </c>
      <c r="L1743" t="s">
        <v>24</v>
      </c>
      <c r="M1743" t="s">
        <v>25</v>
      </c>
    </row>
    <row r="1744" spans="1:13" hidden="1" x14ac:dyDescent="0.25">
      <c r="A1744" s="5">
        <v>46023</v>
      </c>
      <c r="B1744" t="s">
        <v>20</v>
      </c>
      <c r="C1744" t="s">
        <v>1362</v>
      </c>
      <c r="D1744" t="s">
        <v>89</v>
      </c>
      <c r="E1744" t="str">
        <f t="shared" ref="E1744:E1775" si="37">IF(ISERROR(FIND("-",D1744,1)),D1744,LEFT(D1744,3))</f>
        <v>ADM</v>
      </c>
      <c r="F1744" t="s">
        <v>23</v>
      </c>
      <c r="G1744" t="s">
        <v>23</v>
      </c>
      <c r="J1744" t="s">
        <v>143</v>
      </c>
      <c r="K1744" s="23">
        <v>-39.92</v>
      </c>
      <c r="L1744" t="s">
        <v>24</v>
      </c>
      <c r="M1744" t="s">
        <v>25</v>
      </c>
    </row>
    <row r="1745" spans="1:13" hidden="1" x14ac:dyDescent="0.25">
      <c r="A1745" s="5">
        <v>46023</v>
      </c>
      <c r="B1745" t="s">
        <v>20</v>
      </c>
      <c r="C1745" t="s">
        <v>1028</v>
      </c>
      <c r="D1745" t="s">
        <v>215</v>
      </c>
      <c r="E1745" t="str">
        <f t="shared" si="37"/>
        <v>COM</v>
      </c>
      <c r="F1745" t="s">
        <v>23</v>
      </c>
      <c r="G1745" t="s">
        <v>23</v>
      </c>
      <c r="J1745" t="s">
        <v>143</v>
      </c>
      <c r="K1745" s="23">
        <v>-141.12</v>
      </c>
      <c r="L1745" t="s">
        <v>24</v>
      </c>
      <c r="M1745" t="s">
        <v>25</v>
      </c>
    </row>
    <row r="1746" spans="1:13" hidden="1" x14ac:dyDescent="0.25">
      <c r="A1746" s="5">
        <v>46023</v>
      </c>
      <c r="B1746" t="s">
        <v>20</v>
      </c>
      <c r="C1746" t="s">
        <v>1357</v>
      </c>
      <c r="D1746" t="s">
        <v>30</v>
      </c>
      <c r="E1746" t="str">
        <f t="shared" si="37"/>
        <v>ADM</v>
      </c>
      <c r="F1746" t="s">
        <v>23</v>
      </c>
      <c r="G1746" t="s">
        <v>23</v>
      </c>
      <c r="J1746" t="s">
        <v>143</v>
      </c>
      <c r="K1746" s="23">
        <v>-58.9</v>
      </c>
      <c r="L1746" t="s">
        <v>24</v>
      </c>
      <c r="M1746" t="s">
        <v>25</v>
      </c>
    </row>
    <row r="1747" spans="1:13" hidden="1" x14ac:dyDescent="0.25">
      <c r="A1747" s="5">
        <v>46023</v>
      </c>
      <c r="B1747" t="s">
        <v>20</v>
      </c>
      <c r="C1747" t="s">
        <v>1358</v>
      </c>
      <c r="D1747" t="s">
        <v>89</v>
      </c>
      <c r="E1747" t="str">
        <f t="shared" si="37"/>
        <v>ADM</v>
      </c>
      <c r="F1747" t="s">
        <v>23</v>
      </c>
      <c r="G1747" t="s">
        <v>23</v>
      </c>
      <c r="J1747" t="s">
        <v>143</v>
      </c>
      <c r="K1747" s="23">
        <v>-42.86</v>
      </c>
      <c r="L1747" t="s">
        <v>24</v>
      </c>
      <c r="M1747" t="s">
        <v>25</v>
      </c>
    </row>
    <row r="1748" spans="1:13" hidden="1" x14ac:dyDescent="0.25">
      <c r="A1748" s="5">
        <v>46023</v>
      </c>
      <c r="B1748" t="s">
        <v>20</v>
      </c>
      <c r="C1748" t="s">
        <v>1361</v>
      </c>
      <c r="D1748" t="s">
        <v>89</v>
      </c>
      <c r="E1748" t="str">
        <f t="shared" si="37"/>
        <v>ADM</v>
      </c>
      <c r="F1748" t="s">
        <v>23</v>
      </c>
      <c r="G1748" t="s">
        <v>23</v>
      </c>
      <c r="J1748" t="s">
        <v>143</v>
      </c>
      <c r="K1748" s="23">
        <v>-45</v>
      </c>
      <c r="L1748" t="s">
        <v>24</v>
      </c>
      <c r="M1748" t="s">
        <v>25</v>
      </c>
    </row>
    <row r="1749" spans="1:13" hidden="1" x14ac:dyDescent="0.25">
      <c r="A1749" s="5">
        <v>46023</v>
      </c>
      <c r="B1749" t="s">
        <v>20</v>
      </c>
      <c r="C1749" t="s">
        <v>1359</v>
      </c>
      <c r="D1749" t="s">
        <v>30</v>
      </c>
      <c r="E1749" t="str">
        <f t="shared" si="37"/>
        <v>ADM</v>
      </c>
      <c r="F1749" t="s">
        <v>23</v>
      </c>
      <c r="G1749" t="s">
        <v>23</v>
      </c>
      <c r="J1749" t="s">
        <v>143</v>
      </c>
      <c r="K1749" s="23">
        <v>-450</v>
      </c>
      <c r="L1749" t="s">
        <v>24</v>
      </c>
      <c r="M1749" t="s">
        <v>25</v>
      </c>
    </row>
    <row r="1750" spans="1:13" hidden="1" x14ac:dyDescent="0.25">
      <c r="A1750" s="5">
        <v>46023</v>
      </c>
      <c r="B1750" t="s">
        <v>20</v>
      </c>
      <c r="C1750" t="s">
        <v>1360</v>
      </c>
      <c r="D1750" t="s">
        <v>30</v>
      </c>
      <c r="E1750" t="str">
        <f t="shared" si="37"/>
        <v>ADM</v>
      </c>
      <c r="F1750" t="s">
        <v>23</v>
      </c>
      <c r="G1750" t="s">
        <v>23</v>
      </c>
      <c r="J1750" t="s">
        <v>143</v>
      </c>
      <c r="K1750" s="23">
        <v>-80.91</v>
      </c>
      <c r="L1750" t="s">
        <v>24</v>
      </c>
      <c r="M1750" t="s">
        <v>25</v>
      </c>
    </row>
    <row r="1751" spans="1:13" hidden="1" x14ac:dyDescent="0.25">
      <c r="A1751" s="5">
        <v>46023</v>
      </c>
      <c r="B1751" t="s">
        <v>20</v>
      </c>
      <c r="C1751" t="s">
        <v>45</v>
      </c>
      <c r="D1751" s="17" t="s">
        <v>15</v>
      </c>
      <c r="E1751" t="str">
        <f t="shared" si="37"/>
        <v>ADM</v>
      </c>
      <c r="F1751" t="s">
        <v>23</v>
      </c>
      <c r="G1751" t="s">
        <v>23</v>
      </c>
      <c r="J1751" t="s">
        <v>143</v>
      </c>
      <c r="K1751" s="23">
        <v>3182.15</v>
      </c>
      <c r="L1751" t="s">
        <v>18</v>
      </c>
      <c r="M1751" t="s">
        <v>19</v>
      </c>
    </row>
    <row r="1752" spans="1:13" hidden="1" x14ac:dyDescent="0.25">
      <c r="A1752" s="5">
        <v>46023</v>
      </c>
      <c r="B1752" t="s">
        <v>20</v>
      </c>
      <c r="C1752" t="s">
        <v>1365</v>
      </c>
      <c r="D1752" t="s">
        <v>89</v>
      </c>
      <c r="E1752" t="str">
        <f t="shared" si="37"/>
        <v>ADM</v>
      </c>
      <c r="F1752" t="s">
        <v>23</v>
      </c>
      <c r="G1752" t="s">
        <v>23</v>
      </c>
      <c r="J1752" t="s">
        <v>143</v>
      </c>
      <c r="K1752" s="23">
        <v>-60</v>
      </c>
      <c r="L1752" t="s">
        <v>24</v>
      </c>
      <c r="M1752" t="s">
        <v>25</v>
      </c>
    </row>
    <row r="1753" spans="1:13" hidden="1" x14ac:dyDescent="0.25">
      <c r="A1753" s="5">
        <v>46023</v>
      </c>
      <c r="B1753" t="s">
        <v>20</v>
      </c>
      <c r="C1753" t="s">
        <v>284</v>
      </c>
      <c r="D1753" t="s">
        <v>39</v>
      </c>
      <c r="E1753" t="str">
        <f t="shared" si="37"/>
        <v>INV</v>
      </c>
      <c r="F1753" t="s">
        <v>23</v>
      </c>
      <c r="G1753" t="s">
        <v>23</v>
      </c>
      <c r="H1753" t="s">
        <v>285</v>
      </c>
      <c r="J1753" t="s">
        <v>143</v>
      </c>
      <c r="K1753" s="23">
        <v>-333.24</v>
      </c>
      <c r="L1753" t="s">
        <v>24</v>
      </c>
      <c r="M1753" t="s">
        <v>25</v>
      </c>
    </row>
    <row r="1754" spans="1:13" hidden="1" x14ac:dyDescent="0.25">
      <c r="A1754" s="5">
        <v>46023</v>
      </c>
      <c r="B1754" t="s">
        <v>20</v>
      </c>
      <c r="C1754" t="s">
        <v>1357</v>
      </c>
      <c r="D1754" t="s">
        <v>30</v>
      </c>
      <c r="E1754" t="str">
        <f t="shared" si="37"/>
        <v>ADM</v>
      </c>
      <c r="F1754" t="s">
        <v>23</v>
      </c>
      <c r="G1754" t="s">
        <v>23</v>
      </c>
      <c r="J1754" t="s">
        <v>143</v>
      </c>
      <c r="K1754" s="23">
        <v>-58.9</v>
      </c>
      <c r="L1754" t="s">
        <v>24</v>
      </c>
      <c r="M1754" t="s">
        <v>25</v>
      </c>
    </row>
    <row r="1755" spans="1:13" hidden="1" x14ac:dyDescent="0.25">
      <c r="A1755" s="5">
        <v>46027</v>
      </c>
      <c r="B1755" t="s">
        <v>568</v>
      </c>
      <c r="C1755" t="s">
        <v>1376</v>
      </c>
      <c r="D1755" t="s">
        <v>39</v>
      </c>
      <c r="E1755" t="str">
        <f t="shared" si="37"/>
        <v>INV</v>
      </c>
      <c r="F1755" t="s">
        <v>1337</v>
      </c>
      <c r="G1755" t="s">
        <v>1337</v>
      </c>
      <c r="J1755" t="s">
        <v>143</v>
      </c>
      <c r="K1755" s="23">
        <v>-86.22</v>
      </c>
      <c r="L1755" t="s">
        <v>24</v>
      </c>
      <c r="M1755" t="s">
        <v>25</v>
      </c>
    </row>
    <row r="1756" spans="1:13" hidden="1" x14ac:dyDescent="0.25">
      <c r="A1756" s="5">
        <v>46023</v>
      </c>
      <c r="B1756" t="s">
        <v>20</v>
      </c>
      <c r="C1756" t="s">
        <v>1218</v>
      </c>
      <c r="D1756" t="s">
        <v>30</v>
      </c>
      <c r="E1756" t="str">
        <f t="shared" si="37"/>
        <v>ADM</v>
      </c>
      <c r="F1756" t="s">
        <v>23</v>
      </c>
      <c r="G1756" t="s">
        <v>23</v>
      </c>
      <c r="J1756" t="s">
        <v>143</v>
      </c>
      <c r="K1756" s="23">
        <v>-49.99</v>
      </c>
      <c r="L1756" t="s">
        <v>24</v>
      </c>
      <c r="M1756" t="s">
        <v>25</v>
      </c>
    </row>
    <row r="1757" spans="1:13" hidden="1" x14ac:dyDescent="0.25">
      <c r="A1757" s="5">
        <v>46031</v>
      </c>
      <c r="B1757" t="s">
        <v>1174</v>
      </c>
      <c r="C1757" t="s">
        <v>1178</v>
      </c>
      <c r="D1757" t="s">
        <v>89</v>
      </c>
      <c r="E1757" t="str">
        <f t="shared" si="37"/>
        <v>ADM</v>
      </c>
      <c r="F1757" t="s">
        <v>23</v>
      </c>
      <c r="G1757" t="s">
        <v>23</v>
      </c>
      <c r="J1757" t="s">
        <v>143</v>
      </c>
      <c r="K1757" s="23">
        <v>-94.04</v>
      </c>
      <c r="L1757" t="s">
        <v>24</v>
      </c>
      <c r="M1757" t="s">
        <v>25</v>
      </c>
    </row>
    <row r="1758" spans="1:13" hidden="1" x14ac:dyDescent="0.25">
      <c r="A1758" s="5">
        <v>46023</v>
      </c>
      <c r="B1758" t="s">
        <v>20</v>
      </c>
      <c r="C1758" t="s">
        <v>1364</v>
      </c>
      <c r="D1758" t="s">
        <v>30</v>
      </c>
      <c r="E1758" t="str">
        <f t="shared" si="37"/>
        <v>ADM</v>
      </c>
      <c r="F1758" t="s">
        <v>23</v>
      </c>
      <c r="G1758" t="s">
        <v>23</v>
      </c>
      <c r="J1758" t="s">
        <v>143</v>
      </c>
      <c r="K1758" s="23">
        <v>-59.9</v>
      </c>
      <c r="L1758" t="s">
        <v>24</v>
      </c>
      <c r="M1758" t="s">
        <v>25</v>
      </c>
    </row>
    <row r="1759" spans="1:13" hidden="1" x14ac:dyDescent="0.25">
      <c r="A1759" s="5">
        <v>46023</v>
      </c>
      <c r="B1759" t="s">
        <v>20</v>
      </c>
      <c r="C1759" t="s">
        <v>901</v>
      </c>
      <c r="D1759" t="s">
        <v>28</v>
      </c>
      <c r="E1759" t="str">
        <f t="shared" si="37"/>
        <v>ADM</v>
      </c>
      <c r="F1759" t="s">
        <v>23</v>
      </c>
      <c r="G1759" t="s">
        <v>23</v>
      </c>
      <c r="J1759" t="s">
        <v>143</v>
      </c>
      <c r="K1759" s="23">
        <v>-13</v>
      </c>
      <c r="L1759" t="s">
        <v>24</v>
      </c>
      <c r="M1759" t="s">
        <v>25</v>
      </c>
    </row>
    <row r="1760" spans="1:13" hidden="1" x14ac:dyDescent="0.25">
      <c r="A1760" s="5">
        <v>46023</v>
      </c>
      <c r="B1760" t="s">
        <v>20</v>
      </c>
      <c r="C1760" t="s">
        <v>540</v>
      </c>
      <c r="D1760" t="s">
        <v>89</v>
      </c>
      <c r="E1760" t="str">
        <f t="shared" si="37"/>
        <v>ADM</v>
      </c>
      <c r="F1760" t="s">
        <v>23</v>
      </c>
      <c r="G1760" t="s">
        <v>23</v>
      </c>
      <c r="J1760" t="s">
        <v>143</v>
      </c>
      <c r="K1760" s="23">
        <v>-104.7</v>
      </c>
      <c r="L1760" t="s">
        <v>24</v>
      </c>
      <c r="M1760" t="s">
        <v>25</v>
      </c>
    </row>
    <row r="1761" spans="1:13" hidden="1" x14ac:dyDescent="0.25">
      <c r="A1761" s="5">
        <v>46023</v>
      </c>
      <c r="B1761" t="s">
        <v>20</v>
      </c>
      <c r="C1761" t="s">
        <v>1356</v>
      </c>
      <c r="D1761" t="s">
        <v>39</v>
      </c>
      <c r="E1761" t="str">
        <f t="shared" si="37"/>
        <v>INV</v>
      </c>
      <c r="F1761" t="s">
        <v>23</v>
      </c>
      <c r="G1761" t="s">
        <v>23</v>
      </c>
      <c r="J1761" t="s">
        <v>143</v>
      </c>
      <c r="K1761" s="23">
        <v>-134.62</v>
      </c>
      <c r="L1761" t="s">
        <v>24</v>
      </c>
      <c r="M1761" t="s">
        <v>25</v>
      </c>
    </row>
    <row r="1762" spans="1:13" hidden="1" x14ac:dyDescent="0.25">
      <c r="A1762" s="5">
        <v>46035</v>
      </c>
      <c r="B1762" t="s">
        <v>568</v>
      </c>
      <c r="C1762" t="s">
        <v>1429</v>
      </c>
      <c r="D1762" t="s">
        <v>39</v>
      </c>
      <c r="E1762" t="str">
        <f t="shared" si="37"/>
        <v>INV</v>
      </c>
      <c r="F1762" t="s">
        <v>1337</v>
      </c>
      <c r="G1762" t="s">
        <v>1337</v>
      </c>
      <c r="J1762" t="s">
        <v>143</v>
      </c>
      <c r="K1762" s="23">
        <v>-185.98</v>
      </c>
      <c r="L1762" t="s">
        <v>24</v>
      </c>
      <c r="M1762" t="s">
        <v>25</v>
      </c>
    </row>
    <row r="1763" spans="1:13" hidden="1" x14ac:dyDescent="0.25">
      <c r="A1763" s="5">
        <v>46023</v>
      </c>
      <c r="B1763" t="s">
        <v>20</v>
      </c>
      <c r="C1763" t="s">
        <v>1257</v>
      </c>
      <c r="D1763" t="s">
        <v>30</v>
      </c>
      <c r="E1763" t="str">
        <f t="shared" si="37"/>
        <v>ADM</v>
      </c>
      <c r="F1763" t="s">
        <v>23</v>
      </c>
      <c r="G1763" t="s">
        <v>23</v>
      </c>
      <c r="J1763" t="s">
        <v>143</v>
      </c>
      <c r="K1763" s="23">
        <v>-32.9</v>
      </c>
      <c r="L1763" t="s">
        <v>24</v>
      </c>
      <c r="M1763" t="s">
        <v>25</v>
      </c>
    </row>
    <row r="1764" spans="1:13" hidden="1" x14ac:dyDescent="0.25">
      <c r="A1764" s="5">
        <v>46023</v>
      </c>
      <c r="B1764" t="s">
        <v>20</v>
      </c>
      <c r="C1764" t="s">
        <v>1367</v>
      </c>
      <c r="D1764" t="s">
        <v>215</v>
      </c>
      <c r="E1764" t="str">
        <f t="shared" si="37"/>
        <v>COM</v>
      </c>
      <c r="F1764" t="s">
        <v>23</v>
      </c>
      <c r="G1764" t="s">
        <v>23</v>
      </c>
      <c r="J1764" t="s">
        <v>143</v>
      </c>
      <c r="K1764" s="23">
        <v>-423.2</v>
      </c>
      <c r="L1764" t="s">
        <v>24</v>
      </c>
      <c r="M1764" t="s">
        <v>25</v>
      </c>
    </row>
    <row r="1765" spans="1:13" hidden="1" x14ac:dyDescent="0.25">
      <c r="A1765" s="5">
        <v>46023</v>
      </c>
      <c r="B1765" t="s">
        <v>20</v>
      </c>
      <c r="C1765" t="s">
        <v>46</v>
      </c>
      <c r="D1765" t="s">
        <v>30</v>
      </c>
      <c r="E1765" t="str">
        <f t="shared" si="37"/>
        <v>ADM</v>
      </c>
      <c r="F1765" t="s">
        <v>23</v>
      </c>
      <c r="G1765" t="s">
        <v>23</v>
      </c>
      <c r="J1765" t="s">
        <v>17</v>
      </c>
      <c r="K1765" s="23">
        <v>-119.9</v>
      </c>
      <c r="L1765" t="s">
        <v>24</v>
      </c>
      <c r="M1765" t="s">
        <v>25</v>
      </c>
    </row>
    <row r="1766" spans="1:13" hidden="1" x14ac:dyDescent="0.25">
      <c r="A1766" s="5">
        <v>46024</v>
      </c>
      <c r="B1766" t="s">
        <v>568</v>
      </c>
      <c r="C1766" t="s">
        <v>1154</v>
      </c>
      <c r="D1766" t="s">
        <v>998</v>
      </c>
      <c r="E1766" t="str">
        <f t="shared" si="37"/>
        <v>ADM</v>
      </c>
      <c r="F1766" t="s">
        <v>1033</v>
      </c>
      <c r="G1766" t="s">
        <v>1033</v>
      </c>
      <c r="J1766" t="s">
        <v>143</v>
      </c>
      <c r="K1766" s="23">
        <v>-1000</v>
      </c>
      <c r="L1766" t="s">
        <v>24</v>
      </c>
      <c r="M1766" t="s">
        <v>25</v>
      </c>
    </row>
    <row r="1767" spans="1:13" hidden="1" x14ac:dyDescent="0.25">
      <c r="A1767" s="5">
        <v>46024</v>
      </c>
      <c r="B1767" t="s">
        <v>568</v>
      </c>
      <c r="C1767" t="s">
        <v>1368</v>
      </c>
      <c r="D1767" t="s">
        <v>52</v>
      </c>
      <c r="E1767" t="str">
        <f t="shared" si="37"/>
        <v>ADM</v>
      </c>
      <c r="F1767" t="s">
        <v>53</v>
      </c>
      <c r="G1767" t="s">
        <v>53</v>
      </c>
      <c r="J1767" t="s">
        <v>143</v>
      </c>
      <c r="K1767" s="23">
        <v>-1518</v>
      </c>
      <c r="L1767" t="s">
        <v>24</v>
      </c>
      <c r="M1767" t="s">
        <v>25</v>
      </c>
    </row>
    <row r="1768" spans="1:13" hidden="1" x14ac:dyDescent="0.25">
      <c r="A1768" s="5">
        <v>46024</v>
      </c>
      <c r="B1768" t="s">
        <v>568</v>
      </c>
      <c r="C1768" t="s">
        <v>478</v>
      </c>
      <c r="D1768" t="s">
        <v>191</v>
      </c>
      <c r="E1768" t="str">
        <f t="shared" si="37"/>
        <v>ADM</v>
      </c>
      <c r="F1768" t="s">
        <v>380</v>
      </c>
      <c r="G1768" t="s">
        <v>380</v>
      </c>
      <c r="J1768" t="s">
        <v>17</v>
      </c>
      <c r="K1768" s="23">
        <v>-585.39</v>
      </c>
      <c r="L1768" t="s">
        <v>24</v>
      </c>
      <c r="M1768" t="s">
        <v>25</v>
      </c>
    </row>
    <row r="1769" spans="1:13" hidden="1" x14ac:dyDescent="0.25">
      <c r="A1769" s="5">
        <v>46024</v>
      </c>
      <c r="B1769" t="s">
        <v>568</v>
      </c>
      <c r="C1769" t="s">
        <v>481</v>
      </c>
      <c r="D1769" t="s">
        <v>191</v>
      </c>
      <c r="E1769" t="str">
        <f t="shared" si="37"/>
        <v>ADM</v>
      </c>
      <c r="F1769" t="s">
        <v>371</v>
      </c>
      <c r="G1769" t="s">
        <v>371</v>
      </c>
      <c r="J1769" t="s">
        <v>17</v>
      </c>
      <c r="K1769" s="23">
        <v>-696.05</v>
      </c>
      <c r="L1769" t="s">
        <v>24</v>
      </c>
      <c r="M1769" t="s">
        <v>25</v>
      </c>
    </row>
    <row r="1770" spans="1:13" hidden="1" x14ac:dyDescent="0.25">
      <c r="A1770" s="33">
        <v>46024</v>
      </c>
      <c r="B1770" s="17" t="s">
        <v>568</v>
      </c>
      <c r="C1770" s="17" t="s">
        <v>1369</v>
      </c>
      <c r="D1770" s="17" t="s">
        <v>62</v>
      </c>
      <c r="E1770" s="17" t="str">
        <f t="shared" si="37"/>
        <v>INV</v>
      </c>
      <c r="F1770" s="17" t="s">
        <v>63</v>
      </c>
      <c r="G1770" t="s">
        <v>63</v>
      </c>
      <c r="J1770" t="s">
        <v>143</v>
      </c>
      <c r="K1770" s="25">
        <v>-1750</v>
      </c>
      <c r="L1770" s="17" t="s">
        <v>24</v>
      </c>
      <c r="M1770" s="17" t="s">
        <v>25</v>
      </c>
    </row>
    <row r="1771" spans="1:13" x14ac:dyDescent="0.25">
      <c r="A1771" s="5">
        <v>46024</v>
      </c>
      <c r="B1771" t="s">
        <v>568</v>
      </c>
      <c r="C1771" t="s">
        <v>917</v>
      </c>
      <c r="D1771" t="s">
        <v>198</v>
      </c>
      <c r="E1771" t="str">
        <f t="shared" si="37"/>
        <v>PES</v>
      </c>
      <c r="F1771" t="s">
        <v>918</v>
      </c>
      <c r="G1771" t="s">
        <v>918</v>
      </c>
      <c r="J1771" t="s">
        <v>143</v>
      </c>
      <c r="K1771" s="23">
        <v>-1300</v>
      </c>
      <c r="L1771" t="s">
        <v>24</v>
      </c>
      <c r="M1771" t="s">
        <v>25</v>
      </c>
    </row>
    <row r="1772" spans="1:13" hidden="1" x14ac:dyDescent="0.25">
      <c r="A1772" s="5">
        <v>46024</v>
      </c>
      <c r="B1772" t="s">
        <v>568</v>
      </c>
      <c r="C1772" t="s">
        <v>1251</v>
      </c>
      <c r="D1772" t="s">
        <v>56</v>
      </c>
      <c r="E1772" t="str">
        <f t="shared" si="37"/>
        <v>Honorários</v>
      </c>
      <c r="F1772" t="s">
        <v>723</v>
      </c>
      <c r="G1772" t="s">
        <v>723</v>
      </c>
      <c r="I1772" t="s">
        <v>724</v>
      </c>
      <c r="J1772" t="s">
        <v>143</v>
      </c>
      <c r="K1772" s="23">
        <v>500</v>
      </c>
      <c r="L1772" t="s">
        <v>18</v>
      </c>
      <c r="M1772" t="s">
        <v>83</v>
      </c>
    </row>
    <row r="1773" spans="1:13" hidden="1" x14ac:dyDescent="0.25">
      <c r="A1773" s="5">
        <v>46027</v>
      </c>
      <c r="B1773" t="s">
        <v>568</v>
      </c>
      <c r="C1773" t="s">
        <v>1370</v>
      </c>
      <c r="D1773" s="17" t="s">
        <v>15</v>
      </c>
      <c r="E1773" t="str">
        <f t="shared" si="37"/>
        <v>ADM</v>
      </c>
      <c r="F1773" t="s">
        <v>23</v>
      </c>
      <c r="G1773" t="s">
        <v>23</v>
      </c>
      <c r="J1773" t="s">
        <v>143</v>
      </c>
      <c r="K1773" s="23">
        <v>-3182.15</v>
      </c>
      <c r="L1773" t="s">
        <v>24</v>
      </c>
      <c r="M1773" t="s">
        <v>25</v>
      </c>
    </row>
    <row r="1774" spans="1:13" hidden="1" x14ac:dyDescent="0.25">
      <c r="A1774" s="5">
        <v>46027</v>
      </c>
      <c r="B1774" t="s">
        <v>568</v>
      </c>
      <c r="C1774" t="s">
        <v>1371</v>
      </c>
      <c r="D1774" t="s">
        <v>96</v>
      </c>
      <c r="E1774" t="str">
        <f t="shared" si="37"/>
        <v>ADM</v>
      </c>
      <c r="F1774" t="s">
        <v>97</v>
      </c>
      <c r="G1774" t="s">
        <v>97</v>
      </c>
      <c r="J1774" t="s">
        <v>143</v>
      </c>
      <c r="K1774" s="23">
        <v>-65.94</v>
      </c>
      <c r="L1774" t="s">
        <v>24</v>
      </c>
      <c r="M1774" t="s">
        <v>25</v>
      </c>
    </row>
    <row r="1775" spans="1:13" hidden="1" x14ac:dyDescent="0.25">
      <c r="A1775" s="5">
        <v>46027</v>
      </c>
      <c r="B1775" t="s">
        <v>568</v>
      </c>
      <c r="C1775" t="s">
        <v>1372</v>
      </c>
      <c r="D1775" t="s">
        <v>96</v>
      </c>
      <c r="E1775" t="str">
        <f t="shared" si="37"/>
        <v>ADM</v>
      </c>
      <c r="F1775" t="s">
        <v>97</v>
      </c>
      <c r="G1775" t="s">
        <v>97</v>
      </c>
      <c r="J1775" t="s">
        <v>143</v>
      </c>
      <c r="K1775" s="23">
        <v>-1277.1400000000001</v>
      </c>
      <c r="L1775" t="s">
        <v>24</v>
      </c>
      <c r="M1775" t="s">
        <v>25</v>
      </c>
    </row>
    <row r="1776" spans="1:13" hidden="1" x14ac:dyDescent="0.25">
      <c r="A1776" s="5">
        <v>46027</v>
      </c>
      <c r="B1776" t="s">
        <v>568</v>
      </c>
      <c r="C1776" t="s">
        <v>1373</v>
      </c>
      <c r="D1776" t="s">
        <v>96</v>
      </c>
      <c r="E1776" t="str">
        <f t="shared" ref="E1776:E1807" si="38">IF(ISERROR(FIND("-",D1776,1)),D1776,LEFT(D1776,3))</f>
        <v>ADM</v>
      </c>
      <c r="F1776" t="s">
        <v>97</v>
      </c>
      <c r="G1776" t="s">
        <v>97</v>
      </c>
      <c r="J1776" t="s">
        <v>143</v>
      </c>
      <c r="K1776" s="23">
        <v>-1277.76</v>
      </c>
      <c r="L1776" t="s">
        <v>24</v>
      </c>
      <c r="M1776" t="s">
        <v>25</v>
      </c>
    </row>
    <row r="1777" spans="1:13" hidden="1" x14ac:dyDescent="0.25">
      <c r="A1777" s="5">
        <v>46027</v>
      </c>
      <c r="B1777" t="s">
        <v>568</v>
      </c>
      <c r="C1777" t="s">
        <v>1374</v>
      </c>
      <c r="D1777" t="s">
        <v>96</v>
      </c>
      <c r="E1777" t="str">
        <f t="shared" si="38"/>
        <v>ADM</v>
      </c>
      <c r="F1777" t="s">
        <v>97</v>
      </c>
      <c r="G1777" t="s">
        <v>97</v>
      </c>
      <c r="J1777" t="s">
        <v>143</v>
      </c>
      <c r="K1777" s="23">
        <v>-65.94</v>
      </c>
      <c r="L1777" t="s">
        <v>24</v>
      </c>
      <c r="M1777" t="s">
        <v>25</v>
      </c>
    </row>
    <row r="1778" spans="1:13" hidden="1" x14ac:dyDescent="0.25">
      <c r="A1778" s="5">
        <v>46027</v>
      </c>
      <c r="B1778" t="s">
        <v>568</v>
      </c>
      <c r="C1778" t="s">
        <v>1375</v>
      </c>
      <c r="D1778" t="s">
        <v>96</v>
      </c>
      <c r="E1778" t="str">
        <f t="shared" si="38"/>
        <v>ADM</v>
      </c>
      <c r="F1778" t="s">
        <v>97</v>
      </c>
      <c r="G1778" t="s">
        <v>97</v>
      </c>
      <c r="J1778" t="s">
        <v>143</v>
      </c>
      <c r="K1778" s="23">
        <v>-65.94</v>
      </c>
      <c r="L1778" t="s">
        <v>24</v>
      </c>
      <c r="M1778" t="s">
        <v>25</v>
      </c>
    </row>
    <row r="1779" spans="1:13" hidden="1" x14ac:dyDescent="0.25">
      <c r="A1779" s="5">
        <v>46027</v>
      </c>
      <c r="B1779" t="s">
        <v>569</v>
      </c>
      <c r="C1779" t="s">
        <v>914</v>
      </c>
      <c r="D1779" t="s">
        <v>56</v>
      </c>
      <c r="E1779" t="str">
        <f t="shared" si="38"/>
        <v>Honorários</v>
      </c>
      <c r="F1779" t="s">
        <v>726</v>
      </c>
      <c r="G1779" t="s">
        <v>726</v>
      </c>
      <c r="I1779" t="s">
        <v>727</v>
      </c>
      <c r="J1779" t="s">
        <v>143</v>
      </c>
      <c r="K1779" s="23">
        <v>557</v>
      </c>
      <c r="L1779" t="s">
        <v>18</v>
      </c>
      <c r="M1779" t="s">
        <v>19</v>
      </c>
    </row>
    <row r="1780" spans="1:13" hidden="1" x14ac:dyDescent="0.25">
      <c r="A1780" s="5">
        <v>46023</v>
      </c>
      <c r="B1780" t="s">
        <v>20</v>
      </c>
      <c r="C1780" t="s">
        <v>1366</v>
      </c>
      <c r="D1780" t="s">
        <v>89</v>
      </c>
      <c r="E1780" t="str">
        <f t="shared" si="38"/>
        <v>ADM</v>
      </c>
      <c r="F1780" t="s">
        <v>23</v>
      </c>
      <c r="G1780" t="s">
        <v>23</v>
      </c>
      <c r="J1780" t="s">
        <v>143</v>
      </c>
      <c r="K1780" s="23">
        <v>-252</v>
      </c>
      <c r="L1780" t="s">
        <v>24</v>
      </c>
      <c r="M1780" t="s">
        <v>25</v>
      </c>
    </row>
    <row r="1781" spans="1:13" hidden="1" x14ac:dyDescent="0.25">
      <c r="A1781" s="5">
        <v>46027</v>
      </c>
      <c r="B1781" t="s">
        <v>568</v>
      </c>
      <c r="C1781" t="s">
        <v>1377</v>
      </c>
      <c r="D1781" t="s">
        <v>96</v>
      </c>
      <c r="E1781" t="str">
        <f t="shared" si="38"/>
        <v>ADM</v>
      </c>
      <c r="F1781" t="s">
        <v>97</v>
      </c>
      <c r="G1781" t="s">
        <v>97</v>
      </c>
      <c r="J1781" t="s">
        <v>143</v>
      </c>
      <c r="K1781" s="23">
        <v>-65.94</v>
      </c>
      <c r="L1781" t="s">
        <v>24</v>
      </c>
      <c r="M1781" t="s">
        <v>25</v>
      </c>
    </row>
    <row r="1782" spans="1:13" hidden="1" x14ac:dyDescent="0.25">
      <c r="A1782" s="5">
        <v>46023</v>
      </c>
      <c r="B1782" t="s">
        <v>20</v>
      </c>
      <c r="C1782" t="s">
        <v>1363</v>
      </c>
      <c r="D1782" t="s">
        <v>39</v>
      </c>
      <c r="E1782" t="str">
        <f t="shared" si="38"/>
        <v>INV</v>
      </c>
      <c r="F1782" t="s">
        <v>23</v>
      </c>
      <c r="G1782" t="s">
        <v>23</v>
      </c>
      <c r="J1782" t="s">
        <v>143</v>
      </c>
      <c r="K1782" s="23">
        <v>-333.24</v>
      </c>
      <c r="L1782" t="s">
        <v>24</v>
      </c>
      <c r="M1782" t="s">
        <v>25</v>
      </c>
    </row>
    <row r="1783" spans="1:13" hidden="1" x14ac:dyDescent="0.25">
      <c r="A1783" s="5">
        <v>46027</v>
      </c>
      <c r="B1783" t="s">
        <v>568</v>
      </c>
      <c r="C1783" t="s">
        <v>1379</v>
      </c>
      <c r="D1783" t="s">
        <v>72</v>
      </c>
      <c r="E1783" t="str">
        <f t="shared" si="38"/>
        <v>FIN</v>
      </c>
      <c r="F1783" t="s">
        <v>23</v>
      </c>
      <c r="G1783" t="s">
        <v>23</v>
      </c>
      <c r="J1783" t="s">
        <v>143</v>
      </c>
      <c r="K1783" s="23">
        <v>-52.43</v>
      </c>
      <c r="L1783" t="s">
        <v>24</v>
      </c>
      <c r="M1783" t="s">
        <v>25</v>
      </c>
    </row>
    <row r="1784" spans="1:13" hidden="1" x14ac:dyDescent="0.25">
      <c r="A1784" s="5">
        <v>46027</v>
      </c>
      <c r="B1784" t="s">
        <v>568</v>
      </c>
      <c r="C1784" t="s">
        <v>1380</v>
      </c>
      <c r="D1784" t="s">
        <v>96</v>
      </c>
      <c r="E1784" t="str">
        <f t="shared" si="38"/>
        <v>ADM</v>
      </c>
      <c r="F1784" t="s">
        <v>97</v>
      </c>
      <c r="G1784" t="s">
        <v>97</v>
      </c>
      <c r="J1784" t="s">
        <v>143</v>
      </c>
      <c r="K1784" s="23">
        <v>-65.94</v>
      </c>
      <c r="L1784" t="s">
        <v>24</v>
      </c>
      <c r="M1784" t="s">
        <v>25</v>
      </c>
    </row>
    <row r="1785" spans="1:13" hidden="1" x14ac:dyDescent="0.25">
      <c r="A1785" s="5">
        <v>46028</v>
      </c>
      <c r="B1785" t="s">
        <v>568</v>
      </c>
      <c r="C1785" t="s">
        <v>1381</v>
      </c>
      <c r="D1785" t="s">
        <v>1070</v>
      </c>
      <c r="E1785" t="str">
        <f t="shared" si="38"/>
        <v>PES</v>
      </c>
      <c r="F1785" t="s">
        <v>1137</v>
      </c>
      <c r="G1785" t="s">
        <v>1137</v>
      </c>
      <c r="J1785" t="s">
        <v>143</v>
      </c>
      <c r="K1785" s="23">
        <v>-602.5</v>
      </c>
      <c r="L1785" t="s">
        <v>24</v>
      </c>
      <c r="M1785" t="s">
        <v>25</v>
      </c>
    </row>
    <row r="1786" spans="1:13" hidden="1" x14ac:dyDescent="0.25">
      <c r="A1786" s="5">
        <v>46028</v>
      </c>
      <c r="B1786" t="s">
        <v>569</v>
      </c>
      <c r="C1786" t="s">
        <v>27</v>
      </c>
      <c r="D1786" t="s">
        <v>28</v>
      </c>
      <c r="E1786" t="str">
        <f t="shared" si="38"/>
        <v>ADM</v>
      </c>
      <c r="F1786" t="s">
        <v>540</v>
      </c>
      <c r="G1786" t="s">
        <v>540</v>
      </c>
      <c r="J1786" t="s">
        <v>143</v>
      </c>
      <c r="K1786" s="23">
        <v>-64.569999999999993</v>
      </c>
      <c r="L1786" t="s">
        <v>24</v>
      </c>
      <c r="M1786" t="s">
        <v>25</v>
      </c>
    </row>
    <row r="1787" spans="1:13" hidden="1" x14ac:dyDescent="0.25">
      <c r="A1787" s="5">
        <v>46028</v>
      </c>
      <c r="B1787" t="s">
        <v>568</v>
      </c>
      <c r="C1787" t="s">
        <v>1382</v>
      </c>
      <c r="D1787" t="s">
        <v>113</v>
      </c>
      <c r="E1787" t="str">
        <f t="shared" si="38"/>
        <v>ADM</v>
      </c>
      <c r="F1787" t="s">
        <v>1383</v>
      </c>
      <c r="G1787" t="s">
        <v>1383</v>
      </c>
      <c r="J1787" t="s">
        <v>143</v>
      </c>
      <c r="K1787" s="23">
        <v>-140.29</v>
      </c>
      <c r="L1787" t="s">
        <v>24</v>
      </c>
      <c r="M1787" t="s">
        <v>25</v>
      </c>
    </row>
    <row r="1788" spans="1:13" hidden="1" x14ac:dyDescent="0.25">
      <c r="A1788" s="5">
        <v>46029</v>
      </c>
      <c r="B1788" t="s">
        <v>568</v>
      </c>
      <c r="C1788" t="s">
        <v>1384</v>
      </c>
      <c r="D1788" t="s">
        <v>56</v>
      </c>
      <c r="E1788" t="str">
        <f t="shared" si="38"/>
        <v>Honorários</v>
      </c>
      <c r="F1788" t="s">
        <v>1188</v>
      </c>
      <c r="G1788" t="s">
        <v>1188</v>
      </c>
      <c r="I1788" t="s">
        <v>93</v>
      </c>
      <c r="J1788" t="s">
        <v>143</v>
      </c>
      <c r="K1788" s="23">
        <v>452.54999999999995</v>
      </c>
      <c r="L1788" t="s">
        <v>18</v>
      </c>
      <c r="M1788" t="s">
        <v>19</v>
      </c>
    </row>
    <row r="1789" spans="1:13" hidden="1" x14ac:dyDescent="0.25">
      <c r="A1789" s="5">
        <v>46029</v>
      </c>
      <c r="B1789" t="s">
        <v>568</v>
      </c>
      <c r="C1789" t="s">
        <v>1385</v>
      </c>
      <c r="D1789" t="s">
        <v>30</v>
      </c>
      <c r="E1789" t="str">
        <f t="shared" si="38"/>
        <v>ADM</v>
      </c>
      <c r="F1789" t="s">
        <v>1386</v>
      </c>
      <c r="G1789" t="s">
        <v>1386</v>
      </c>
      <c r="J1789" t="s">
        <v>143</v>
      </c>
      <c r="K1789" s="23">
        <v>-40.71</v>
      </c>
      <c r="L1789" t="s">
        <v>24</v>
      </c>
      <c r="M1789" t="s">
        <v>25</v>
      </c>
    </row>
    <row r="1790" spans="1:13" hidden="1" x14ac:dyDescent="0.25">
      <c r="A1790" s="5">
        <v>46029</v>
      </c>
      <c r="B1790" t="s">
        <v>569</v>
      </c>
      <c r="C1790" t="s">
        <v>1387</v>
      </c>
      <c r="D1790" t="s">
        <v>300</v>
      </c>
      <c r="E1790" t="str">
        <f t="shared" si="38"/>
        <v>VAR</v>
      </c>
      <c r="F1790" t="s">
        <v>1388</v>
      </c>
      <c r="G1790" t="s">
        <v>1388</v>
      </c>
      <c r="I1790" t="s">
        <v>1139</v>
      </c>
      <c r="J1790" t="s">
        <v>143</v>
      </c>
      <c r="K1790" s="23">
        <v>-200</v>
      </c>
      <c r="L1790" t="s">
        <v>24</v>
      </c>
      <c r="M1790" t="s">
        <v>25</v>
      </c>
    </row>
    <row r="1791" spans="1:13" hidden="1" x14ac:dyDescent="0.25">
      <c r="A1791" s="5">
        <v>46029</v>
      </c>
      <c r="B1791" t="s">
        <v>569</v>
      </c>
      <c r="C1791" t="s">
        <v>1389</v>
      </c>
      <c r="D1791" t="s">
        <v>56</v>
      </c>
      <c r="E1791" t="str">
        <f t="shared" si="38"/>
        <v>Honorários</v>
      </c>
      <c r="F1791" t="s">
        <v>1388</v>
      </c>
      <c r="G1791" t="s">
        <v>1388</v>
      </c>
      <c r="I1791" t="s">
        <v>1139</v>
      </c>
      <c r="J1791" t="s">
        <v>143</v>
      </c>
      <c r="K1791" s="23">
        <v>400</v>
      </c>
      <c r="L1791" t="s">
        <v>18</v>
      </c>
      <c r="M1791" t="s">
        <v>19</v>
      </c>
    </row>
    <row r="1792" spans="1:13" hidden="1" x14ac:dyDescent="0.25">
      <c r="A1792" s="5">
        <v>46031</v>
      </c>
      <c r="B1792" t="s">
        <v>1174</v>
      </c>
      <c r="C1792" t="s">
        <v>1268</v>
      </c>
      <c r="D1792" t="s">
        <v>39</v>
      </c>
      <c r="E1792" t="str">
        <f t="shared" si="38"/>
        <v>INV</v>
      </c>
      <c r="F1792" t="s">
        <v>23</v>
      </c>
      <c r="G1792" t="s">
        <v>23</v>
      </c>
      <c r="J1792" t="s">
        <v>143</v>
      </c>
      <c r="K1792" s="23">
        <v>-353.75</v>
      </c>
      <c r="L1792" t="s">
        <v>24</v>
      </c>
      <c r="M1792" t="s">
        <v>25</v>
      </c>
    </row>
    <row r="1793" spans="1:13" hidden="1" x14ac:dyDescent="0.25">
      <c r="A1793" s="5">
        <v>46029</v>
      </c>
      <c r="B1793" t="s">
        <v>569</v>
      </c>
      <c r="C1793" t="s">
        <v>706</v>
      </c>
      <c r="D1793" t="s">
        <v>28</v>
      </c>
      <c r="E1793" t="str">
        <f t="shared" si="38"/>
        <v>ADM</v>
      </c>
      <c r="F1793" t="s">
        <v>491</v>
      </c>
      <c r="G1793" t="s">
        <v>491</v>
      </c>
      <c r="J1793" t="s">
        <v>143</v>
      </c>
      <c r="K1793" s="23">
        <v>-143.88999999999999</v>
      </c>
      <c r="L1793" t="s">
        <v>24</v>
      </c>
      <c r="M1793" t="s">
        <v>25</v>
      </c>
    </row>
    <row r="1794" spans="1:13" hidden="1" x14ac:dyDescent="0.25">
      <c r="A1794" s="5">
        <v>46031</v>
      </c>
      <c r="B1794" t="s">
        <v>1174</v>
      </c>
      <c r="C1794" t="s">
        <v>1399</v>
      </c>
      <c r="D1794" t="s">
        <v>39</v>
      </c>
      <c r="E1794" t="str">
        <f t="shared" si="38"/>
        <v>INV</v>
      </c>
      <c r="F1794" t="s">
        <v>23</v>
      </c>
      <c r="G1794" t="s">
        <v>23</v>
      </c>
      <c r="J1794" t="s">
        <v>143</v>
      </c>
      <c r="K1794" s="23">
        <v>-386</v>
      </c>
      <c r="L1794" t="s">
        <v>24</v>
      </c>
      <c r="M1794" t="s">
        <v>25</v>
      </c>
    </row>
    <row r="1795" spans="1:13" hidden="1" x14ac:dyDescent="0.25">
      <c r="A1795" s="5">
        <v>46030</v>
      </c>
      <c r="B1795" t="s">
        <v>569</v>
      </c>
      <c r="C1795" t="s">
        <v>1393</v>
      </c>
      <c r="D1795" t="s">
        <v>56</v>
      </c>
      <c r="E1795" t="str">
        <f t="shared" si="38"/>
        <v>Honorários</v>
      </c>
      <c r="F1795" t="s">
        <v>806</v>
      </c>
      <c r="G1795" t="s">
        <v>806</v>
      </c>
      <c r="I1795" t="s">
        <v>75</v>
      </c>
      <c r="J1795" t="s">
        <v>17</v>
      </c>
      <c r="K1795" s="23">
        <v>2500</v>
      </c>
      <c r="L1795" t="s">
        <v>18</v>
      </c>
      <c r="M1795" t="s">
        <v>19</v>
      </c>
    </row>
    <row r="1796" spans="1:13" hidden="1" x14ac:dyDescent="0.25">
      <c r="A1796" s="5">
        <v>46030</v>
      </c>
      <c r="B1796" t="s">
        <v>569</v>
      </c>
      <c r="C1796" t="s">
        <v>1252</v>
      </c>
      <c r="D1796" t="s">
        <v>56</v>
      </c>
      <c r="E1796" t="str">
        <f t="shared" si="38"/>
        <v>Honorários</v>
      </c>
      <c r="F1796" t="s">
        <v>1253</v>
      </c>
      <c r="G1796" t="s">
        <v>1253</v>
      </c>
      <c r="I1796" t="s">
        <v>1254</v>
      </c>
      <c r="J1796" t="s">
        <v>143</v>
      </c>
      <c r="K1796" s="23">
        <v>181.34</v>
      </c>
      <c r="L1796" t="s">
        <v>18</v>
      </c>
      <c r="M1796" t="s">
        <v>19</v>
      </c>
    </row>
    <row r="1797" spans="1:13" hidden="1" x14ac:dyDescent="0.25">
      <c r="A1797" s="5">
        <v>46030</v>
      </c>
      <c r="B1797" t="s">
        <v>569</v>
      </c>
      <c r="C1797" t="s">
        <v>1394</v>
      </c>
      <c r="D1797" t="s">
        <v>56</v>
      </c>
      <c r="E1797" t="str">
        <f t="shared" si="38"/>
        <v>Honorários</v>
      </c>
      <c r="F1797" t="s">
        <v>806</v>
      </c>
      <c r="G1797" t="s">
        <v>806</v>
      </c>
      <c r="I1797" t="s">
        <v>75</v>
      </c>
      <c r="J1797" t="s">
        <v>17</v>
      </c>
      <c r="K1797" s="23">
        <v>500</v>
      </c>
      <c r="L1797" t="s">
        <v>18</v>
      </c>
      <c r="M1797" t="s">
        <v>19</v>
      </c>
    </row>
    <row r="1798" spans="1:13" hidden="1" x14ac:dyDescent="0.25">
      <c r="A1798" s="5">
        <v>46030</v>
      </c>
      <c r="B1798" t="s">
        <v>569</v>
      </c>
      <c r="C1798" t="s">
        <v>1395</v>
      </c>
      <c r="D1798" t="s">
        <v>56</v>
      </c>
      <c r="E1798" t="str">
        <f t="shared" si="38"/>
        <v>Honorários</v>
      </c>
      <c r="F1798" t="s">
        <v>1299</v>
      </c>
      <c r="G1798" t="s">
        <v>1299</v>
      </c>
      <c r="I1798" t="s">
        <v>1139</v>
      </c>
      <c r="J1798" t="s">
        <v>143</v>
      </c>
      <c r="K1798" s="23">
        <v>1096.6300000000001</v>
      </c>
      <c r="L1798" t="s">
        <v>18</v>
      </c>
      <c r="M1798" t="s">
        <v>19</v>
      </c>
    </row>
    <row r="1799" spans="1:13" hidden="1" x14ac:dyDescent="0.25">
      <c r="A1799" s="5">
        <v>46030</v>
      </c>
      <c r="B1799" t="s">
        <v>568</v>
      </c>
      <c r="C1799" t="s">
        <v>1396</v>
      </c>
      <c r="D1799" t="s">
        <v>113</v>
      </c>
      <c r="E1799" t="str">
        <f t="shared" si="38"/>
        <v>ADM</v>
      </c>
      <c r="F1799" t="s">
        <v>1397</v>
      </c>
      <c r="G1799" t="s">
        <v>1397</v>
      </c>
      <c r="J1799" t="s">
        <v>143</v>
      </c>
      <c r="K1799" s="23">
        <v>-260.58</v>
      </c>
      <c r="L1799" t="s">
        <v>24</v>
      </c>
      <c r="M1799" t="s">
        <v>25</v>
      </c>
    </row>
    <row r="1800" spans="1:13" hidden="1" x14ac:dyDescent="0.25">
      <c r="A1800" s="5">
        <v>46030</v>
      </c>
      <c r="B1800" t="s">
        <v>569</v>
      </c>
      <c r="C1800" t="s">
        <v>1398</v>
      </c>
      <c r="D1800" t="s">
        <v>28</v>
      </c>
      <c r="E1800" t="str">
        <f t="shared" si="38"/>
        <v>ADM</v>
      </c>
      <c r="F1800" t="s">
        <v>875</v>
      </c>
      <c r="G1800" t="s">
        <v>875</v>
      </c>
      <c r="J1800" t="s">
        <v>143</v>
      </c>
      <c r="K1800" s="23">
        <v>-39.869999999999997</v>
      </c>
      <c r="L1800" t="s">
        <v>24</v>
      </c>
      <c r="M1800" t="s">
        <v>25</v>
      </c>
    </row>
    <row r="1801" spans="1:13" hidden="1" x14ac:dyDescent="0.25">
      <c r="A1801" s="5">
        <v>46023</v>
      </c>
      <c r="B1801" t="s">
        <v>20</v>
      </c>
      <c r="C1801" t="s">
        <v>1258</v>
      </c>
      <c r="D1801" t="s">
        <v>89</v>
      </c>
      <c r="E1801" t="str">
        <f t="shared" si="38"/>
        <v>ADM</v>
      </c>
      <c r="F1801" t="s">
        <v>23</v>
      </c>
      <c r="G1801" t="s">
        <v>23</v>
      </c>
      <c r="J1801" t="s">
        <v>143</v>
      </c>
      <c r="K1801" s="23">
        <v>-395.42</v>
      </c>
      <c r="L1801" t="s">
        <v>24</v>
      </c>
      <c r="M1801" t="s">
        <v>25</v>
      </c>
    </row>
    <row r="1802" spans="1:13" hidden="1" x14ac:dyDescent="0.25">
      <c r="A1802" s="5">
        <v>46048</v>
      </c>
      <c r="B1802" t="s">
        <v>568</v>
      </c>
      <c r="C1802" s="17" t="s">
        <v>1464</v>
      </c>
      <c r="D1802" t="s">
        <v>1487</v>
      </c>
      <c r="E1802" t="str">
        <f t="shared" si="38"/>
        <v>INV</v>
      </c>
      <c r="F1802" t="s">
        <v>1465</v>
      </c>
      <c r="G1802" t="s">
        <v>1465</v>
      </c>
      <c r="J1802" t="s">
        <v>143</v>
      </c>
      <c r="K1802" s="23">
        <v>-900</v>
      </c>
      <c r="L1802" t="s">
        <v>24</v>
      </c>
      <c r="M1802" t="s">
        <v>25</v>
      </c>
    </row>
    <row r="1803" spans="1:13" hidden="1" x14ac:dyDescent="0.25">
      <c r="A1803" s="5">
        <v>46045</v>
      </c>
      <c r="B1803" t="s">
        <v>568</v>
      </c>
      <c r="C1803" s="17" t="s">
        <v>1463</v>
      </c>
      <c r="D1803" t="s">
        <v>1487</v>
      </c>
      <c r="E1803" t="str">
        <f t="shared" si="38"/>
        <v>INV</v>
      </c>
      <c r="F1803" t="s">
        <v>1453</v>
      </c>
      <c r="G1803" t="s">
        <v>1453</v>
      </c>
      <c r="J1803" t="s">
        <v>143</v>
      </c>
      <c r="K1803" s="23">
        <v>-56.4</v>
      </c>
      <c r="L1803" t="s">
        <v>24</v>
      </c>
      <c r="M1803" t="s">
        <v>25</v>
      </c>
    </row>
    <row r="1804" spans="1:13" hidden="1" x14ac:dyDescent="0.25">
      <c r="A1804" s="5">
        <v>46031</v>
      </c>
      <c r="B1804" t="s">
        <v>33</v>
      </c>
      <c r="C1804" t="s">
        <v>1173</v>
      </c>
      <c r="D1804" t="s">
        <v>224</v>
      </c>
      <c r="E1804" t="str">
        <f t="shared" si="38"/>
        <v>COM</v>
      </c>
      <c r="F1804" t="s">
        <v>23</v>
      </c>
      <c r="G1804" t="s">
        <v>23</v>
      </c>
      <c r="J1804" t="s">
        <v>143</v>
      </c>
      <c r="K1804" s="23">
        <v>-271.8</v>
      </c>
      <c r="L1804" t="s">
        <v>24</v>
      </c>
      <c r="M1804" t="s">
        <v>25</v>
      </c>
    </row>
    <row r="1805" spans="1:13" hidden="1" x14ac:dyDescent="0.25">
      <c r="A1805" s="5">
        <v>46031</v>
      </c>
      <c r="B1805" t="s">
        <v>33</v>
      </c>
      <c r="C1805" t="s">
        <v>671</v>
      </c>
      <c r="D1805" s="17" t="s">
        <v>15</v>
      </c>
      <c r="E1805" t="str">
        <f t="shared" si="38"/>
        <v>ADM</v>
      </c>
      <c r="F1805" t="s">
        <v>23</v>
      </c>
      <c r="G1805" t="s">
        <v>23</v>
      </c>
      <c r="J1805" t="s">
        <v>143</v>
      </c>
      <c r="K1805" s="23">
        <v>1594.41</v>
      </c>
      <c r="L1805" t="s">
        <v>18</v>
      </c>
      <c r="M1805" t="s">
        <v>19</v>
      </c>
    </row>
    <row r="1806" spans="1:13" hidden="1" x14ac:dyDescent="0.25">
      <c r="A1806" s="5">
        <v>46031</v>
      </c>
      <c r="B1806" t="s">
        <v>568</v>
      </c>
      <c r="C1806" t="s">
        <v>1181</v>
      </c>
      <c r="D1806" s="17" t="s">
        <v>15</v>
      </c>
      <c r="E1806" t="str">
        <f t="shared" si="38"/>
        <v>ADM</v>
      </c>
      <c r="F1806" t="s">
        <v>23</v>
      </c>
      <c r="G1806" t="s">
        <v>23</v>
      </c>
      <c r="J1806" t="s">
        <v>143</v>
      </c>
      <c r="K1806" s="23">
        <v>-4836.59</v>
      </c>
      <c r="L1806" t="s">
        <v>24</v>
      </c>
      <c r="M1806" t="s">
        <v>25</v>
      </c>
    </row>
    <row r="1807" spans="1:13" hidden="1" x14ac:dyDescent="0.25">
      <c r="A1807" s="5">
        <v>46031</v>
      </c>
      <c r="B1807" t="s">
        <v>1174</v>
      </c>
      <c r="C1807" t="s">
        <v>1402</v>
      </c>
      <c r="D1807" t="s">
        <v>28</v>
      </c>
      <c r="E1807" t="str">
        <f t="shared" si="38"/>
        <v>ADM</v>
      </c>
      <c r="F1807" t="s">
        <v>23</v>
      </c>
      <c r="G1807" t="s">
        <v>23</v>
      </c>
      <c r="J1807" t="s">
        <v>143</v>
      </c>
      <c r="K1807" s="23">
        <v>-60</v>
      </c>
      <c r="L1807" t="s">
        <v>24</v>
      </c>
      <c r="M1807" t="s">
        <v>25</v>
      </c>
    </row>
    <row r="1808" spans="1:13" hidden="1" x14ac:dyDescent="0.25">
      <c r="A1808" s="5">
        <v>46031</v>
      </c>
      <c r="B1808" t="s">
        <v>33</v>
      </c>
      <c r="C1808" t="s">
        <v>1057</v>
      </c>
      <c r="D1808" t="s">
        <v>224</v>
      </c>
      <c r="E1808" t="str">
        <f t="shared" ref="E1808:E1839" si="39">IF(ISERROR(FIND("-",D1808,1)),D1808,LEFT(D1808,3))</f>
        <v>COM</v>
      </c>
      <c r="F1808" t="s">
        <v>23</v>
      </c>
      <c r="G1808" t="s">
        <v>23</v>
      </c>
      <c r="J1808" t="s">
        <v>143</v>
      </c>
      <c r="K1808" s="23">
        <v>-236.1</v>
      </c>
      <c r="L1808" t="s">
        <v>24</v>
      </c>
      <c r="M1808" t="s">
        <v>25</v>
      </c>
    </row>
    <row r="1809" spans="1:13" hidden="1" x14ac:dyDescent="0.25">
      <c r="A1809" s="5">
        <v>46031</v>
      </c>
      <c r="B1809" t="s">
        <v>569</v>
      </c>
      <c r="C1809" t="s">
        <v>1211</v>
      </c>
      <c r="D1809" t="s">
        <v>900</v>
      </c>
      <c r="E1809" t="str">
        <f t="shared" si="39"/>
        <v>PES</v>
      </c>
      <c r="F1809" t="s">
        <v>875</v>
      </c>
      <c r="G1809" t="s">
        <v>875</v>
      </c>
      <c r="J1809" t="s">
        <v>143</v>
      </c>
      <c r="K1809" s="23">
        <v>-800</v>
      </c>
      <c r="L1809" t="s">
        <v>24</v>
      </c>
      <c r="M1809" t="s">
        <v>25</v>
      </c>
    </row>
    <row r="1810" spans="1:13" hidden="1" x14ac:dyDescent="0.25">
      <c r="A1810" s="5">
        <v>46031</v>
      </c>
      <c r="B1810" t="s">
        <v>1174</v>
      </c>
      <c r="C1810" t="s">
        <v>1403</v>
      </c>
      <c r="D1810" t="s">
        <v>224</v>
      </c>
      <c r="E1810" t="str">
        <f t="shared" si="39"/>
        <v>COM</v>
      </c>
      <c r="F1810" t="s">
        <v>23</v>
      </c>
      <c r="G1810" t="s">
        <v>23</v>
      </c>
      <c r="J1810" t="s">
        <v>143</v>
      </c>
      <c r="K1810" s="23">
        <v>-120.19</v>
      </c>
      <c r="L1810" t="s">
        <v>24</v>
      </c>
      <c r="M1810" t="s">
        <v>25</v>
      </c>
    </row>
    <row r="1811" spans="1:13" hidden="1" x14ac:dyDescent="0.25">
      <c r="A1811" s="5">
        <v>46031</v>
      </c>
      <c r="B1811" t="s">
        <v>1174</v>
      </c>
      <c r="C1811" t="s">
        <v>1404</v>
      </c>
      <c r="D1811" t="s">
        <v>611</v>
      </c>
      <c r="E1811" t="str">
        <f t="shared" si="39"/>
        <v>COM</v>
      </c>
      <c r="F1811" t="s">
        <v>23</v>
      </c>
      <c r="G1811" t="s">
        <v>23</v>
      </c>
      <c r="J1811" t="s">
        <v>143</v>
      </c>
      <c r="K1811" s="23">
        <v>-189.85</v>
      </c>
      <c r="L1811" t="s">
        <v>24</v>
      </c>
      <c r="M1811" t="s">
        <v>25</v>
      </c>
    </row>
    <row r="1812" spans="1:13" hidden="1" x14ac:dyDescent="0.25">
      <c r="A1812" s="5">
        <v>46030</v>
      </c>
      <c r="B1812" t="s">
        <v>568</v>
      </c>
      <c r="C1812" s="17" t="s">
        <v>1392</v>
      </c>
      <c r="D1812" t="s">
        <v>1487</v>
      </c>
      <c r="E1812" t="str">
        <f t="shared" si="39"/>
        <v>INV</v>
      </c>
      <c r="F1812" t="s">
        <v>1354</v>
      </c>
      <c r="G1812" t="s">
        <v>1354</v>
      </c>
      <c r="J1812" t="s">
        <v>143</v>
      </c>
      <c r="K1812" s="23">
        <v>-172.11</v>
      </c>
      <c r="L1812" t="s">
        <v>24</v>
      </c>
      <c r="M1812" t="s">
        <v>25</v>
      </c>
    </row>
    <row r="1813" spans="1:13" hidden="1" x14ac:dyDescent="0.25">
      <c r="A1813" s="5">
        <v>46031</v>
      </c>
      <c r="B1813" t="s">
        <v>1174</v>
      </c>
      <c r="C1813" t="s">
        <v>1407</v>
      </c>
      <c r="D1813" t="s">
        <v>611</v>
      </c>
      <c r="E1813" t="str">
        <f t="shared" si="39"/>
        <v>COM</v>
      </c>
      <c r="F1813" t="s">
        <v>23</v>
      </c>
      <c r="G1813" t="s">
        <v>23</v>
      </c>
      <c r="J1813" t="s">
        <v>143</v>
      </c>
      <c r="K1813" s="23">
        <v>-226.02</v>
      </c>
      <c r="L1813" t="s">
        <v>24</v>
      </c>
      <c r="M1813" t="s">
        <v>25</v>
      </c>
    </row>
    <row r="1814" spans="1:13" hidden="1" x14ac:dyDescent="0.25">
      <c r="A1814" s="5">
        <v>46031</v>
      </c>
      <c r="B1814" t="s">
        <v>1174</v>
      </c>
      <c r="C1814" t="s">
        <v>1408</v>
      </c>
      <c r="D1814" t="s">
        <v>224</v>
      </c>
      <c r="E1814" t="str">
        <f t="shared" si="39"/>
        <v>COM</v>
      </c>
      <c r="F1814" t="s">
        <v>23</v>
      </c>
      <c r="G1814" t="s">
        <v>23</v>
      </c>
      <c r="J1814" t="s">
        <v>143</v>
      </c>
      <c r="K1814" s="23">
        <v>-294.3</v>
      </c>
      <c r="L1814" t="s">
        <v>24</v>
      </c>
      <c r="M1814" t="s">
        <v>25</v>
      </c>
    </row>
    <row r="1815" spans="1:13" hidden="1" x14ac:dyDescent="0.25">
      <c r="A1815" s="5">
        <v>46031</v>
      </c>
      <c r="B1815" t="s">
        <v>33</v>
      </c>
      <c r="C1815" t="s">
        <v>803</v>
      </c>
      <c r="D1815" t="s">
        <v>508</v>
      </c>
      <c r="E1815" t="str">
        <f t="shared" si="39"/>
        <v>ADM</v>
      </c>
      <c r="F1815" t="s">
        <v>23</v>
      </c>
      <c r="G1815" t="s">
        <v>23</v>
      </c>
      <c r="J1815" t="s">
        <v>143</v>
      </c>
      <c r="K1815" s="23">
        <v>-300.05</v>
      </c>
      <c r="L1815" t="s">
        <v>24</v>
      </c>
      <c r="M1815" t="s">
        <v>25</v>
      </c>
    </row>
    <row r="1816" spans="1:13" hidden="1" x14ac:dyDescent="0.25">
      <c r="A1816" s="5">
        <v>46031</v>
      </c>
      <c r="B1816" t="s">
        <v>568</v>
      </c>
      <c r="C1816" t="s">
        <v>1212</v>
      </c>
      <c r="D1816" t="s">
        <v>56</v>
      </c>
      <c r="E1816" t="str">
        <f t="shared" si="39"/>
        <v>Honorários</v>
      </c>
      <c r="F1816" t="s">
        <v>1114</v>
      </c>
      <c r="G1816" t="s">
        <v>1114</v>
      </c>
      <c r="I1816" t="s">
        <v>605</v>
      </c>
      <c r="J1816" t="s">
        <v>143</v>
      </c>
      <c r="K1816" s="23">
        <v>1800.68</v>
      </c>
      <c r="L1816" t="s">
        <v>18</v>
      </c>
      <c r="M1816" t="s">
        <v>19</v>
      </c>
    </row>
    <row r="1817" spans="1:13" hidden="1" x14ac:dyDescent="0.25">
      <c r="A1817" s="5">
        <v>46031</v>
      </c>
      <c r="B1817" t="s">
        <v>1174</v>
      </c>
      <c r="C1817" t="s">
        <v>1177</v>
      </c>
      <c r="D1817" s="17" t="s">
        <v>15</v>
      </c>
      <c r="E1817" t="str">
        <f t="shared" si="39"/>
        <v>ADM</v>
      </c>
      <c r="F1817" t="s">
        <v>23</v>
      </c>
      <c r="G1817" t="s">
        <v>23</v>
      </c>
      <c r="J1817" t="s">
        <v>143</v>
      </c>
      <c r="K1817" s="23">
        <v>4836.59</v>
      </c>
      <c r="L1817" t="s">
        <v>18</v>
      </c>
      <c r="M1817" t="s">
        <v>19</v>
      </c>
    </row>
    <row r="1818" spans="1:13" hidden="1" x14ac:dyDescent="0.25">
      <c r="A1818" s="5">
        <v>46031</v>
      </c>
      <c r="B1818" t="s">
        <v>1174</v>
      </c>
      <c r="C1818" t="s">
        <v>1409</v>
      </c>
      <c r="D1818" t="s">
        <v>28</v>
      </c>
      <c r="E1818" t="str">
        <f t="shared" si="39"/>
        <v>ADM</v>
      </c>
      <c r="F1818" t="s">
        <v>23</v>
      </c>
      <c r="G1818" t="s">
        <v>23</v>
      </c>
      <c r="J1818" t="s">
        <v>143</v>
      </c>
      <c r="K1818" s="23">
        <v>-142.80000000000001</v>
      </c>
      <c r="L1818" t="s">
        <v>24</v>
      </c>
      <c r="M1818" t="s">
        <v>25</v>
      </c>
    </row>
    <row r="1819" spans="1:13" hidden="1" x14ac:dyDescent="0.25">
      <c r="A1819" s="5">
        <v>46031</v>
      </c>
      <c r="B1819" t="s">
        <v>568</v>
      </c>
      <c r="C1819" t="s">
        <v>1405</v>
      </c>
      <c r="D1819" t="s">
        <v>149</v>
      </c>
      <c r="E1819" t="str">
        <f t="shared" si="39"/>
        <v>ADM</v>
      </c>
      <c r="F1819" t="s">
        <v>1406</v>
      </c>
      <c r="G1819" t="s">
        <v>1406</v>
      </c>
      <c r="J1819" t="s">
        <v>143</v>
      </c>
      <c r="K1819" s="23">
        <v>-554.9</v>
      </c>
      <c r="L1819" t="s">
        <v>24</v>
      </c>
      <c r="M1819" t="s">
        <v>25</v>
      </c>
    </row>
    <row r="1820" spans="1:13" hidden="1" x14ac:dyDescent="0.25">
      <c r="A1820" s="5">
        <v>46031</v>
      </c>
      <c r="B1820" t="s">
        <v>33</v>
      </c>
      <c r="C1820" t="s">
        <v>1054</v>
      </c>
      <c r="D1820" t="s">
        <v>224</v>
      </c>
      <c r="E1820" t="str">
        <f t="shared" si="39"/>
        <v>COM</v>
      </c>
      <c r="F1820" t="s">
        <v>23</v>
      </c>
      <c r="G1820" t="s">
        <v>23</v>
      </c>
      <c r="J1820" t="s">
        <v>143</v>
      </c>
      <c r="K1820" s="23">
        <v>-242.06</v>
      </c>
      <c r="L1820" t="s">
        <v>24</v>
      </c>
      <c r="M1820" t="s">
        <v>25</v>
      </c>
    </row>
    <row r="1821" spans="1:13" hidden="1" x14ac:dyDescent="0.25">
      <c r="A1821" s="5">
        <v>46031</v>
      </c>
      <c r="B1821" t="s">
        <v>1174</v>
      </c>
      <c r="C1821" t="s">
        <v>1412</v>
      </c>
      <c r="D1821" t="s">
        <v>611</v>
      </c>
      <c r="E1821" t="str">
        <f t="shared" si="39"/>
        <v>COM</v>
      </c>
      <c r="F1821" t="s">
        <v>23</v>
      </c>
      <c r="G1821" t="s">
        <v>23</v>
      </c>
      <c r="J1821" t="s">
        <v>143</v>
      </c>
      <c r="K1821" s="23">
        <v>-254.16</v>
      </c>
      <c r="L1821" t="s">
        <v>24</v>
      </c>
      <c r="M1821" t="s">
        <v>25</v>
      </c>
    </row>
    <row r="1822" spans="1:13" hidden="1" x14ac:dyDescent="0.25">
      <c r="A1822" s="5">
        <v>46031</v>
      </c>
      <c r="B1822" t="s">
        <v>568</v>
      </c>
      <c r="C1822" t="s">
        <v>1413</v>
      </c>
      <c r="D1822" t="s">
        <v>56</v>
      </c>
      <c r="E1822" t="str">
        <f t="shared" si="39"/>
        <v>Honorários</v>
      </c>
      <c r="F1822" t="s">
        <v>1231</v>
      </c>
      <c r="G1822" t="s">
        <v>1231</v>
      </c>
      <c r="I1822" t="s">
        <v>196</v>
      </c>
      <c r="J1822" t="s">
        <v>143</v>
      </c>
      <c r="K1822" s="23">
        <v>247.15</v>
      </c>
      <c r="L1822" t="s">
        <v>18</v>
      </c>
      <c r="M1822" t="s">
        <v>19</v>
      </c>
    </row>
    <row r="1823" spans="1:13" hidden="1" x14ac:dyDescent="0.25">
      <c r="A1823" s="5">
        <v>46031</v>
      </c>
      <c r="B1823" t="s">
        <v>1174</v>
      </c>
      <c r="C1823" t="s">
        <v>1414</v>
      </c>
      <c r="D1823" t="s">
        <v>611</v>
      </c>
      <c r="E1823" t="str">
        <f t="shared" si="39"/>
        <v>COM</v>
      </c>
      <c r="F1823" t="s">
        <v>23</v>
      </c>
      <c r="G1823" t="s">
        <v>23</v>
      </c>
      <c r="J1823" t="s">
        <v>143</v>
      </c>
      <c r="K1823" s="23">
        <v>-225.94</v>
      </c>
      <c r="L1823" t="s">
        <v>24</v>
      </c>
      <c r="M1823" t="s">
        <v>25</v>
      </c>
    </row>
    <row r="1824" spans="1:13" hidden="1" x14ac:dyDescent="0.25">
      <c r="A1824" s="5">
        <v>46031</v>
      </c>
      <c r="B1824" t="s">
        <v>1174</v>
      </c>
      <c r="C1824" t="s">
        <v>1415</v>
      </c>
      <c r="D1824" t="s">
        <v>28</v>
      </c>
      <c r="E1824" t="str">
        <f t="shared" si="39"/>
        <v>ADM</v>
      </c>
      <c r="F1824" t="s">
        <v>23</v>
      </c>
      <c r="G1824" t="s">
        <v>23</v>
      </c>
      <c r="J1824" t="s">
        <v>143</v>
      </c>
      <c r="K1824" s="23">
        <v>-2017.51</v>
      </c>
      <c r="L1824" t="s">
        <v>24</v>
      </c>
      <c r="M1824" t="s">
        <v>25</v>
      </c>
    </row>
    <row r="1825" spans="1:13" hidden="1" x14ac:dyDescent="0.25">
      <c r="A1825" s="5">
        <v>46031</v>
      </c>
      <c r="B1825" t="s">
        <v>568</v>
      </c>
      <c r="C1825" t="s">
        <v>1075</v>
      </c>
      <c r="D1825" s="17" t="s">
        <v>15</v>
      </c>
      <c r="E1825" t="str">
        <f t="shared" si="39"/>
        <v>ADM</v>
      </c>
      <c r="F1825" t="s">
        <v>23</v>
      </c>
      <c r="G1825" t="s">
        <v>23</v>
      </c>
      <c r="J1825" t="s">
        <v>143</v>
      </c>
      <c r="K1825" s="23">
        <v>-1594.41</v>
      </c>
      <c r="L1825" t="s">
        <v>24</v>
      </c>
      <c r="M1825" t="s">
        <v>25</v>
      </c>
    </row>
    <row r="1826" spans="1:13" hidden="1" x14ac:dyDescent="0.25">
      <c r="A1826" s="5">
        <v>46031</v>
      </c>
      <c r="B1826" t="s">
        <v>33</v>
      </c>
      <c r="C1826" t="s">
        <v>1051</v>
      </c>
      <c r="D1826" t="s">
        <v>224</v>
      </c>
      <c r="E1826" t="str">
        <f t="shared" si="39"/>
        <v>COM</v>
      </c>
      <c r="F1826" t="s">
        <v>23</v>
      </c>
      <c r="G1826" t="s">
        <v>23</v>
      </c>
      <c r="J1826" t="s">
        <v>143</v>
      </c>
      <c r="K1826" s="23">
        <v>-319.41000000000003</v>
      </c>
      <c r="L1826" t="s">
        <v>24</v>
      </c>
      <c r="M1826" t="s">
        <v>25</v>
      </c>
    </row>
    <row r="1827" spans="1:13" hidden="1" x14ac:dyDescent="0.25">
      <c r="A1827" s="5">
        <v>46031</v>
      </c>
      <c r="B1827" t="s">
        <v>1174</v>
      </c>
      <c r="C1827" t="s">
        <v>1416</v>
      </c>
      <c r="D1827" t="s">
        <v>224</v>
      </c>
      <c r="E1827" t="str">
        <f t="shared" si="39"/>
        <v>COM</v>
      </c>
      <c r="F1827" t="s">
        <v>23</v>
      </c>
      <c r="G1827" t="s">
        <v>23</v>
      </c>
      <c r="J1827" t="s">
        <v>143</v>
      </c>
      <c r="K1827" s="23">
        <v>-22</v>
      </c>
      <c r="L1827" t="s">
        <v>24</v>
      </c>
      <c r="M1827" t="s">
        <v>25</v>
      </c>
    </row>
    <row r="1828" spans="1:13" hidden="1" x14ac:dyDescent="0.25">
      <c r="A1828" s="5">
        <v>46031</v>
      </c>
      <c r="B1828" t="s">
        <v>1174</v>
      </c>
      <c r="C1828" t="s">
        <v>1417</v>
      </c>
      <c r="D1828" t="s">
        <v>660</v>
      </c>
      <c r="E1828" t="str">
        <f t="shared" si="39"/>
        <v>ADM</v>
      </c>
      <c r="F1828" t="s">
        <v>23</v>
      </c>
      <c r="G1828" t="s">
        <v>23</v>
      </c>
      <c r="J1828" t="s">
        <v>143</v>
      </c>
      <c r="K1828" s="23">
        <v>-40</v>
      </c>
      <c r="L1828" t="s">
        <v>24</v>
      </c>
      <c r="M1828" t="s">
        <v>25</v>
      </c>
    </row>
    <row r="1829" spans="1:13" hidden="1" x14ac:dyDescent="0.25">
      <c r="A1829" s="5">
        <v>46031</v>
      </c>
      <c r="B1829" t="s">
        <v>568</v>
      </c>
      <c r="C1829" t="s">
        <v>1410</v>
      </c>
      <c r="D1829" t="s">
        <v>149</v>
      </c>
      <c r="E1829" t="str">
        <f t="shared" si="39"/>
        <v>ADM</v>
      </c>
      <c r="F1829" t="s">
        <v>1411</v>
      </c>
      <c r="G1829" t="s">
        <v>1411</v>
      </c>
      <c r="J1829" t="s">
        <v>143</v>
      </c>
      <c r="K1829" s="23">
        <v>-650</v>
      </c>
      <c r="L1829" t="s">
        <v>24</v>
      </c>
      <c r="M1829" t="s">
        <v>25</v>
      </c>
    </row>
    <row r="1830" spans="1:13" hidden="1" x14ac:dyDescent="0.25">
      <c r="A1830" s="5">
        <v>46031</v>
      </c>
      <c r="B1830" t="s">
        <v>33</v>
      </c>
      <c r="C1830" t="s">
        <v>677</v>
      </c>
      <c r="D1830" s="17" t="s">
        <v>15</v>
      </c>
      <c r="E1830" t="str">
        <f t="shared" si="39"/>
        <v>ADM</v>
      </c>
      <c r="F1830" t="s">
        <v>23</v>
      </c>
      <c r="G1830" t="s">
        <v>23</v>
      </c>
      <c r="J1830" t="s">
        <v>143</v>
      </c>
      <c r="K1830" s="23">
        <v>-224.99</v>
      </c>
      <c r="L1830" t="s">
        <v>24</v>
      </c>
      <c r="M1830" t="s">
        <v>25</v>
      </c>
    </row>
    <row r="1831" spans="1:13" hidden="1" x14ac:dyDescent="0.25">
      <c r="A1831" s="5">
        <v>46031</v>
      </c>
      <c r="B1831" t="s">
        <v>1174</v>
      </c>
      <c r="C1831" t="s">
        <v>1408</v>
      </c>
      <c r="D1831" t="s">
        <v>224</v>
      </c>
      <c r="E1831" t="str">
        <f t="shared" si="39"/>
        <v>COM</v>
      </c>
      <c r="F1831" t="s">
        <v>23</v>
      </c>
      <c r="G1831" t="s">
        <v>23</v>
      </c>
      <c r="J1831" t="s">
        <v>143</v>
      </c>
      <c r="K1831" s="23">
        <v>-294.3</v>
      </c>
      <c r="L1831" t="s">
        <v>24</v>
      </c>
      <c r="M1831" t="s">
        <v>25</v>
      </c>
    </row>
    <row r="1832" spans="1:13" hidden="1" x14ac:dyDescent="0.25">
      <c r="A1832" s="5">
        <v>46031</v>
      </c>
      <c r="B1832" t="s">
        <v>1174</v>
      </c>
      <c r="C1832" t="s">
        <v>1408</v>
      </c>
      <c r="D1832" t="s">
        <v>224</v>
      </c>
      <c r="E1832" t="str">
        <f t="shared" si="39"/>
        <v>COM</v>
      </c>
      <c r="F1832" t="s">
        <v>23</v>
      </c>
      <c r="G1832" t="s">
        <v>23</v>
      </c>
      <c r="J1832" t="s">
        <v>143</v>
      </c>
      <c r="K1832" s="23">
        <v>-20</v>
      </c>
      <c r="L1832" t="s">
        <v>24</v>
      </c>
      <c r="M1832" t="s">
        <v>25</v>
      </c>
    </row>
    <row r="1833" spans="1:13" hidden="1" x14ac:dyDescent="0.25">
      <c r="A1833" s="5">
        <v>46031</v>
      </c>
      <c r="B1833" t="s">
        <v>569</v>
      </c>
      <c r="C1833" t="s">
        <v>584</v>
      </c>
      <c r="D1833" t="s">
        <v>99</v>
      </c>
      <c r="E1833" t="str">
        <f t="shared" si="39"/>
        <v>ADM</v>
      </c>
      <c r="F1833" t="s">
        <v>100</v>
      </c>
      <c r="G1833" t="s">
        <v>100</v>
      </c>
      <c r="J1833" t="s">
        <v>143</v>
      </c>
      <c r="K1833" s="23">
        <v>-510</v>
      </c>
      <c r="L1833" t="s">
        <v>24</v>
      </c>
      <c r="M1833" t="s">
        <v>25</v>
      </c>
    </row>
    <row r="1834" spans="1:13" hidden="1" x14ac:dyDescent="0.25">
      <c r="A1834" s="5">
        <v>46031</v>
      </c>
      <c r="B1834" t="s">
        <v>1174</v>
      </c>
      <c r="C1834" t="s">
        <v>1418</v>
      </c>
      <c r="D1834" t="s">
        <v>28</v>
      </c>
      <c r="E1834" t="str">
        <f t="shared" si="39"/>
        <v>ADM</v>
      </c>
      <c r="F1834" t="s">
        <v>23</v>
      </c>
      <c r="G1834" t="s">
        <v>23</v>
      </c>
      <c r="J1834" t="s">
        <v>143</v>
      </c>
      <c r="K1834" s="23">
        <v>-95.73</v>
      </c>
      <c r="L1834" t="s">
        <v>24</v>
      </c>
      <c r="M1834" t="s">
        <v>25</v>
      </c>
    </row>
    <row r="1835" spans="1:13" hidden="1" x14ac:dyDescent="0.25">
      <c r="A1835" s="5">
        <v>46031</v>
      </c>
      <c r="B1835" t="s">
        <v>569</v>
      </c>
      <c r="C1835" t="s">
        <v>1393</v>
      </c>
      <c r="D1835" t="s">
        <v>56</v>
      </c>
      <c r="E1835" t="str">
        <f t="shared" si="39"/>
        <v>Honorários</v>
      </c>
      <c r="F1835" t="s">
        <v>806</v>
      </c>
      <c r="G1835" t="s">
        <v>806</v>
      </c>
      <c r="I1835" t="s">
        <v>75</v>
      </c>
      <c r="J1835" t="s">
        <v>17</v>
      </c>
      <c r="K1835" s="23">
        <v>2621.38</v>
      </c>
      <c r="L1835" t="s">
        <v>18</v>
      </c>
      <c r="M1835" t="s">
        <v>19</v>
      </c>
    </row>
    <row r="1836" spans="1:13" hidden="1" x14ac:dyDescent="0.25">
      <c r="A1836" s="5">
        <v>46032</v>
      </c>
      <c r="B1836" t="s">
        <v>568</v>
      </c>
      <c r="C1836" t="s">
        <v>1039</v>
      </c>
      <c r="D1836" t="s">
        <v>56</v>
      </c>
      <c r="E1836" t="str">
        <f t="shared" si="39"/>
        <v>Honorários</v>
      </c>
      <c r="F1836" t="s">
        <v>1040</v>
      </c>
      <c r="G1836" t="s">
        <v>1040</v>
      </c>
      <c r="I1836" t="s">
        <v>196</v>
      </c>
      <c r="J1836" t="s">
        <v>143</v>
      </c>
      <c r="K1836" s="23">
        <v>504.88</v>
      </c>
      <c r="L1836" t="s">
        <v>18</v>
      </c>
      <c r="M1836" t="s">
        <v>83</v>
      </c>
    </row>
    <row r="1837" spans="1:13" hidden="1" x14ac:dyDescent="0.25">
      <c r="A1837" s="5">
        <v>46034</v>
      </c>
      <c r="B1837" t="s">
        <v>568</v>
      </c>
      <c r="C1837" t="s">
        <v>640</v>
      </c>
      <c r="D1837" t="s">
        <v>56</v>
      </c>
      <c r="E1837" t="str">
        <f t="shared" si="39"/>
        <v>Honorários</v>
      </c>
      <c r="F1837" t="s">
        <v>1419</v>
      </c>
      <c r="G1837" t="s">
        <v>1419</v>
      </c>
      <c r="I1837" t="s">
        <v>1420</v>
      </c>
      <c r="J1837" t="s">
        <v>143</v>
      </c>
      <c r="K1837" s="23">
        <v>1026.94</v>
      </c>
      <c r="L1837" t="s">
        <v>18</v>
      </c>
      <c r="M1837" t="s">
        <v>83</v>
      </c>
    </row>
    <row r="1838" spans="1:13" hidden="1" x14ac:dyDescent="0.25">
      <c r="A1838" s="5">
        <v>46034</v>
      </c>
      <c r="B1838" t="s">
        <v>568</v>
      </c>
      <c r="C1838" t="s">
        <v>763</v>
      </c>
      <c r="D1838" t="s">
        <v>56</v>
      </c>
      <c r="E1838" t="str">
        <f t="shared" si="39"/>
        <v>Honorários</v>
      </c>
      <c r="F1838" t="s">
        <v>764</v>
      </c>
      <c r="G1838" t="s">
        <v>764</v>
      </c>
      <c r="I1838" t="s">
        <v>93</v>
      </c>
      <c r="J1838" t="s">
        <v>143</v>
      </c>
      <c r="K1838" s="23">
        <v>707.94999999999993</v>
      </c>
      <c r="L1838" t="s">
        <v>18</v>
      </c>
      <c r="M1838" t="s">
        <v>19</v>
      </c>
    </row>
    <row r="1839" spans="1:13" hidden="1" x14ac:dyDescent="0.25">
      <c r="A1839" s="5">
        <v>46034</v>
      </c>
      <c r="B1839" t="s">
        <v>569</v>
      </c>
      <c r="C1839" t="s">
        <v>1421</v>
      </c>
      <c r="D1839" t="s">
        <v>72</v>
      </c>
      <c r="E1839" t="str">
        <f t="shared" si="39"/>
        <v>FIN</v>
      </c>
      <c r="F1839" t="s">
        <v>120</v>
      </c>
      <c r="G1839" t="s">
        <v>120</v>
      </c>
      <c r="J1839" t="s">
        <v>143</v>
      </c>
      <c r="K1839" s="23">
        <v>-15.9</v>
      </c>
      <c r="L1839" t="s">
        <v>24</v>
      </c>
      <c r="M1839" t="s">
        <v>25</v>
      </c>
    </row>
    <row r="1840" spans="1:13" hidden="1" x14ac:dyDescent="0.25">
      <c r="A1840" s="5">
        <v>46034</v>
      </c>
      <c r="B1840" t="s">
        <v>568</v>
      </c>
      <c r="C1840" t="s">
        <v>1311</v>
      </c>
      <c r="D1840" t="s">
        <v>56</v>
      </c>
      <c r="E1840" t="str">
        <f t="shared" ref="E1840:E1871" si="40">IF(ISERROR(FIND("-",D1840,1)),D1840,LEFT(D1840,3))</f>
        <v>Honorários</v>
      </c>
      <c r="F1840" t="s">
        <v>1344</v>
      </c>
      <c r="G1840" t="s">
        <v>1344</v>
      </c>
      <c r="I1840" t="s">
        <v>1345</v>
      </c>
      <c r="J1840" t="s">
        <v>143</v>
      </c>
      <c r="K1840" s="23">
        <v>1062.8</v>
      </c>
      <c r="L1840" t="s">
        <v>18</v>
      </c>
      <c r="M1840" t="s">
        <v>83</v>
      </c>
    </row>
    <row r="1841" spans="1:13" hidden="1" x14ac:dyDescent="0.25">
      <c r="A1841" s="5">
        <v>46034</v>
      </c>
      <c r="B1841" t="s">
        <v>568</v>
      </c>
      <c r="C1841" t="s">
        <v>1422</v>
      </c>
      <c r="D1841" t="s">
        <v>508</v>
      </c>
      <c r="E1841" t="str">
        <f t="shared" si="40"/>
        <v>ADM</v>
      </c>
      <c r="F1841" t="s">
        <v>1351</v>
      </c>
      <c r="G1841" t="s">
        <v>1351</v>
      </c>
      <c r="J1841" t="s">
        <v>143</v>
      </c>
      <c r="K1841" s="23">
        <v>-648</v>
      </c>
      <c r="L1841" t="s">
        <v>24</v>
      </c>
      <c r="M1841" t="s">
        <v>25</v>
      </c>
    </row>
    <row r="1842" spans="1:13" hidden="1" x14ac:dyDescent="0.25">
      <c r="A1842" s="5">
        <v>46034</v>
      </c>
      <c r="B1842" t="s">
        <v>568</v>
      </c>
      <c r="C1842" t="s">
        <v>754</v>
      </c>
      <c r="D1842" t="s">
        <v>56</v>
      </c>
      <c r="E1842" t="str">
        <f t="shared" si="40"/>
        <v>Honorários</v>
      </c>
      <c r="F1842" t="s">
        <v>739</v>
      </c>
      <c r="G1842" t="s">
        <v>739</v>
      </c>
      <c r="I1842" t="s">
        <v>740</v>
      </c>
      <c r="J1842" t="s">
        <v>143</v>
      </c>
      <c r="K1842" s="23">
        <v>577.74</v>
      </c>
      <c r="L1842" t="s">
        <v>18</v>
      </c>
      <c r="M1842" t="s">
        <v>19</v>
      </c>
    </row>
    <row r="1843" spans="1:13" hidden="1" x14ac:dyDescent="0.25">
      <c r="A1843" s="5">
        <v>46027</v>
      </c>
      <c r="B1843" t="s">
        <v>568</v>
      </c>
      <c r="C1843" t="s">
        <v>1378</v>
      </c>
      <c r="D1843" t="s">
        <v>149</v>
      </c>
      <c r="E1843" t="str">
        <f t="shared" si="40"/>
        <v>ADM</v>
      </c>
      <c r="F1843" t="s">
        <v>798</v>
      </c>
      <c r="G1843" t="s">
        <v>798</v>
      </c>
      <c r="J1843" t="s">
        <v>143</v>
      </c>
      <c r="K1843" s="23">
        <v>-1000</v>
      </c>
      <c r="L1843" t="s">
        <v>24</v>
      </c>
      <c r="M1843" t="s">
        <v>25</v>
      </c>
    </row>
    <row r="1844" spans="1:13" hidden="1" x14ac:dyDescent="0.25">
      <c r="A1844" s="5">
        <v>46035</v>
      </c>
      <c r="B1844" t="s">
        <v>568</v>
      </c>
      <c r="C1844" t="s">
        <v>1425</v>
      </c>
      <c r="D1844" t="s">
        <v>72</v>
      </c>
      <c r="E1844" t="str">
        <f t="shared" si="40"/>
        <v>FIN</v>
      </c>
      <c r="F1844" t="s">
        <v>23</v>
      </c>
      <c r="G1844" t="s">
        <v>23</v>
      </c>
      <c r="J1844" t="s">
        <v>143</v>
      </c>
      <c r="K1844" s="23">
        <v>-49</v>
      </c>
      <c r="L1844" t="s">
        <v>24</v>
      </c>
      <c r="M1844" t="s">
        <v>25</v>
      </c>
    </row>
    <row r="1845" spans="1:13" hidden="1" x14ac:dyDescent="0.25">
      <c r="A1845" s="5">
        <v>46035</v>
      </c>
      <c r="B1845" t="s">
        <v>568</v>
      </c>
      <c r="C1845" t="s">
        <v>1426</v>
      </c>
      <c r="D1845" t="s">
        <v>56</v>
      </c>
      <c r="E1845" t="str">
        <f t="shared" si="40"/>
        <v>Honorários</v>
      </c>
      <c r="F1845" t="s">
        <v>1427</v>
      </c>
      <c r="G1845" t="s">
        <v>1427</v>
      </c>
      <c r="I1845" t="s">
        <v>1428</v>
      </c>
      <c r="J1845" t="s">
        <v>143</v>
      </c>
      <c r="K1845" s="23">
        <v>13851.11</v>
      </c>
      <c r="L1845" t="s">
        <v>18</v>
      </c>
      <c r="M1845" t="s">
        <v>19</v>
      </c>
    </row>
    <row r="1846" spans="1:13" hidden="1" x14ac:dyDescent="0.25">
      <c r="A1846" s="5">
        <v>46048</v>
      </c>
      <c r="B1846" t="s">
        <v>568</v>
      </c>
      <c r="C1846" s="17" t="s">
        <v>1452</v>
      </c>
      <c r="D1846" t="s">
        <v>1487</v>
      </c>
      <c r="E1846" t="str">
        <f t="shared" si="40"/>
        <v>INV</v>
      </c>
      <c r="F1846" t="s">
        <v>1453</v>
      </c>
      <c r="G1846" t="s">
        <v>1453</v>
      </c>
      <c r="J1846" t="s">
        <v>143</v>
      </c>
      <c r="K1846" s="23">
        <v>-1000</v>
      </c>
      <c r="L1846" t="s">
        <v>24</v>
      </c>
      <c r="M1846" t="s">
        <v>25</v>
      </c>
    </row>
    <row r="1847" spans="1:13" hidden="1" x14ac:dyDescent="0.25">
      <c r="A1847" s="33">
        <v>46035</v>
      </c>
      <c r="B1847" s="17" t="s">
        <v>568</v>
      </c>
      <c r="C1847" s="17" t="s">
        <v>1430</v>
      </c>
      <c r="D1847" s="17" t="s">
        <v>815</v>
      </c>
      <c r="E1847" s="17" t="str">
        <f t="shared" si="40"/>
        <v>Transferência</v>
      </c>
      <c r="F1847" s="17" t="s">
        <v>568</v>
      </c>
      <c r="G1847" t="s">
        <v>568</v>
      </c>
      <c r="J1847" t="s">
        <v>17</v>
      </c>
      <c r="K1847" s="25">
        <v>5621.38</v>
      </c>
      <c r="L1847" s="17" t="s">
        <v>18</v>
      </c>
      <c r="M1847" s="17" t="s">
        <v>19</v>
      </c>
    </row>
    <row r="1848" spans="1:13" hidden="1" x14ac:dyDescent="0.25">
      <c r="A1848" s="5">
        <v>46035</v>
      </c>
      <c r="B1848" t="s">
        <v>568</v>
      </c>
      <c r="C1848" t="s">
        <v>1426</v>
      </c>
      <c r="D1848" t="s">
        <v>56</v>
      </c>
      <c r="E1848" t="str">
        <f t="shared" si="40"/>
        <v>Honorários</v>
      </c>
      <c r="F1848" t="s">
        <v>767</v>
      </c>
      <c r="G1848" t="s">
        <v>767</v>
      </c>
      <c r="I1848" t="s">
        <v>768</v>
      </c>
      <c r="J1848" t="s">
        <v>143</v>
      </c>
      <c r="K1848" s="23">
        <v>2526.1799999999998</v>
      </c>
      <c r="L1848" t="s">
        <v>18</v>
      </c>
      <c r="M1848" t="s">
        <v>19</v>
      </c>
    </row>
    <row r="1849" spans="1:13" hidden="1" x14ac:dyDescent="0.25">
      <c r="A1849" s="33">
        <v>46035</v>
      </c>
      <c r="B1849" s="17" t="s">
        <v>569</v>
      </c>
      <c r="C1849" s="17" t="s">
        <v>1430</v>
      </c>
      <c r="D1849" s="17" t="s">
        <v>815</v>
      </c>
      <c r="E1849" s="17" t="str">
        <f t="shared" si="40"/>
        <v>Transferência</v>
      </c>
      <c r="F1849" s="17" t="s">
        <v>569</v>
      </c>
      <c r="G1849" t="s">
        <v>569</v>
      </c>
      <c r="J1849" t="s">
        <v>17</v>
      </c>
      <c r="K1849" s="25">
        <v>-5621.38</v>
      </c>
      <c r="L1849" s="17" t="s">
        <v>24</v>
      </c>
      <c r="M1849" s="17" t="s">
        <v>25</v>
      </c>
    </row>
    <row r="1850" spans="1:13" hidden="1" x14ac:dyDescent="0.25">
      <c r="A1850" s="5">
        <v>46035</v>
      </c>
      <c r="B1850" t="s">
        <v>569</v>
      </c>
      <c r="C1850" t="s">
        <v>640</v>
      </c>
      <c r="D1850" t="s">
        <v>56</v>
      </c>
      <c r="E1850" t="str">
        <f t="shared" si="40"/>
        <v>Honorários</v>
      </c>
      <c r="F1850" t="s">
        <v>1431</v>
      </c>
      <c r="G1850" t="s">
        <v>1431</v>
      </c>
      <c r="I1850" t="s">
        <v>1432</v>
      </c>
      <c r="J1850" t="s">
        <v>143</v>
      </c>
      <c r="K1850" s="23">
        <v>456</v>
      </c>
      <c r="L1850" t="s">
        <v>18</v>
      </c>
      <c r="M1850" t="s">
        <v>19</v>
      </c>
    </row>
    <row r="1851" spans="1:13" hidden="1" x14ac:dyDescent="0.25">
      <c r="A1851" s="5">
        <v>46035</v>
      </c>
      <c r="B1851" t="s">
        <v>569</v>
      </c>
      <c r="C1851" t="s">
        <v>640</v>
      </c>
      <c r="D1851" t="s">
        <v>56</v>
      </c>
      <c r="E1851" t="str">
        <f t="shared" si="40"/>
        <v>Honorários</v>
      </c>
      <c r="F1851" t="s">
        <v>1433</v>
      </c>
      <c r="G1851" t="s">
        <v>1433</v>
      </c>
      <c r="I1851" t="s">
        <v>75</v>
      </c>
      <c r="J1851" t="s">
        <v>143</v>
      </c>
      <c r="K1851" s="23">
        <v>455.4</v>
      </c>
      <c r="L1851" t="s">
        <v>18</v>
      </c>
      <c r="M1851" t="s">
        <v>19</v>
      </c>
    </row>
    <row r="1852" spans="1:13" hidden="1" x14ac:dyDescent="0.25">
      <c r="A1852" s="5">
        <v>46035</v>
      </c>
      <c r="B1852" t="s">
        <v>569</v>
      </c>
      <c r="C1852" t="s">
        <v>1434</v>
      </c>
      <c r="D1852" t="s">
        <v>300</v>
      </c>
      <c r="E1852" t="str">
        <f t="shared" si="40"/>
        <v>VAR</v>
      </c>
      <c r="F1852" t="s">
        <v>1435</v>
      </c>
      <c r="G1852" t="s">
        <v>1435</v>
      </c>
      <c r="I1852" t="s">
        <v>1436</v>
      </c>
      <c r="J1852" t="s">
        <v>17</v>
      </c>
      <c r="K1852" s="23">
        <v>-200</v>
      </c>
      <c r="L1852" t="s">
        <v>24</v>
      </c>
      <c r="M1852" t="s">
        <v>25</v>
      </c>
    </row>
    <row r="1853" spans="1:13" hidden="1" x14ac:dyDescent="0.25">
      <c r="A1853" s="5">
        <v>46035</v>
      </c>
      <c r="B1853" t="s">
        <v>568</v>
      </c>
      <c r="C1853" t="s">
        <v>1437</v>
      </c>
      <c r="D1853" t="s">
        <v>103</v>
      </c>
      <c r="E1853" t="str">
        <f t="shared" si="40"/>
        <v>ADM</v>
      </c>
      <c r="F1853" t="s">
        <v>104</v>
      </c>
      <c r="G1853" t="s">
        <v>104</v>
      </c>
      <c r="J1853" t="s">
        <v>143</v>
      </c>
      <c r="K1853" s="23">
        <v>-400</v>
      </c>
      <c r="L1853" t="s">
        <v>24</v>
      </c>
      <c r="M1853" t="s">
        <v>25</v>
      </c>
    </row>
    <row r="1854" spans="1:13" hidden="1" x14ac:dyDescent="0.25">
      <c r="A1854" s="5">
        <v>46036</v>
      </c>
      <c r="B1854" t="s">
        <v>569</v>
      </c>
      <c r="C1854" t="s">
        <v>1438</v>
      </c>
      <c r="D1854" t="s">
        <v>300</v>
      </c>
      <c r="E1854" t="str">
        <f t="shared" si="40"/>
        <v>VAR</v>
      </c>
      <c r="F1854" t="s">
        <v>1118</v>
      </c>
      <c r="G1854" t="s">
        <v>1118</v>
      </c>
      <c r="I1854" t="s">
        <v>1119</v>
      </c>
      <c r="J1854" t="s">
        <v>143</v>
      </c>
      <c r="K1854" s="23">
        <v>-250</v>
      </c>
      <c r="L1854" t="s">
        <v>24</v>
      </c>
      <c r="M1854" t="s">
        <v>25</v>
      </c>
    </row>
    <row r="1855" spans="1:13" hidden="1" x14ac:dyDescent="0.25">
      <c r="A1855" s="5">
        <v>46036</v>
      </c>
      <c r="B1855" t="s">
        <v>569</v>
      </c>
      <c r="C1855" t="s">
        <v>1439</v>
      </c>
      <c r="D1855" t="s">
        <v>56</v>
      </c>
      <c r="E1855" t="str">
        <f t="shared" si="40"/>
        <v>Honorários</v>
      </c>
      <c r="F1855" t="s">
        <v>1431</v>
      </c>
      <c r="G1855" t="s">
        <v>1431</v>
      </c>
      <c r="I1855" t="s">
        <v>1432</v>
      </c>
      <c r="J1855" t="s">
        <v>143</v>
      </c>
      <c r="K1855" s="23">
        <v>1518</v>
      </c>
      <c r="L1855" t="s">
        <v>18</v>
      </c>
      <c r="M1855" t="s">
        <v>19</v>
      </c>
    </row>
    <row r="1856" spans="1:13" hidden="1" x14ac:dyDescent="0.25">
      <c r="A1856" s="5">
        <v>46036</v>
      </c>
      <c r="B1856" t="s">
        <v>568</v>
      </c>
      <c r="C1856" t="s">
        <v>640</v>
      </c>
      <c r="D1856" t="s">
        <v>56</v>
      </c>
      <c r="E1856" t="str">
        <f t="shared" si="40"/>
        <v>Honorários</v>
      </c>
      <c r="F1856" t="s">
        <v>1440</v>
      </c>
      <c r="G1856" t="s">
        <v>1440</v>
      </c>
      <c r="I1856" t="s">
        <v>75</v>
      </c>
      <c r="J1856" t="s">
        <v>143</v>
      </c>
      <c r="K1856" s="23">
        <v>365.27</v>
      </c>
      <c r="L1856" t="s">
        <v>18</v>
      </c>
      <c r="M1856" t="s">
        <v>19</v>
      </c>
    </row>
    <row r="1857" spans="1:13" hidden="1" x14ac:dyDescent="0.25">
      <c r="A1857" s="5">
        <v>46036</v>
      </c>
      <c r="B1857" t="s">
        <v>568</v>
      </c>
      <c r="C1857" t="s">
        <v>1441</v>
      </c>
      <c r="D1857" t="s">
        <v>56</v>
      </c>
      <c r="E1857" t="str">
        <f t="shared" si="40"/>
        <v>Honorários</v>
      </c>
      <c r="F1857" t="s">
        <v>1442</v>
      </c>
      <c r="G1857" t="s">
        <v>1442</v>
      </c>
      <c r="I1857" t="s">
        <v>605</v>
      </c>
      <c r="J1857" t="s">
        <v>143</v>
      </c>
      <c r="K1857" s="23">
        <v>1568.6000000000001</v>
      </c>
      <c r="L1857" t="s">
        <v>18</v>
      </c>
      <c r="M1857" t="s">
        <v>19</v>
      </c>
    </row>
    <row r="1858" spans="1:13" hidden="1" x14ac:dyDescent="0.25">
      <c r="A1858" s="5">
        <v>46037</v>
      </c>
      <c r="B1858" t="s">
        <v>568</v>
      </c>
      <c r="C1858" t="s">
        <v>1443</v>
      </c>
      <c r="D1858" t="s">
        <v>56</v>
      </c>
      <c r="E1858" t="str">
        <f t="shared" si="40"/>
        <v>Honorários</v>
      </c>
      <c r="F1858" t="s">
        <v>1444</v>
      </c>
      <c r="G1858" t="s">
        <v>1444</v>
      </c>
      <c r="I1858" t="s">
        <v>1445</v>
      </c>
      <c r="J1858" t="s">
        <v>143</v>
      </c>
      <c r="K1858" s="23">
        <v>497.15</v>
      </c>
      <c r="L1858" t="s">
        <v>18</v>
      </c>
      <c r="M1858" t="s">
        <v>19</v>
      </c>
    </row>
    <row r="1859" spans="1:13" hidden="1" x14ac:dyDescent="0.25">
      <c r="A1859" s="5">
        <v>46037</v>
      </c>
      <c r="B1859" t="s">
        <v>568</v>
      </c>
      <c r="C1859" t="s">
        <v>1446</v>
      </c>
      <c r="D1859" t="s">
        <v>103</v>
      </c>
      <c r="E1859" t="str">
        <f t="shared" si="40"/>
        <v>ADM</v>
      </c>
      <c r="F1859" t="s">
        <v>104</v>
      </c>
      <c r="G1859" t="s">
        <v>104</v>
      </c>
      <c r="J1859" t="s">
        <v>143</v>
      </c>
      <c r="K1859" s="23">
        <v>-160</v>
      </c>
      <c r="L1859" t="s">
        <v>24</v>
      </c>
      <c r="M1859" t="s">
        <v>25</v>
      </c>
    </row>
    <row r="1860" spans="1:13" hidden="1" x14ac:dyDescent="0.25">
      <c r="A1860" s="5">
        <v>46037</v>
      </c>
      <c r="B1860" t="s">
        <v>569</v>
      </c>
      <c r="C1860" t="s">
        <v>1447</v>
      </c>
      <c r="D1860" s="17" t="s">
        <v>15</v>
      </c>
      <c r="E1860" t="str">
        <f t="shared" si="40"/>
        <v>ADM</v>
      </c>
      <c r="F1860" t="s">
        <v>16</v>
      </c>
      <c r="G1860" t="s">
        <v>16</v>
      </c>
      <c r="J1860" t="s">
        <v>143</v>
      </c>
      <c r="K1860" s="23">
        <v>-1230.93</v>
      </c>
      <c r="L1860" t="s">
        <v>24</v>
      </c>
      <c r="M1860" t="s">
        <v>25</v>
      </c>
    </row>
    <row r="1861" spans="1:13" hidden="1" x14ac:dyDescent="0.25">
      <c r="A1861" s="5">
        <v>46037</v>
      </c>
      <c r="B1861" t="s">
        <v>568</v>
      </c>
      <c r="C1861" t="s">
        <v>965</v>
      </c>
      <c r="D1861" t="s">
        <v>56</v>
      </c>
      <c r="E1861" t="str">
        <f t="shared" si="40"/>
        <v>Honorários</v>
      </c>
      <c r="F1861" t="s">
        <v>966</v>
      </c>
      <c r="G1861" t="s">
        <v>966</v>
      </c>
      <c r="I1861" t="s">
        <v>605</v>
      </c>
      <c r="J1861" t="s">
        <v>143</v>
      </c>
      <c r="K1861" s="23">
        <v>1051.8500000000001</v>
      </c>
      <c r="L1861" t="s">
        <v>18</v>
      </c>
      <c r="M1861" t="s">
        <v>19</v>
      </c>
    </row>
    <row r="1862" spans="1:13" hidden="1" x14ac:dyDescent="0.25">
      <c r="A1862" s="5">
        <v>46038</v>
      </c>
      <c r="B1862" t="s">
        <v>569</v>
      </c>
      <c r="C1862" t="s">
        <v>1448</v>
      </c>
      <c r="D1862" t="s">
        <v>28</v>
      </c>
      <c r="E1862" t="str">
        <f t="shared" si="40"/>
        <v>ADM</v>
      </c>
      <c r="F1862" t="s">
        <v>831</v>
      </c>
      <c r="G1862" t="s">
        <v>831</v>
      </c>
      <c r="J1862" t="s">
        <v>143</v>
      </c>
      <c r="K1862" s="23">
        <v>-79.760000000000005</v>
      </c>
      <c r="L1862" t="s">
        <v>24</v>
      </c>
      <c r="M1862" t="s">
        <v>25</v>
      </c>
    </row>
    <row r="1863" spans="1:13" hidden="1" x14ac:dyDescent="0.25">
      <c r="A1863" s="5">
        <v>46038</v>
      </c>
      <c r="B1863" t="s">
        <v>1216</v>
      </c>
      <c r="C1863" t="s">
        <v>1082</v>
      </c>
      <c r="D1863" t="s">
        <v>30</v>
      </c>
      <c r="E1863" t="str">
        <f t="shared" si="40"/>
        <v>ADM</v>
      </c>
      <c r="F1863" t="s">
        <v>16</v>
      </c>
      <c r="G1863" t="s">
        <v>16</v>
      </c>
      <c r="J1863" t="s">
        <v>143</v>
      </c>
      <c r="K1863" s="23">
        <v>-120.43</v>
      </c>
      <c r="L1863" t="s">
        <v>24</v>
      </c>
      <c r="M1863" t="s">
        <v>25</v>
      </c>
    </row>
    <row r="1864" spans="1:13" hidden="1" x14ac:dyDescent="0.25">
      <c r="A1864" s="5">
        <v>46038</v>
      </c>
      <c r="B1864" t="s">
        <v>1216</v>
      </c>
      <c r="C1864" t="s">
        <v>1221</v>
      </c>
      <c r="D1864" t="s">
        <v>382</v>
      </c>
      <c r="E1864" t="str">
        <f t="shared" si="40"/>
        <v>PES</v>
      </c>
      <c r="F1864" t="s">
        <v>16</v>
      </c>
      <c r="G1864" t="s">
        <v>16</v>
      </c>
      <c r="J1864" t="s">
        <v>143</v>
      </c>
      <c r="K1864" s="23">
        <v>-229</v>
      </c>
      <c r="L1864" t="s">
        <v>24</v>
      </c>
      <c r="M1864" t="s">
        <v>25</v>
      </c>
    </row>
    <row r="1865" spans="1:13" hidden="1" x14ac:dyDescent="0.25">
      <c r="A1865" s="5">
        <v>46038</v>
      </c>
      <c r="B1865" t="s">
        <v>569</v>
      </c>
      <c r="C1865" t="s">
        <v>1079</v>
      </c>
      <c r="D1865" t="s">
        <v>900</v>
      </c>
      <c r="E1865" t="str">
        <f t="shared" si="40"/>
        <v>PES</v>
      </c>
      <c r="F1865" t="s">
        <v>875</v>
      </c>
      <c r="G1865" t="s">
        <v>875</v>
      </c>
      <c r="J1865" t="s">
        <v>143</v>
      </c>
      <c r="K1865" s="23">
        <v>-500</v>
      </c>
      <c r="L1865" t="s">
        <v>24</v>
      </c>
      <c r="M1865" t="s">
        <v>25</v>
      </c>
    </row>
    <row r="1866" spans="1:13" hidden="1" x14ac:dyDescent="0.25">
      <c r="A1866" s="5">
        <v>46038</v>
      </c>
      <c r="B1866" t="s">
        <v>569</v>
      </c>
      <c r="C1866" t="s">
        <v>584</v>
      </c>
      <c r="D1866" t="s">
        <v>99</v>
      </c>
      <c r="E1866" t="str">
        <f t="shared" si="40"/>
        <v>ADM</v>
      </c>
      <c r="F1866" t="s">
        <v>100</v>
      </c>
      <c r="G1866" t="s">
        <v>100</v>
      </c>
      <c r="J1866" t="s">
        <v>143</v>
      </c>
      <c r="K1866" s="23">
        <v>-340</v>
      </c>
      <c r="L1866" t="s">
        <v>24</v>
      </c>
      <c r="M1866" t="s">
        <v>25</v>
      </c>
    </row>
    <row r="1867" spans="1:13" hidden="1" x14ac:dyDescent="0.25">
      <c r="A1867" s="5">
        <v>46038</v>
      </c>
      <c r="B1867" t="s">
        <v>1216</v>
      </c>
      <c r="C1867" t="s">
        <v>1219</v>
      </c>
      <c r="D1867" t="s">
        <v>30</v>
      </c>
      <c r="E1867" t="str">
        <f t="shared" si="40"/>
        <v>ADM</v>
      </c>
      <c r="F1867" t="s">
        <v>16</v>
      </c>
      <c r="G1867" t="s">
        <v>16</v>
      </c>
      <c r="J1867" t="s">
        <v>143</v>
      </c>
      <c r="K1867" s="23">
        <v>-118.3</v>
      </c>
      <c r="L1867" t="s">
        <v>24</v>
      </c>
      <c r="M1867" t="s">
        <v>25</v>
      </c>
    </row>
    <row r="1868" spans="1:13" hidden="1" x14ac:dyDescent="0.25">
      <c r="A1868" s="5">
        <v>46038</v>
      </c>
      <c r="B1868" t="s">
        <v>569</v>
      </c>
      <c r="C1868" t="s">
        <v>1449</v>
      </c>
      <c r="D1868" t="s">
        <v>300</v>
      </c>
      <c r="E1868" t="str">
        <f t="shared" si="40"/>
        <v>VAR</v>
      </c>
      <c r="F1868" t="s">
        <v>483</v>
      </c>
      <c r="G1868" t="s">
        <v>483</v>
      </c>
      <c r="J1868" t="s">
        <v>143</v>
      </c>
      <c r="K1868" s="23">
        <v>-50</v>
      </c>
      <c r="L1868" t="s">
        <v>24</v>
      </c>
      <c r="M1868" t="s">
        <v>25</v>
      </c>
    </row>
    <row r="1869" spans="1:13" hidden="1" x14ac:dyDescent="0.25">
      <c r="A1869" s="5">
        <v>46038</v>
      </c>
      <c r="B1869" t="s">
        <v>569</v>
      </c>
      <c r="C1869" t="s">
        <v>1450</v>
      </c>
      <c r="D1869" t="s">
        <v>56</v>
      </c>
      <c r="E1869" t="str">
        <f t="shared" si="40"/>
        <v>Honorários</v>
      </c>
      <c r="F1869" t="s">
        <v>265</v>
      </c>
      <c r="G1869" t="s">
        <v>265</v>
      </c>
      <c r="I1869" t="s">
        <v>1451</v>
      </c>
      <c r="J1869" t="s">
        <v>143</v>
      </c>
      <c r="K1869" s="23">
        <v>323</v>
      </c>
      <c r="L1869" t="s">
        <v>18</v>
      </c>
      <c r="M1869" t="s">
        <v>19</v>
      </c>
    </row>
    <row r="1870" spans="1:13" hidden="1" x14ac:dyDescent="0.25">
      <c r="A1870" s="5">
        <v>46038</v>
      </c>
      <c r="B1870" t="s">
        <v>1216</v>
      </c>
      <c r="C1870" t="s">
        <v>14</v>
      </c>
      <c r="D1870" s="17" t="s">
        <v>15</v>
      </c>
      <c r="E1870" t="str">
        <f t="shared" si="40"/>
        <v>ADM</v>
      </c>
      <c r="F1870" t="s">
        <v>16</v>
      </c>
      <c r="G1870" t="s">
        <v>16</v>
      </c>
      <c r="J1870" t="s">
        <v>143</v>
      </c>
      <c r="K1870" s="23">
        <v>1230.93</v>
      </c>
      <c r="L1870" t="s">
        <v>18</v>
      </c>
      <c r="M1870" t="s">
        <v>19</v>
      </c>
    </row>
    <row r="1871" spans="1:13" hidden="1" x14ac:dyDescent="0.25">
      <c r="A1871" s="5">
        <v>46034</v>
      </c>
      <c r="B1871" t="s">
        <v>568</v>
      </c>
      <c r="C1871" s="17" t="s">
        <v>1423</v>
      </c>
      <c r="D1871" t="s">
        <v>1487</v>
      </c>
      <c r="E1871" t="str">
        <f t="shared" si="40"/>
        <v>INV</v>
      </c>
      <c r="F1871" t="s">
        <v>1424</v>
      </c>
      <c r="G1871" t="s">
        <v>1424</v>
      </c>
      <c r="J1871" t="s">
        <v>143</v>
      </c>
      <c r="K1871" s="23">
        <v>-1721.5</v>
      </c>
      <c r="L1871" t="s">
        <v>24</v>
      </c>
      <c r="M1871" t="s">
        <v>25</v>
      </c>
    </row>
    <row r="1872" spans="1:13" hidden="1" x14ac:dyDescent="0.25">
      <c r="A1872" s="5">
        <v>46038</v>
      </c>
      <c r="B1872" t="s">
        <v>1216</v>
      </c>
      <c r="C1872" t="s">
        <v>1313</v>
      </c>
      <c r="D1872" t="s">
        <v>30</v>
      </c>
      <c r="E1872" t="str">
        <f t="shared" ref="E1872:E1892" si="41">IF(ISERROR(FIND("-",D1872,1)),D1872,LEFT(D1872,3))</f>
        <v>ADM</v>
      </c>
      <c r="F1872" t="s">
        <v>16</v>
      </c>
      <c r="G1872" t="s">
        <v>16</v>
      </c>
      <c r="J1872" t="s">
        <v>143</v>
      </c>
      <c r="K1872" s="23">
        <v>-109.9</v>
      </c>
      <c r="L1872" t="s">
        <v>24</v>
      </c>
      <c r="M1872" t="s">
        <v>25</v>
      </c>
    </row>
    <row r="1873" spans="1:13" hidden="1" x14ac:dyDescent="0.25">
      <c r="A1873" s="5">
        <v>46038</v>
      </c>
      <c r="B1873" t="s">
        <v>1216</v>
      </c>
      <c r="C1873" t="s">
        <v>29</v>
      </c>
      <c r="D1873" t="s">
        <v>30</v>
      </c>
      <c r="E1873" t="str">
        <f t="shared" si="41"/>
        <v>ADM</v>
      </c>
      <c r="F1873" t="s">
        <v>16</v>
      </c>
      <c r="G1873" t="s">
        <v>16</v>
      </c>
      <c r="J1873" t="s">
        <v>143</v>
      </c>
      <c r="K1873" s="23">
        <v>-653.29999999999995</v>
      </c>
      <c r="L1873" t="s">
        <v>24</v>
      </c>
      <c r="M1873" t="s">
        <v>25</v>
      </c>
    </row>
    <row r="1874" spans="1:13" hidden="1" x14ac:dyDescent="0.25">
      <c r="A1874" s="5">
        <v>46038</v>
      </c>
      <c r="B1874" t="s">
        <v>575</v>
      </c>
      <c r="C1874" t="s">
        <v>843</v>
      </c>
      <c r="D1874" t="s">
        <v>56</v>
      </c>
      <c r="E1874" t="str">
        <f t="shared" si="41"/>
        <v>Honorários</v>
      </c>
      <c r="F1874" t="s">
        <v>483</v>
      </c>
      <c r="G1874" t="s">
        <v>483</v>
      </c>
      <c r="I1874" t="s">
        <v>93</v>
      </c>
      <c r="J1874" t="s">
        <v>143</v>
      </c>
      <c r="K1874" s="23">
        <v>1000</v>
      </c>
      <c r="L1874" t="s">
        <v>18</v>
      </c>
      <c r="M1874" t="s">
        <v>19</v>
      </c>
    </row>
    <row r="1875" spans="1:13" hidden="1" x14ac:dyDescent="0.25">
      <c r="A1875" s="5">
        <v>46038</v>
      </c>
      <c r="B1875" t="s">
        <v>569</v>
      </c>
      <c r="C1875" t="s">
        <v>1454</v>
      </c>
      <c r="D1875" t="s">
        <v>162</v>
      </c>
      <c r="E1875" t="str">
        <f t="shared" si="41"/>
        <v>COM</v>
      </c>
      <c r="F1875" t="s">
        <v>483</v>
      </c>
      <c r="G1875" t="s">
        <v>483</v>
      </c>
      <c r="J1875" t="s">
        <v>143</v>
      </c>
      <c r="K1875" s="23">
        <v>-15.34</v>
      </c>
      <c r="L1875" t="s">
        <v>24</v>
      </c>
      <c r="M1875" t="s">
        <v>25</v>
      </c>
    </row>
    <row r="1876" spans="1:13" hidden="1" x14ac:dyDescent="0.25">
      <c r="A1876" s="5">
        <v>46041</v>
      </c>
      <c r="B1876" t="s">
        <v>569</v>
      </c>
      <c r="C1876" t="s">
        <v>1120</v>
      </c>
      <c r="D1876" t="s">
        <v>56</v>
      </c>
      <c r="E1876" t="str">
        <f t="shared" si="41"/>
        <v>Honorários</v>
      </c>
      <c r="F1876" t="s">
        <v>1118</v>
      </c>
      <c r="G1876" t="s">
        <v>1118</v>
      </c>
      <c r="I1876" t="s">
        <v>1119</v>
      </c>
      <c r="J1876" t="s">
        <v>143</v>
      </c>
      <c r="K1876" s="23">
        <v>500</v>
      </c>
      <c r="L1876" t="s">
        <v>18</v>
      </c>
      <c r="M1876" t="s">
        <v>19</v>
      </c>
    </row>
    <row r="1877" spans="1:13" hidden="1" x14ac:dyDescent="0.25">
      <c r="A1877" s="5">
        <v>46042</v>
      </c>
      <c r="B1877" t="s">
        <v>568</v>
      </c>
      <c r="C1877" t="s">
        <v>537</v>
      </c>
      <c r="D1877" t="s">
        <v>166</v>
      </c>
      <c r="E1877" t="str">
        <f t="shared" si="41"/>
        <v>PES</v>
      </c>
      <c r="F1877" t="s">
        <v>537</v>
      </c>
      <c r="G1877" t="s">
        <v>537</v>
      </c>
      <c r="J1877" t="s">
        <v>143</v>
      </c>
      <c r="K1877" s="23">
        <v>-4710.82</v>
      </c>
      <c r="L1877" t="s">
        <v>24</v>
      </c>
      <c r="M1877" t="s">
        <v>25</v>
      </c>
    </row>
    <row r="1878" spans="1:13" hidden="1" x14ac:dyDescent="0.25">
      <c r="A1878" s="5">
        <v>46042</v>
      </c>
      <c r="B1878" t="s">
        <v>568</v>
      </c>
      <c r="C1878" t="s">
        <v>158</v>
      </c>
      <c r="D1878" t="s">
        <v>159</v>
      </c>
      <c r="E1878" t="str">
        <f t="shared" si="41"/>
        <v>PES</v>
      </c>
      <c r="F1878" t="s">
        <v>158</v>
      </c>
      <c r="G1878" t="s">
        <v>158</v>
      </c>
      <c r="J1878" t="s">
        <v>143</v>
      </c>
      <c r="K1878" s="23">
        <v>-1096.76</v>
      </c>
      <c r="L1878" t="s">
        <v>24</v>
      </c>
      <c r="M1878" t="s">
        <v>25</v>
      </c>
    </row>
    <row r="1879" spans="1:13" hidden="1" x14ac:dyDescent="0.25">
      <c r="A1879" s="5">
        <v>46042</v>
      </c>
      <c r="B1879" t="s">
        <v>569</v>
      </c>
      <c r="C1879" t="s">
        <v>1455</v>
      </c>
      <c r="D1879" t="s">
        <v>1456</v>
      </c>
      <c r="E1879" t="str">
        <f t="shared" si="41"/>
        <v>PES</v>
      </c>
      <c r="F1879" t="s">
        <v>1457</v>
      </c>
      <c r="G1879" t="s">
        <v>1457</v>
      </c>
      <c r="J1879" t="s">
        <v>143</v>
      </c>
      <c r="K1879" s="23">
        <v>-300</v>
      </c>
      <c r="L1879" t="s">
        <v>24</v>
      </c>
      <c r="M1879" t="s">
        <v>25</v>
      </c>
    </row>
    <row r="1880" spans="1:13" hidden="1" x14ac:dyDescent="0.25">
      <c r="A1880" s="5">
        <v>46042</v>
      </c>
      <c r="B1880" t="s">
        <v>569</v>
      </c>
      <c r="C1880" t="s">
        <v>640</v>
      </c>
      <c r="D1880" t="s">
        <v>56</v>
      </c>
      <c r="E1880" t="str">
        <f t="shared" si="41"/>
        <v>Honorários</v>
      </c>
      <c r="F1880" t="s">
        <v>776</v>
      </c>
      <c r="G1880" t="s">
        <v>776</v>
      </c>
      <c r="I1880" t="s">
        <v>777</v>
      </c>
      <c r="J1880" t="s">
        <v>143</v>
      </c>
      <c r="K1880" s="23">
        <v>467.24</v>
      </c>
      <c r="L1880" t="s">
        <v>18</v>
      </c>
      <c r="M1880" t="s">
        <v>19</v>
      </c>
    </row>
    <row r="1881" spans="1:13" hidden="1" x14ac:dyDescent="0.25">
      <c r="A1881" s="5">
        <v>46042</v>
      </c>
      <c r="B1881" t="s">
        <v>568</v>
      </c>
      <c r="C1881" t="s">
        <v>1458</v>
      </c>
      <c r="D1881" t="s">
        <v>154</v>
      </c>
      <c r="E1881" t="str">
        <f t="shared" si="41"/>
        <v>ADM</v>
      </c>
      <c r="F1881" t="s">
        <v>155</v>
      </c>
      <c r="G1881" t="s">
        <v>155</v>
      </c>
      <c r="J1881" t="s">
        <v>143</v>
      </c>
      <c r="K1881" s="23">
        <v>-109.67</v>
      </c>
      <c r="L1881" t="s">
        <v>24</v>
      </c>
      <c r="M1881" t="s">
        <v>25</v>
      </c>
    </row>
    <row r="1882" spans="1:13" hidden="1" x14ac:dyDescent="0.25">
      <c r="A1882" s="5">
        <v>46042</v>
      </c>
      <c r="B1882" t="s">
        <v>569</v>
      </c>
      <c r="C1882" t="s">
        <v>1459</v>
      </c>
      <c r="D1882" t="s">
        <v>300</v>
      </c>
      <c r="E1882" t="str">
        <f t="shared" si="41"/>
        <v>VAR</v>
      </c>
      <c r="F1882" t="s">
        <v>1118</v>
      </c>
      <c r="G1882" t="s">
        <v>1118</v>
      </c>
      <c r="I1882" t="s">
        <v>1119</v>
      </c>
      <c r="J1882" t="s">
        <v>143</v>
      </c>
      <c r="K1882" s="23">
        <v>-250</v>
      </c>
      <c r="L1882" t="s">
        <v>24</v>
      </c>
      <c r="M1882" t="s">
        <v>25</v>
      </c>
    </row>
    <row r="1883" spans="1:13" hidden="1" x14ac:dyDescent="0.25">
      <c r="A1883" s="5">
        <v>46042</v>
      </c>
      <c r="B1883" t="s">
        <v>568</v>
      </c>
      <c r="C1883" t="s">
        <v>1460</v>
      </c>
      <c r="D1883" t="s">
        <v>159</v>
      </c>
      <c r="E1883" t="str">
        <f t="shared" si="41"/>
        <v>PES</v>
      </c>
      <c r="F1883" t="s">
        <v>158</v>
      </c>
      <c r="G1883" t="s">
        <v>158</v>
      </c>
      <c r="J1883" t="s">
        <v>143</v>
      </c>
      <c r="K1883" s="23">
        <v>-541.9</v>
      </c>
      <c r="L1883" t="s">
        <v>24</v>
      </c>
      <c r="M1883" t="s">
        <v>25</v>
      </c>
    </row>
    <row r="1884" spans="1:13" hidden="1" x14ac:dyDescent="0.25">
      <c r="A1884" s="5">
        <v>46044</v>
      </c>
      <c r="B1884" t="s">
        <v>568</v>
      </c>
      <c r="C1884" t="s">
        <v>432</v>
      </c>
      <c r="D1884" t="s">
        <v>103</v>
      </c>
      <c r="E1884" t="str">
        <f t="shared" si="41"/>
        <v>ADM</v>
      </c>
      <c r="F1884" t="s">
        <v>1461</v>
      </c>
      <c r="G1884" t="s">
        <v>1461</v>
      </c>
      <c r="J1884" t="s">
        <v>143</v>
      </c>
      <c r="K1884" s="23">
        <v>-200</v>
      </c>
      <c r="L1884" t="s">
        <v>24</v>
      </c>
      <c r="M1884" t="s">
        <v>25</v>
      </c>
    </row>
    <row r="1885" spans="1:13" hidden="1" x14ac:dyDescent="0.25">
      <c r="A1885" s="5">
        <v>46045</v>
      </c>
      <c r="B1885" t="s">
        <v>569</v>
      </c>
      <c r="C1885" t="s">
        <v>584</v>
      </c>
      <c r="D1885" t="s">
        <v>99</v>
      </c>
      <c r="E1885" t="str">
        <f t="shared" si="41"/>
        <v>ADM</v>
      </c>
      <c r="F1885" t="s">
        <v>100</v>
      </c>
      <c r="G1885" t="s">
        <v>100</v>
      </c>
      <c r="J1885" t="s">
        <v>143</v>
      </c>
      <c r="K1885" s="23">
        <v>-340</v>
      </c>
      <c r="L1885" t="s">
        <v>24</v>
      </c>
      <c r="M1885" t="s">
        <v>25</v>
      </c>
    </row>
    <row r="1886" spans="1:13" hidden="1" x14ac:dyDescent="0.25">
      <c r="A1886" s="5">
        <v>46045</v>
      </c>
      <c r="B1886" t="s">
        <v>569</v>
      </c>
      <c r="C1886" t="s">
        <v>1462</v>
      </c>
      <c r="D1886" t="s">
        <v>900</v>
      </c>
      <c r="E1886" t="str">
        <f t="shared" si="41"/>
        <v>PES</v>
      </c>
      <c r="F1886" t="s">
        <v>875</v>
      </c>
      <c r="G1886" t="s">
        <v>875</v>
      </c>
      <c r="J1886" t="s">
        <v>143</v>
      </c>
      <c r="K1886" s="23">
        <v>-400</v>
      </c>
      <c r="L1886" t="s">
        <v>24</v>
      </c>
      <c r="M1886" t="s">
        <v>25</v>
      </c>
    </row>
    <row r="1887" spans="1:13" hidden="1" x14ac:dyDescent="0.25">
      <c r="A1887" s="5">
        <v>46031</v>
      </c>
      <c r="B1887" t="s">
        <v>568</v>
      </c>
      <c r="C1887" t="s">
        <v>1400</v>
      </c>
      <c r="D1887" t="s">
        <v>149</v>
      </c>
      <c r="E1887" t="str">
        <f t="shared" si="41"/>
        <v>ADM</v>
      </c>
      <c r="F1887" t="s">
        <v>1401</v>
      </c>
      <c r="G1887" t="s">
        <v>1401</v>
      </c>
      <c r="J1887" t="s">
        <v>143</v>
      </c>
      <c r="K1887" s="23">
        <v>-2350</v>
      </c>
      <c r="L1887" t="s">
        <v>24</v>
      </c>
      <c r="M1887" t="s">
        <v>25</v>
      </c>
    </row>
    <row r="1888" spans="1:13" hidden="1" x14ac:dyDescent="0.25">
      <c r="A1888" s="5">
        <v>46038</v>
      </c>
      <c r="B1888" t="s">
        <v>568</v>
      </c>
      <c r="C1888" s="17" t="s">
        <v>1452</v>
      </c>
      <c r="D1888" t="s">
        <v>1487</v>
      </c>
      <c r="E1888" t="str">
        <f t="shared" si="41"/>
        <v>INV</v>
      </c>
      <c r="F1888" t="s">
        <v>1453</v>
      </c>
      <c r="G1888" t="s">
        <v>1453</v>
      </c>
      <c r="J1888" t="s">
        <v>143</v>
      </c>
      <c r="K1888" s="23">
        <v>-2500</v>
      </c>
      <c r="L1888" t="s">
        <v>24</v>
      </c>
      <c r="M1888" t="s">
        <v>25</v>
      </c>
    </row>
    <row r="1889" spans="1:13" hidden="1" x14ac:dyDescent="0.25">
      <c r="A1889" s="5">
        <v>46050</v>
      </c>
      <c r="B1889" t="s">
        <v>568</v>
      </c>
      <c r="C1889" t="s">
        <v>1467</v>
      </c>
      <c r="D1889" t="s">
        <v>149</v>
      </c>
      <c r="E1889" t="str">
        <f t="shared" si="41"/>
        <v>ADM</v>
      </c>
      <c r="F1889" t="s">
        <v>1046</v>
      </c>
      <c r="G1889" t="s">
        <v>1046</v>
      </c>
      <c r="J1889" t="s">
        <v>143</v>
      </c>
      <c r="K1889" s="23">
        <v>-3300</v>
      </c>
      <c r="L1889" t="s">
        <v>24</v>
      </c>
      <c r="M1889" t="s">
        <v>25</v>
      </c>
    </row>
    <row r="1890" spans="1:13" hidden="1" x14ac:dyDescent="0.25">
      <c r="A1890" s="5">
        <v>46048</v>
      </c>
      <c r="B1890" t="s">
        <v>568</v>
      </c>
      <c r="C1890" t="s">
        <v>1466</v>
      </c>
      <c r="D1890" t="s">
        <v>508</v>
      </c>
      <c r="E1890" t="str">
        <f t="shared" si="41"/>
        <v>ADM</v>
      </c>
      <c r="F1890" t="s">
        <v>1351</v>
      </c>
      <c r="G1890" t="s">
        <v>1351</v>
      </c>
      <c r="J1890" t="s">
        <v>143</v>
      </c>
      <c r="K1890" s="23">
        <v>-745.67</v>
      </c>
      <c r="L1890" t="s">
        <v>24</v>
      </c>
      <c r="M1890" t="s">
        <v>25</v>
      </c>
    </row>
    <row r="1891" spans="1:13" hidden="1" x14ac:dyDescent="0.25">
      <c r="A1891" s="5">
        <v>46050</v>
      </c>
      <c r="B1891" t="s">
        <v>569</v>
      </c>
      <c r="C1891" t="s">
        <v>1120</v>
      </c>
      <c r="D1891" t="s">
        <v>56</v>
      </c>
      <c r="E1891" t="str">
        <f t="shared" si="41"/>
        <v>Honorários</v>
      </c>
      <c r="F1891" t="s">
        <v>1118</v>
      </c>
      <c r="G1891" t="s">
        <v>1118</v>
      </c>
      <c r="I1891" t="s">
        <v>1119</v>
      </c>
      <c r="J1891" t="s">
        <v>143</v>
      </c>
      <c r="K1891" s="23">
        <v>500</v>
      </c>
      <c r="L1891" t="s">
        <v>18</v>
      </c>
      <c r="M1891" t="s">
        <v>19</v>
      </c>
    </row>
    <row r="1892" spans="1:13" hidden="1" x14ac:dyDescent="0.25">
      <c r="A1892" s="5">
        <v>46029</v>
      </c>
      <c r="B1892" t="s">
        <v>568</v>
      </c>
      <c r="C1892" s="17" t="s">
        <v>1390</v>
      </c>
      <c r="D1892" t="s">
        <v>1487</v>
      </c>
      <c r="E1892" t="str">
        <f t="shared" si="41"/>
        <v>INV</v>
      </c>
      <c r="F1892" t="s">
        <v>1391</v>
      </c>
      <c r="G1892" t="s">
        <v>1391</v>
      </c>
      <c r="J1892" t="s">
        <v>143</v>
      </c>
      <c r="K1892" s="23">
        <v>-10000</v>
      </c>
      <c r="L1892" t="s">
        <v>24</v>
      </c>
      <c r="M1892" t="s">
        <v>25</v>
      </c>
    </row>
    <row r="1893" spans="1:13" hidden="1" x14ac:dyDescent="0.25">
      <c r="A1893" s="5">
        <v>46050</v>
      </c>
      <c r="B1893" t="s">
        <v>569</v>
      </c>
      <c r="C1893" t="s">
        <v>1459</v>
      </c>
      <c r="D1893" t="s">
        <v>300</v>
      </c>
      <c r="E1893" t="str">
        <f t="shared" ref="E1893:E1916" si="42">IF(ISERROR(FIND("-",D1893,1)),D1893,LEFT(D1893,3))</f>
        <v>VAR</v>
      </c>
      <c r="F1893" t="s">
        <v>1118</v>
      </c>
      <c r="G1893" t="s">
        <v>1118</v>
      </c>
      <c r="I1893" t="s">
        <v>1119</v>
      </c>
      <c r="J1893" t="s">
        <v>143</v>
      </c>
      <c r="K1893" s="23">
        <v>-250</v>
      </c>
      <c r="L1893" t="s">
        <v>24</v>
      </c>
      <c r="M1893" t="s">
        <v>25</v>
      </c>
    </row>
    <row r="1894" spans="1:13" hidden="1" x14ac:dyDescent="0.25">
      <c r="A1894" s="5">
        <v>46051</v>
      </c>
      <c r="B1894" t="s">
        <v>569</v>
      </c>
      <c r="C1894" t="s">
        <v>1459</v>
      </c>
      <c r="D1894" t="s">
        <v>300</v>
      </c>
      <c r="E1894" t="str">
        <f t="shared" si="42"/>
        <v>VAR</v>
      </c>
      <c r="F1894" t="s">
        <v>1444</v>
      </c>
      <c r="G1894" t="s">
        <v>1444</v>
      </c>
      <c r="I1894" t="s">
        <v>1445</v>
      </c>
      <c r="J1894" t="s">
        <v>143</v>
      </c>
      <c r="K1894" s="23">
        <v>-250</v>
      </c>
      <c r="L1894" t="s">
        <v>24</v>
      </c>
      <c r="M1894" t="s">
        <v>25</v>
      </c>
    </row>
    <row r="1895" spans="1:13" hidden="1" x14ac:dyDescent="0.25">
      <c r="A1895" s="5">
        <v>46051</v>
      </c>
      <c r="B1895" t="s">
        <v>569</v>
      </c>
      <c r="C1895" t="s">
        <v>1468</v>
      </c>
      <c r="D1895" t="s">
        <v>77</v>
      </c>
      <c r="E1895" t="str">
        <f t="shared" si="42"/>
        <v>Despesa do cliente</v>
      </c>
      <c r="F1895" t="s">
        <v>1469</v>
      </c>
      <c r="G1895" t="s">
        <v>1469</v>
      </c>
      <c r="I1895" t="s">
        <v>82</v>
      </c>
      <c r="J1895" t="s">
        <v>143</v>
      </c>
      <c r="K1895" s="23">
        <v>-400</v>
      </c>
      <c r="L1895" t="s">
        <v>24</v>
      </c>
      <c r="M1895" t="s">
        <v>25</v>
      </c>
    </row>
    <row r="1896" spans="1:13" hidden="1" x14ac:dyDescent="0.25">
      <c r="A1896" s="5">
        <v>46051</v>
      </c>
      <c r="B1896" t="s">
        <v>569</v>
      </c>
      <c r="C1896" t="s">
        <v>1470</v>
      </c>
      <c r="D1896" t="s">
        <v>56</v>
      </c>
      <c r="E1896" t="str">
        <f t="shared" si="42"/>
        <v>Honorários</v>
      </c>
      <c r="F1896" t="s">
        <v>1471</v>
      </c>
      <c r="G1896" t="s">
        <v>1471</v>
      </c>
      <c r="I1896" t="s">
        <v>1254</v>
      </c>
      <c r="J1896" t="s">
        <v>143</v>
      </c>
      <c r="K1896" s="23">
        <v>207.2</v>
      </c>
      <c r="L1896" t="s">
        <v>18</v>
      </c>
      <c r="M1896" t="s">
        <v>19</v>
      </c>
    </row>
    <row r="1897" spans="1:13" hidden="1" x14ac:dyDescent="0.25">
      <c r="A1897" s="5">
        <v>46052</v>
      </c>
      <c r="B1897" t="s">
        <v>568</v>
      </c>
      <c r="C1897" t="s">
        <v>1472</v>
      </c>
      <c r="D1897" t="s">
        <v>1070</v>
      </c>
      <c r="E1897" t="str">
        <f t="shared" si="42"/>
        <v>PES</v>
      </c>
      <c r="F1897" t="s">
        <v>1137</v>
      </c>
      <c r="G1897" t="s">
        <v>1137</v>
      </c>
      <c r="J1897" t="s">
        <v>143</v>
      </c>
      <c r="K1897" s="23">
        <v>-131.5</v>
      </c>
      <c r="L1897" t="s">
        <v>24</v>
      </c>
      <c r="M1897" t="s">
        <v>25</v>
      </c>
    </row>
    <row r="1898" spans="1:13" hidden="1" x14ac:dyDescent="0.25">
      <c r="A1898" s="5">
        <v>46052</v>
      </c>
      <c r="B1898" t="s">
        <v>568</v>
      </c>
      <c r="C1898" t="s">
        <v>1236</v>
      </c>
      <c r="D1898" t="s">
        <v>1070</v>
      </c>
      <c r="E1898" t="str">
        <f t="shared" si="42"/>
        <v>PES</v>
      </c>
      <c r="F1898" t="s">
        <v>1137</v>
      </c>
      <c r="G1898" t="s">
        <v>1137</v>
      </c>
      <c r="J1898" t="s">
        <v>143</v>
      </c>
      <c r="K1898" s="23">
        <v>-1802.5</v>
      </c>
      <c r="L1898" t="s">
        <v>24</v>
      </c>
      <c r="M1898" t="s">
        <v>25</v>
      </c>
    </row>
    <row r="1899" spans="1:13" hidden="1" x14ac:dyDescent="0.25">
      <c r="A1899" s="5">
        <v>46052</v>
      </c>
      <c r="B1899" t="s">
        <v>569</v>
      </c>
      <c r="C1899" t="s">
        <v>584</v>
      </c>
      <c r="D1899" t="s">
        <v>99</v>
      </c>
      <c r="E1899" t="str">
        <f t="shared" si="42"/>
        <v>ADM</v>
      </c>
      <c r="F1899" t="s">
        <v>100</v>
      </c>
      <c r="G1899" t="s">
        <v>100</v>
      </c>
      <c r="J1899" t="s">
        <v>143</v>
      </c>
      <c r="K1899" s="23">
        <v>-340</v>
      </c>
      <c r="L1899" t="s">
        <v>24</v>
      </c>
      <c r="M1899" t="s">
        <v>25</v>
      </c>
    </row>
    <row r="1900" spans="1:13" hidden="1" x14ac:dyDescent="0.25">
      <c r="A1900" s="5">
        <v>46052</v>
      </c>
      <c r="B1900" t="s">
        <v>568</v>
      </c>
      <c r="C1900" t="s">
        <v>1473</v>
      </c>
      <c r="D1900" t="s">
        <v>201</v>
      </c>
      <c r="E1900" t="str">
        <f t="shared" si="42"/>
        <v>DIR</v>
      </c>
      <c r="F1900" t="s">
        <v>327</v>
      </c>
      <c r="G1900" t="s">
        <v>327</v>
      </c>
      <c r="J1900" t="s">
        <v>143</v>
      </c>
      <c r="K1900" s="23">
        <v>-6057.31</v>
      </c>
      <c r="L1900" t="s">
        <v>24</v>
      </c>
      <c r="M1900" t="s">
        <v>25</v>
      </c>
    </row>
    <row r="1901" spans="1:13" hidden="1" x14ac:dyDescent="0.25">
      <c r="A1901" s="5">
        <v>46052</v>
      </c>
      <c r="B1901" t="s">
        <v>568</v>
      </c>
      <c r="C1901" t="s">
        <v>1474</v>
      </c>
      <c r="D1901" t="s">
        <v>1475</v>
      </c>
      <c r="E1901" t="str">
        <f t="shared" si="42"/>
        <v>T&amp;O</v>
      </c>
      <c r="F1901" t="s">
        <v>309</v>
      </c>
      <c r="G1901" t="s">
        <v>309</v>
      </c>
      <c r="J1901" t="s">
        <v>143</v>
      </c>
      <c r="K1901" s="23">
        <v>-999</v>
      </c>
      <c r="L1901" t="s">
        <v>24</v>
      </c>
      <c r="M1901" t="s">
        <v>25</v>
      </c>
    </row>
    <row r="1902" spans="1:13" hidden="1" x14ac:dyDescent="0.25">
      <c r="A1902" s="5">
        <v>46052</v>
      </c>
      <c r="B1902" t="s">
        <v>568</v>
      </c>
      <c r="C1902" t="s">
        <v>1476</v>
      </c>
      <c r="D1902" t="s">
        <v>1475</v>
      </c>
      <c r="E1902" t="str">
        <f t="shared" si="42"/>
        <v>T&amp;O</v>
      </c>
      <c r="F1902" t="s">
        <v>309</v>
      </c>
      <c r="G1902" t="s">
        <v>309</v>
      </c>
      <c r="J1902" t="s">
        <v>143</v>
      </c>
      <c r="K1902" s="23">
        <v>-550</v>
      </c>
      <c r="L1902" t="s">
        <v>24</v>
      </c>
      <c r="M1902" t="s">
        <v>25</v>
      </c>
    </row>
    <row r="1903" spans="1:13" hidden="1" x14ac:dyDescent="0.25">
      <c r="A1903" s="5">
        <v>46052</v>
      </c>
      <c r="B1903" t="s">
        <v>568</v>
      </c>
      <c r="C1903" t="s">
        <v>484</v>
      </c>
      <c r="D1903" t="s">
        <v>207</v>
      </c>
      <c r="E1903" t="str">
        <f t="shared" si="42"/>
        <v>DIR</v>
      </c>
      <c r="F1903" t="s">
        <v>67</v>
      </c>
      <c r="G1903" t="s">
        <v>67</v>
      </c>
      <c r="J1903" t="s">
        <v>143</v>
      </c>
      <c r="K1903" s="23">
        <v>-1442.69</v>
      </c>
      <c r="L1903" t="s">
        <v>24</v>
      </c>
      <c r="M1903" t="s">
        <v>25</v>
      </c>
    </row>
    <row r="1904" spans="1:13" x14ac:dyDescent="0.25">
      <c r="A1904" s="5">
        <v>46052</v>
      </c>
      <c r="B1904" t="s">
        <v>568</v>
      </c>
      <c r="C1904" t="s">
        <v>1477</v>
      </c>
      <c r="D1904" t="s">
        <v>198</v>
      </c>
      <c r="E1904" t="str">
        <f t="shared" si="42"/>
        <v>PES</v>
      </c>
      <c r="F1904" t="s">
        <v>1478</v>
      </c>
      <c r="G1904" t="s">
        <v>1478</v>
      </c>
      <c r="J1904" t="s">
        <v>143</v>
      </c>
      <c r="K1904" s="23">
        <v>-1994.99</v>
      </c>
      <c r="L1904" t="s">
        <v>24</v>
      </c>
      <c r="M1904" t="s">
        <v>25</v>
      </c>
    </row>
    <row r="1905" spans="1:13" x14ac:dyDescent="0.25">
      <c r="A1905" s="5">
        <v>46052</v>
      </c>
      <c r="B1905" t="s">
        <v>569</v>
      </c>
      <c r="C1905" t="s">
        <v>272</v>
      </c>
      <c r="D1905" t="s">
        <v>198</v>
      </c>
      <c r="E1905" t="str">
        <f t="shared" si="42"/>
        <v>PES</v>
      </c>
      <c r="F1905" t="s">
        <v>875</v>
      </c>
      <c r="G1905" t="s">
        <v>875</v>
      </c>
      <c r="J1905" t="s">
        <v>143</v>
      </c>
      <c r="K1905" s="23">
        <v>-3500</v>
      </c>
      <c r="L1905" t="s">
        <v>24</v>
      </c>
      <c r="M1905" t="s">
        <v>25</v>
      </c>
    </row>
    <row r="1906" spans="1:13" x14ac:dyDescent="0.25">
      <c r="A1906" s="5">
        <v>46052</v>
      </c>
      <c r="B1906" t="s">
        <v>569</v>
      </c>
      <c r="C1906" t="s">
        <v>272</v>
      </c>
      <c r="D1906" t="s">
        <v>198</v>
      </c>
      <c r="E1906" t="str">
        <f t="shared" si="42"/>
        <v>PES</v>
      </c>
      <c r="F1906" t="s">
        <v>203</v>
      </c>
      <c r="G1906" t="s">
        <v>203</v>
      </c>
      <c r="J1906" t="s">
        <v>143</v>
      </c>
      <c r="K1906" s="23">
        <v>-1621</v>
      </c>
      <c r="L1906" t="s">
        <v>24</v>
      </c>
      <c r="M1906" t="s">
        <v>25</v>
      </c>
    </row>
    <row r="1907" spans="1:13" hidden="1" x14ac:dyDescent="0.25">
      <c r="A1907" s="5">
        <v>46052</v>
      </c>
      <c r="B1907" t="s">
        <v>568</v>
      </c>
      <c r="C1907" t="s">
        <v>1479</v>
      </c>
      <c r="D1907" t="s">
        <v>1475</v>
      </c>
      <c r="E1907" t="str">
        <f t="shared" si="42"/>
        <v>T&amp;O</v>
      </c>
      <c r="F1907" t="s">
        <v>309</v>
      </c>
      <c r="G1907" t="s">
        <v>309</v>
      </c>
      <c r="J1907" t="s">
        <v>143</v>
      </c>
      <c r="K1907" s="23">
        <v>-999</v>
      </c>
      <c r="L1907" t="s">
        <v>24</v>
      </c>
      <c r="M1907" t="s">
        <v>25</v>
      </c>
    </row>
    <row r="1908" spans="1:13" hidden="1" x14ac:dyDescent="0.25">
      <c r="A1908" s="5">
        <v>46052</v>
      </c>
      <c r="B1908" t="s">
        <v>568</v>
      </c>
      <c r="C1908" t="s">
        <v>1480</v>
      </c>
      <c r="D1908" t="s">
        <v>201</v>
      </c>
      <c r="E1908" t="str">
        <f t="shared" si="42"/>
        <v>DIR</v>
      </c>
      <c r="F1908" t="s">
        <v>67</v>
      </c>
      <c r="G1908" t="s">
        <v>67</v>
      </c>
      <c r="J1908" t="s">
        <v>143</v>
      </c>
      <c r="K1908" s="23">
        <v>-5057.3100000000004</v>
      </c>
      <c r="L1908" t="s">
        <v>24</v>
      </c>
      <c r="M1908" t="s">
        <v>25</v>
      </c>
    </row>
    <row r="1909" spans="1:13" hidden="1" x14ac:dyDescent="0.25">
      <c r="A1909" s="5">
        <v>46052</v>
      </c>
      <c r="B1909" t="s">
        <v>568</v>
      </c>
      <c r="C1909" t="s">
        <v>1481</v>
      </c>
      <c r="D1909" t="s">
        <v>103</v>
      </c>
      <c r="E1909" t="str">
        <f t="shared" si="42"/>
        <v>ADM</v>
      </c>
      <c r="F1909" t="s">
        <v>1461</v>
      </c>
      <c r="G1909" t="s">
        <v>1461</v>
      </c>
      <c r="J1909" t="s">
        <v>143</v>
      </c>
      <c r="K1909" s="23">
        <v>-1058</v>
      </c>
      <c r="L1909" t="s">
        <v>24</v>
      </c>
      <c r="M1909" t="s">
        <v>25</v>
      </c>
    </row>
    <row r="1910" spans="1:13" x14ac:dyDescent="0.25">
      <c r="A1910" s="5">
        <v>46052</v>
      </c>
      <c r="B1910" t="s">
        <v>568</v>
      </c>
      <c r="C1910" t="s">
        <v>272</v>
      </c>
      <c r="D1910" t="s">
        <v>198</v>
      </c>
      <c r="E1910" t="str">
        <f t="shared" si="42"/>
        <v>PES</v>
      </c>
      <c r="F1910" t="s">
        <v>1141</v>
      </c>
      <c r="G1910" t="s">
        <v>1141</v>
      </c>
      <c r="J1910" t="s">
        <v>143</v>
      </c>
      <c r="K1910" s="23">
        <v>-1433.99</v>
      </c>
      <c r="L1910" t="s">
        <v>24</v>
      </c>
      <c r="M1910" t="s">
        <v>25</v>
      </c>
    </row>
    <row r="1911" spans="1:13" x14ac:dyDescent="0.25">
      <c r="A1911" s="5">
        <v>46052</v>
      </c>
      <c r="B1911" t="s">
        <v>568</v>
      </c>
      <c r="C1911" t="s">
        <v>1482</v>
      </c>
      <c r="D1911" t="s">
        <v>198</v>
      </c>
      <c r="E1911" t="str">
        <f t="shared" si="42"/>
        <v>PES</v>
      </c>
      <c r="F1911" t="s">
        <v>1483</v>
      </c>
      <c r="G1911" t="s">
        <v>1483</v>
      </c>
      <c r="J1911" t="s">
        <v>143</v>
      </c>
      <c r="K1911" s="23">
        <v>-1994.99</v>
      </c>
      <c r="L1911" t="s">
        <v>24</v>
      </c>
      <c r="M1911" t="s">
        <v>25</v>
      </c>
    </row>
    <row r="1912" spans="1:13" hidden="1" x14ac:dyDescent="0.25">
      <c r="A1912" s="5">
        <v>46052</v>
      </c>
      <c r="B1912" t="s">
        <v>568</v>
      </c>
      <c r="C1912" t="s">
        <v>484</v>
      </c>
      <c r="D1912" t="s">
        <v>207</v>
      </c>
      <c r="E1912" t="str">
        <f t="shared" si="42"/>
        <v>DIR</v>
      </c>
      <c r="F1912" t="s">
        <v>327</v>
      </c>
      <c r="G1912" t="s">
        <v>327</v>
      </c>
      <c r="J1912" t="s">
        <v>143</v>
      </c>
      <c r="K1912" s="23">
        <v>-1442.69</v>
      </c>
      <c r="L1912" t="s">
        <v>24</v>
      </c>
      <c r="M1912" t="s">
        <v>25</v>
      </c>
    </row>
    <row r="1913" spans="1:13" x14ac:dyDescent="0.25">
      <c r="A1913" s="5">
        <v>46052</v>
      </c>
      <c r="B1913" t="s">
        <v>568</v>
      </c>
      <c r="C1913" t="s">
        <v>272</v>
      </c>
      <c r="D1913" t="s">
        <v>198</v>
      </c>
      <c r="E1913" t="str">
        <f t="shared" si="42"/>
        <v>PES</v>
      </c>
      <c r="F1913" t="s">
        <v>199</v>
      </c>
      <c r="G1913" t="s">
        <v>199</v>
      </c>
      <c r="J1913" t="s">
        <v>143</v>
      </c>
      <c r="K1913" s="23">
        <v>-3632.69</v>
      </c>
      <c r="L1913" t="s">
        <v>24</v>
      </c>
      <c r="M1913" t="s">
        <v>25</v>
      </c>
    </row>
    <row r="1914" spans="1:13" hidden="1" x14ac:dyDescent="0.25">
      <c r="A1914" s="5">
        <v>46052</v>
      </c>
      <c r="B1914" t="s">
        <v>569</v>
      </c>
      <c r="C1914" t="s">
        <v>1484</v>
      </c>
      <c r="D1914" t="s">
        <v>56</v>
      </c>
      <c r="E1914" t="str">
        <f t="shared" si="42"/>
        <v>Honorários</v>
      </c>
      <c r="F1914" t="s">
        <v>1485</v>
      </c>
      <c r="G1914" t="s">
        <v>1485</v>
      </c>
      <c r="I1914" t="s">
        <v>1254</v>
      </c>
      <c r="J1914" t="s">
        <v>143</v>
      </c>
      <c r="K1914" s="23">
        <v>57.32</v>
      </c>
      <c r="L1914" t="s">
        <v>18</v>
      </c>
      <c r="M1914" t="s">
        <v>19</v>
      </c>
    </row>
    <row r="1915" spans="1:13" x14ac:dyDescent="0.25">
      <c r="A1915" s="5">
        <v>46052</v>
      </c>
      <c r="B1915" t="s">
        <v>568</v>
      </c>
      <c r="C1915" t="s">
        <v>272</v>
      </c>
      <c r="D1915" t="s">
        <v>198</v>
      </c>
      <c r="E1915" t="str">
        <f t="shared" si="42"/>
        <v>PES</v>
      </c>
      <c r="F1915" t="s">
        <v>645</v>
      </c>
      <c r="G1915" t="s">
        <v>645</v>
      </c>
      <c r="J1915" t="s">
        <v>143</v>
      </c>
      <c r="K1915" s="23">
        <v>-1946.25</v>
      </c>
      <c r="L1915" t="s">
        <v>24</v>
      </c>
      <c r="M1915" t="s">
        <v>25</v>
      </c>
    </row>
    <row r="1916" spans="1:13" x14ac:dyDescent="0.25">
      <c r="A1916" s="5">
        <v>46052</v>
      </c>
      <c r="B1916" t="s">
        <v>568</v>
      </c>
      <c r="C1916" t="s">
        <v>272</v>
      </c>
      <c r="D1916" t="s">
        <v>198</v>
      </c>
      <c r="E1916" t="str">
        <f t="shared" si="42"/>
        <v>PES</v>
      </c>
      <c r="F1916" t="s">
        <v>831</v>
      </c>
      <c r="G1916" t="s">
        <v>831</v>
      </c>
      <c r="J1916" t="s">
        <v>143</v>
      </c>
      <c r="K1916" s="23">
        <v>-1911.61</v>
      </c>
      <c r="L1916" t="s">
        <v>24</v>
      </c>
      <c r="M1916" t="s">
        <v>25</v>
      </c>
    </row>
    <row r="1917" spans="1:13" hidden="1" x14ac:dyDescent="0.25"/>
    <row r="1918" spans="1:13" x14ac:dyDescent="0.25">
      <c r="K1918" s="24">
        <f>SUBTOTAL(9,K2:K1917)</f>
        <v>-19335.52</v>
      </c>
    </row>
    <row r="1920" spans="1:13" x14ac:dyDescent="0.25">
      <c r="K1920" s="24">
        <f>K1918-800</f>
        <v>-20135.52</v>
      </c>
    </row>
  </sheetData>
  <autoFilter ref="A1:N1916" xr:uid="{00000000-0001-0000-0000-000000000000}">
    <filterColumn colId="0">
      <filters>
        <dateGroupItem year="2026" dateTimeGrouping="year"/>
      </filters>
    </filterColumn>
    <filterColumn colId="3">
      <filters>
        <filter val="PES - Salários"/>
      </filters>
    </filterColumn>
    <sortState xmlns:xlrd2="http://schemas.microsoft.com/office/spreadsheetml/2017/richdata2" ref="A1744:N1892">
      <sortCondition descending="1" ref="D1:D1916"/>
    </sortState>
  </autoFilter>
  <pageMargins left="0.7" right="0.7" top="0.75" bottom="0.75" header="0.3" footer="0.3"/>
  <ignoredErrors>
    <ignoredError sqref="B1:M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A2E4-B9E9-458A-97E7-3A5983813D41}">
  <dimension ref="A1:AB80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L34" sqref="L34"/>
    </sheetView>
  </sheetViews>
  <sheetFormatPr defaultRowHeight="15.75" x14ac:dyDescent="0.25"/>
  <cols>
    <col min="1" max="1" width="44" bestFit="1" customWidth="1"/>
    <col min="2" max="2" width="16.75" bestFit="1" customWidth="1"/>
    <col min="3" max="5" width="10" bestFit="1" customWidth="1"/>
    <col min="6" max="7" width="10.375" bestFit="1" customWidth="1"/>
    <col min="8" max="9" width="10" bestFit="1" customWidth="1"/>
    <col min="10" max="10" width="10.375" bestFit="1" customWidth="1"/>
    <col min="11" max="12" width="11" bestFit="1" customWidth="1"/>
    <col min="13" max="13" width="10.375" bestFit="1" customWidth="1"/>
    <col min="14" max="14" width="11" bestFit="1" customWidth="1"/>
    <col min="15" max="15" width="10" bestFit="1" customWidth="1"/>
    <col min="16" max="16" width="12.625" customWidth="1"/>
    <col min="17" max="18" width="11" style="11" hidden="1" customWidth="1"/>
    <col min="24" max="24" width="16.5" bestFit="1" customWidth="1"/>
    <col min="25" max="27" width="9.5" bestFit="1" customWidth="1"/>
    <col min="28" max="28" width="9.875" bestFit="1" customWidth="1"/>
  </cols>
  <sheetData>
    <row r="1" spans="1:28" x14ac:dyDescent="0.25">
      <c r="A1" s="3" t="s">
        <v>12</v>
      </c>
      <c r="B1" t="s">
        <v>214</v>
      </c>
      <c r="Y1">
        <v>-1</v>
      </c>
    </row>
    <row r="2" spans="1:28" x14ac:dyDescent="0.25">
      <c r="T2" t="s">
        <v>83</v>
      </c>
      <c r="U2" s="2">
        <v>3876.67</v>
      </c>
    </row>
    <row r="3" spans="1:28" x14ac:dyDescent="0.25">
      <c r="A3" s="3" t="s">
        <v>213</v>
      </c>
      <c r="B3" s="3" t="s">
        <v>283</v>
      </c>
      <c r="T3" t="s">
        <v>210</v>
      </c>
      <c r="U3" s="2">
        <v>4700.28</v>
      </c>
      <c r="Y3" s="17">
        <v>13</v>
      </c>
      <c r="Z3">
        <f>Y3+1</f>
        <v>14</v>
      </c>
      <c r="AA3">
        <f>Z3+1</f>
        <v>15</v>
      </c>
    </row>
    <row r="4" spans="1:28" x14ac:dyDescent="0.25">
      <c r="B4" t="s">
        <v>281</v>
      </c>
      <c r="C4" t="s">
        <v>282</v>
      </c>
      <c r="O4" t="s">
        <v>1486</v>
      </c>
      <c r="P4" s="28" t="s">
        <v>212</v>
      </c>
      <c r="X4" s="8" t="s">
        <v>211</v>
      </c>
      <c r="Y4" s="13" t="str">
        <f t="shared" ref="Y4:Z4" si="0">VLOOKUP($X4,$A:$R,Y$3,0)</f>
        <v>nov</v>
      </c>
      <c r="Z4" s="13" t="str">
        <f t="shared" si="0"/>
        <v>dez</v>
      </c>
      <c r="AA4" s="13" t="str">
        <f>VLOOKUP($X4,$A:$R,AA$3,0)</f>
        <v>jan</v>
      </c>
      <c r="AB4" s="14" t="s">
        <v>423</v>
      </c>
    </row>
    <row r="5" spans="1:28" x14ac:dyDescent="0.25">
      <c r="A5" s="27" t="s">
        <v>211</v>
      </c>
      <c r="B5" s="28" t="s">
        <v>422</v>
      </c>
      <c r="C5" s="28" t="s">
        <v>419</v>
      </c>
      <c r="D5" s="28" t="s">
        <v>420</v>
      </c>
      <c r="E5" s="28" t="s">
        <v>421</v>
      </c>
      <c r="F5" s="28" t="s">
        <v>566</v>
      </c>
      <c r="G5" s="28" t="s">
        <v>647</v>
      </c>
      <c r="H5" s="28" t="s">
        <v>714</v>
      </c>
      <c r="I5" s="28" t="s">
        <v>791</v>
      </c>
      <c r="J5" s="28" t="s">
        <v>896</v>
      </c>
      <c r="K5" s="28" t="s">
        <v>1021</v>
      </c>
      <c r="L5" s="28" t="s">
        <v>1145</v>
      </c>
      <c r="M5" s="28" t="s">
        <v>1243</v>
      </c>
      <c r="N5" t="s">
        <v>422</v>
      </c>
      <c r="O5" t="s">
        <v>419</v>
      </c>
      <c r="P5" s="28"/>
      <c r="Q5" s="29"/>
      <c r="R5" s="29"/>
      <c r="X5" s="15" t="s">
        <v>280</v>
      </c>
      <c r="Y5" s="10">
        <f t="shared" ref="Y5:AA13" si="1">-VLOOKUP($X5,$A:$KQ,Y$3,0)</f>
        <v>45256.2</v>
      </c>
      <c r="Z5" s="10">
        <f t="shared" si="1"/>
        <v>396622.68</v>
      </c>
      <c r="AA5" s="10">
        <f t="shared" si="1"/>
        <v>1450</v>
      </c>
      <c r="AB5" s="11">
        <f t="shared" ref="AB5:AB13" si="2">SUM(Y5:AA5)</f>
        <v>443328.88</v>
      </c>
    </row>
    <row r="6" spans="1:28" x14ac:dyDescent="0.25">
      <c r="A6" s="4" t="s">
        <v>274</v>
      </c>
      <c r="B6" s="2">
        <v>-13352.839999999998</v>
      </c>
      <c r="C6" s="2">
        <v>-12371.08</v>
      </c>
      <c r="D6" s="2">
        <v>-13557.119999999999</v>
      </c>
      <c r="E6" s="2">
        <v>-11014.550000000001</v>
      </c>
      <c r="F6" s="2">
        <v>-14113.82</v>
      </c>
      <c r="G6" s="2">
        <v>-11462.07</v>
      </c>
      <c r="H6" s="2">
        <v>-11562.65</v>
      </c>
      <c r="I6" s="2">
        <v>-13933.1</v>
      </c>
      <c r="J6" s="2">
        <v>-21913.57</v>
      </c>
      <c r="K6" s="2">
        <v>-23321.120000000003</v>
      </c>
      <c r="L6" s="2">
        <v>-19439.239999999998</v>
      </c>
      <c r="M6" s="2">
        <v>-12919.84</v>
      </c>
      <c r="N6" s="2">
        <v>-19723.22</v>
      </c>
      <c r="O6" s="2">
        <v>-26286.969999999998</v>
      </c>
      <c r="P6" s="2">
        <v>-224971.18999999994</v>
      </c>
      <c r="Q6" s="11">
        <f>-N6</f>
        <v>19723.22</v>
      </c>
      <c r="R6" s="11">
        <f>-O6</f>
        <v>26286.969999999998</v>
      </c>
      <c r="X6" s="15" t="s">
        <v>279</v>
      </c>
      <c r="Y6" s="10">
        <f t="shared" si="1"/>
        <v>29850.050000000003</v>
      </c>
      <c r="Z6" s="10">
        <f t="shared" si="1"/>
        <v>31074.13</v>
      </c>
      <c r="AA6" s="10">
        <f t="shared" si="1"/>
        <v>30450.5</v>
      </c>
      <c r="AB6" s="11">
        <f t="shared" si="2"/>
        <v>91374.680000000008</v>
      </c>
    </row>
    <row r="7" spans="1:28" x14ac:dyDescent="0.25">
      <c r="A7" s="6" t="s">
        <v>154</v>
      </c>
      <c r="B7" s="2">
        <v>-106.3</v>
      </c>
      <c r="C7" s="2">
        <v>-61.14</v>
      </c>
      <c r="D7" s="2">
        <v>-128.88</v>
      </c>
      <c r="E7" s="2">
        <v>-106.3</v>
      </c>
      <c r="F7" s="2">
        <v>-134.25</v>
      </c>
      <c r="G7" s="2">
        <v>-110.73</v>
      </c>
      <c r="H7" s="2">
        <v>-134.25</v>
      </c>
      <c r="I7" s="2">
        <v>-108.71</v>
      </c>
      <c r="J7" s="2">
        <v>-132.22999999999999</v>
      </c>
      <c r="K7" s="2">
        <v>-155.75</v>
      </c>
      <c r="L7" s="2">
        <v>-155.75</v>
      </c>
      <c r="M7" s="2">
        <v>-179.27</v>
      </c>
      <c r="N7" s="2">
        <v>-132.22999999999999</v>
      </c>
      <c r="O7" s="2">
        <v>-109.67</v>
      </c>
      <c r="P7" s="2">
        <v>-1755.46</v>
      </c>
      <c r="S7" s="2">
        <f>-AVERAGE(C7:N7)</f>
        <v>128.29083333333332</v>
      </c>
      <c r="X7" s="15" t="s">
        <v>276</v>
      </c>
      <c r="Y7" s="10">
        <f t="shared" si="1"/>
        <v>12500</v>
      </c>
      <c r="Z7" s="10">
        <f t="shared" si="1"/>
        <v>62500</v>
      </c>
      <c r="AA7" s="10">
        <f t="shared" si="1"/>
        <v>14000</v>
      </c>
      <c r="AB7" s="11">
        <f t="shared" si="2"/>
        <v>89000</v>
      </c>
    </row>
    <row r="8" spans="1:28" x14ac:dyDescent="0.25">
      <c r="A8" s="6" t="s">
        <v>998</v>
      </c>
      <c r="B8" s="2"/>
      <c r="C8" s="2"/>
      <c r="D8" s="2"/>
      <c r="E8" s="2"/>
      <c r="F8" s="2"/>
      <c r="G8" s="2"/>
      <c r="H8" s="2"/>
      <c r="I8" s="2"/>
      <c r="J8" s="2"/>
      <c r="K8" s="2">
        <v>-500</v>
      </c>
      <c r="L8" s="2">
        <v>-500</v>
      </c>
      <c r="M8" s="2">
        <v>-1000</v>
      </c>
      <c r="N8" s="2">
        <v>-1000</v>
      </c>
      <c r="O8" s="2">
        <v>-1000</v>
      </c>
      <c r="P8" s="2">
        <v>-4000</v>
      </c>
      <c r="S8" s="2">
        <f t="shared" ref="S8:S24" si="3">-AVERAGE(C8:N8)</f>
        <v>750</v>
      </c>
      <c r="X8" s="15" t="s">
        <v>274</v>
      </c>
      <c r="Y8" s="10">
        <f t="shared" si="1"/>
        <v>12919.84</v>
      </c>
      <c r="Z8" s="10">
        <f t="shared" si="1"/>
        <v>19723.22</v>
      </c>
      <c r="AA8" s="10">
        <f t="shared" si="1"/>
        <v>26286.969999999998</v>
      </c>
      <c r="AB8" s="11">
        <f t="shared" si="2"/>
        <v>58930.03</v>
      </c>
    </row>
    <row r="9" spans="1:28" x14ac:dyDescent="0.25">
      <c r="A9" s="6" t="s">
        <v>52</v>
      </c>
      <c r="B9" s="2">
        <v>-2824</v>
      </c>
      <c r="C9" s="2">
        <v>-1412</v>
      </c>
      <c r="D9" s="2">
        <v>-1518</v>
      </c>
      <c r="E9" s="2">
        <v>-1518</v>
      </c>
      <c r="F9" s="2">
        <v>-1518</v>
      </c>
      <c r="G9" s="2">
        <v>-1668</v>
      </c>
      <c r="H9" s="2">
        <v>-1518</v>
      </c>
      <c r="I9" s="2">
        <v>-1518</v>
      </c>
      <c r="J9" s="2">
        <v>-1518</v>
      </c>
      <c r="K9" s="2">
        <v>-1518</v>
      </c>
      <c r="L9" s="2">
        <v>-2277</v>
      </c>
      <c r="M9" s="2">
        <v>-1518</v>
      </c>
      <c r="N9" s="2">
        <v>-3036</v>
      </c>
      <c r="O9" s="2">
        <v>-1518</v>
      </c>
      <c r="P9" s="2">
        <v>-24879</v>
      </c>
      <c r="S9" s="2">
        <f t="shared" si="3"/>
        <v>1711.4166666666667</v>
      </c>
      <c r="X9" s="15" t="s">
        <v>275</v>
      </c>
      <c r="Y9" s="10">
        <f t="shared" si="1"/>
        <v>9793.67</v>
      </c>
      <c r="Z9" s="10">
        <f t="shared" si="1"/>
        <v>4692.88</v>
      </c>
      <c r="AA9" s="10">
        <f t="shared" si="1"/>
        <v>3295.79</v>
      </c>
      <c r="AB9" s="11">
        <f t="shared" si="2"/>
        <v>17782.34</v>
      </c>
    </row>
    <row r="10" spans="1:28" x14ac:dyDescent="0.25">
      <c r="A10" s="6" t="s">
        <v>508</v>
      </c>
      <c r="B10" s="2"/>
      <c r="C10" s="2"/>
      <c r="D10" s="2"/>
      <c r="E10" s="2"/>
      <c r="F10" s="2">
        <v>-2000</v>
      </c>
      <c r="G10" s="2"/>
      <c r="H10" s="2">
        <v>-59.9</v>
      </c>
      <c r="I10" s="2"/>
      <c r="J10" s="2">
        <v>-300.05</v>
      </c>
      <c r="K10" s="2">
        <v>-999.17000000000007</v>
      </c>
      <c r="L10" s="2">
        <v>-418.35</v>
      </c>
      <c r="M10" s="2">
        <v>-300.05</v>
      </c>
      <c r="N10" s="2">
        <v>-2045.7199999999998</v>
      </c>
      <c r="O10" s="2">
        <v>-1693.72</v>
      </c>
      <c r="P10" s="2">
        <v>-7816.96</v>
      </c>
      <c r="S10" s="2">
        <f t="shared" si="3"/>
        <v>874.74857142857138</v>
      </c>
      <c r="X10" s="15" t="s">
        <v>278</v>
      </c>
      <c r="Y10" s="10">
        <f t="shared" si="1"/>
        <v>2083.2399999999998</v>
      </c>
      <c r="Z10" s="10">
        <f t="shared" si="1"/>
        <v>11129.259999999998</v>
      </c>
      <c r="AA10" s="10">
        <f t="shared" si="1"/>
        <v>19913.060000000001</v>
      </c>
      <c r="AB10" s="11">
        <f t="shared" si="2"/>
        <v>33125.56</v>
      </c>
    </row>
    <row r="11" spans="1:28" x14ac:dyDescent="0.25">
      <c r="A11" s="6" t="s">
        <v>15</v>
      </c>
      <c r="B11" s="2">
        <v>-2936.92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-224.99</v>
      </c>
      <c r="I11" s="2">
        <v>-224.10999999999979</v>
      </c>
      <c r="J11" s="2">
        <v>-224.99</v>
      </c>
      <c r="K11" s="2">
        <v>-224.99000000000024</v>
      </c>
      <c r="L11" s="2">
        <v>-224.98999999999978</v>
      </c>
      <c r="M11" s="2">
        <v>-224.98999999999978</v>
      </c>
      <c r="N11" s="2">
        <v>-224.99</v>
      </c>
      <c r="O11" s="2">
        <v>-224.99</v>
      </c>
      <c r="P11" s="2">
        <v>-4735.9599999999991</v>
      </c>
      <c r="S11" s="2">
        <f t="shared" si="3"/>
        <v>131.17083333333329</v>
      </c>
      <c r="X11" s="15" t="s">
        <v>418</v>
      </c>
      <c r="Y11" s="10">
        <f t="shared" si="1"/>
        <v>0</v>
      </c>
      <c r="Z11" s="10">
        <f t="shared" si="1"/>
        <v>0</v>
      </c>
      <c r="AA11" s="10">
        <f t="shared" si="1"/>
        <v>2548</v>
      </c>
      <c r="AB11" s="11">
        <f t="shared" si="2"/>
        <v>2548</v>
      </c>
    </row>
    <row r="12" spans="1:28" x14ac:dyDescent="0.25">
      <c r="A12" s="6" t="s">
        <v>96</v>
      </c>
      <c r="B12" s="2">
        <v>-2977.01</v>
      </c>
      <c r="C12" s="2">
        <v>-2967.49</v>
      </c>
      <c r="D12" s="2">
        <v>-3015.68</v>
      </c>
      <c r="E12" s="2">
        <v>-2742.25</v>
      </c>
      <c r="F12" s="2">
        <v>-2805.1299999999992</v>
      </c>
      <c r="G12" s="2">
        <v>-3095.5099999999998</v>
      </c>
      <c r="H12" s="2">
        <v>-2914.4599999999996</v>
      </c>
      <c r="I12" s="2">
        <v>-3202.6899999999996</v>
      </c>
      <c r="J12" s="2">
        <v>-3225.46</v>
      </c>
      <c r="K12" s="2">
        <v>-2819.3199999999997</v>
      </c>
      <c r="L12" s="2">
        <v>-2777.5299999999993</v>
      </c>
      <c r="M12" s="2">
        <v>-2892.0200000000004</v>
      </c>
      <c r="N12" s="2">
        <v>-2781.8200000000006</v>
      </c>
      <c r="O12" s="2">
        <v>-2884.6000000000004</v>
      </c>
      <c r="P12" s="2">
        <v>-41100.969999999994</v>
      </c>
      <c r="S12" s="2">
        <f t="shared" si="3"/>
        <v>2936.6133333333332</v>
      </c>
      <c r="X12" s="15" t="s">
        <v>77</v>
      </c>
      <c r="Y12" s="10">
        <f t="shared" si="1"/>
        <v>1816.5700000000002</v>
      </c>
      <c r="Z12" s="10">
        <f t="shared" si="1"/>
        <v>0</v>
      </c>
      <c r="AA12" s="10">
        <f t="shared" si="1"/>
        <v>400</v>
      </c>
      <c r="AB12" s="11">
        <f t="shared" si="2"/>
        <v>2216.5700000000002</v>
      </c>
    </row>
    <row r="13" spans="1:28" x14ac:dyDescent="0.25">
      <c r="A13" s="6" t="s">
        <v>191</v>
      </c>
      <c r="B13" s="2">
        <v>-1168.73</v>
      </c>
      <c r="C13" s="2">
        <v>-720.51</v>
      </c>
      <c r="D13" s="2">
        <v>-1060.24</v>
      </c>
      <c r="E13" s="2">
        <v>-1007.97</v>
      </c>
      <c r="F13" s="2">
        <v>-1181.42</v>
      </c>
      <c r="G13" s="2">
        <v>-922.85</v>
      </c>
      <c r="H13" s="2">
        <v>-846.82999999999993</v>
      </c>
      <c r="I13" s="2">
        <v>-662.83999999999992</v>
      </c>
      <c r="J13" s="2">
        <v>-682.81999999999994</v>
      </c>
      <c r="K13" s="2">
        <v>-882.34</v>
      </c>
      <c r="L13" s="2">
        <v>-1303.51</v>
      </c>
      <c r="M13" s="2">
        <v>-1007.97</v>
      </c>
      <c r="N13" s="2"/>
      <c r="O13" s="2">
        <v>-1281.44</v>
      </c>
      <c r="P13" s="2">
        <v>-12729.470000000001</v>
      </c>
      <c r="S13" s="2">
        <f t="shared" si="3"/>
        <v>934.48181818181808</v>
      </c>
      <c r="X13" s="15" t="s">
        <v>277</v>
      </c>
      <c r="Y13" s="10">
        <f t="shared" si="1"/>
        <v>15.9</v>
      </c>
      <c r="Z13" s="10">
        <f t="shared" si="1"/>
        <v>315.14999999999998</v>
      </c>
      <c r="AA13" s="10">
        <f t="shared" si="1"/>
        <v>117.33</v>
      </c>
      <c r="AB13" s="11">
        <f t="shared" si="2"/>
        <v>448.37999999999994</v>
      </c>
    </row>
    <row r="14" spans="1:28" x14ac:dyDescent="0.25">
      <c r="A14" s="6" t="s">
        <v>660</v>
      </c>
      <c r="B14" s="2"/>
      <c r="C14" s="2"/>
      <c r="D14" s="2"/>
      <c r="E14" s="2"/>
      <c r="F14" s="2"/>
      <c r="G14" s="2"/>
      <c r="H14" s="2">
        <v>-26</v>
      </c>
      <c r="I14" s="2"/>
      <c r="J14" s="2"/>
      <c r="K14" s="2"/>
      <c r="L14" s="2"/>
      <c r="M14" s="2"/>
      <c r="N14" s="2"/>
      <c r="O14" s="2">
        <v>-40</v>
      </c>
      <c r="P14" s="2">
        <v>-66</v>
      </c>
      <c r="S14" s="2">
        <f t="shared" si="3"/>
        <v>26</v>
      </c>
    </row>
    <row r="15" spans="1:28" x14ac:dyDescent="0.25">
      <c r="A15" s="6" t="s">
        <v>113</v>
      </c>
      <c r="B15" s="2">
        <v>-501.94</v>
      </c>
      <c r="C15" s="2">
        <v>-498.21</v>
      </c>
      <c r="D15" s="2">
        <v>-501.94</v>
      </c>
      <c r="E15" s="2">
        <v>-501.94000000000005</v>
      </c>
      <c r="F15" s="2">
        <v>-508.94000000000005</v>
      </c>
      <c r="G15" s="2">
        <v>-523.72</v>
      </c>
      <c r="H15" s="2">
        <v>-399.27</v>
      </c>
      <c r="I15" s="2">
        <v>-630.81000000000006</v>
      </c>
      <c r="J15" s="2">
        <v>-528.48</v>
      </c>
      <c r="K15" s="2">
        <v>-486.89</v>
      </c>
      <c r="L15" s="2">
        <v>-397.95</v>
      </c>
      <c r="M15" s="2">
        <v>-397.95</v>
      </c>
      <c r="N15" s="2">
        <v>-397.95</v>
      </c>
      <c r="O15" s="2">
        <v>-400.87</v>
      </c>
      <c r="P15" s="2">
        <v>-6676.86</v>
      </c>
      <c r="S15" s="2">
        <f t="shared" si="3"/>
        <v>481.17083333333329</v>
      </c>
      <c r="Y15" s="11">
        <f>SUM(Y5:Y14)</f>
        <v>114235.47</v>
      </c>
      <c r="Z15" s="11">
        <f>SUM(Z5:Z14)</f>
        <v>526057.32000000007</v>
      </c>
      <c r="AA15" s="11">
        <f>SUM(AA5:AA14)</f>
        <v>98461.65</v>
      </c>
    </row>
    <row r="16" spans="1:28" x14ac:dyDescent="0.25">
      <c r="A16" s="6" t="s">
        <v>302</v>
      </c>
      <c r="B16" s="2"/>
      <c r="C16" s="2"/>
      <c r="D16" s="2">
        <v>-1581.97</v>
      </c>
      <c r="E16" s="2">
        <v>-339.22</v>
      </c>
      <c r="F16" s="2">
        <v>-339.22</v>
      </c>
      <c r="G16" s="2">
        <v>-339.27</v>
      </c>
      <c r="H16" s="2">
        <v>-339.27</v>
      </c>
      <c r="I16" s="2">
        <v>-125.52</v>
      </c>
      <c r="J16" s="2">
        <v>-125.57</v>
      </c>
      <c r="K16" s="2">
        <v>-125.57</v>
      </c>
      <c r="L16" s="2">
        <v>-125.52</v>
      </c>
      <c r="M16" s="2">
        <v>-125.52</v>
      </c>
      <c r="N16" s="2">
        <v>-125.57</v>
      </c>
      <c r="O16" s="2"/>
      <c r="P16" s="2">
        <v>-3692.2200000000003</v>
      </c>
      <c r="S16" s="2">
        <f t="shared" si="3"/>
        <v>335.65636363636366</v>
      </c>
    </row>
    <row r="17" spans="1:19" x14ac:dyDescent="0.25">
      <c r="A17" s="6" t="s">
        <v>28</v>
      </c>
      <c r="B17" s="2">
        <v>-67.64</v>
      </c>
      <c r="C17" s="2">
        <v>-2357.6499999999996</v>
      </c>
      <c r="D17" s="2">
        <v>-807.18000000000006</v>
      </c>
      <c r="E17" s="2">
        <v>-1336.1000000000001</v>
      </c>
      <c r="F17" s="2">
        <v>-1911.7499999999998</v>
      </c>
      <c r="G17" s="2">
        <v>-1089.75</v>
      </c>
      <c r="H17" s="2">
        <v>-588.32999999999993</v>
      </c>
      <c r="I17" s="2">
        <v>-1072.21</v>
      </c>
      <c r="J17" s="2">
        <v>-725.09</v>
      </c>
      <c r="K17" s="2">
        <v>-928.32</v>
      </c>
      <c r="L17" s="2">
        <v>-321.56000000000006</v>
      </c>
      <c r="M17" s="2">
        <v>-1075.0899999999999</v>
      </c>
      <c r="N17" s="2">
        <v>-1662.23</v>
      </c>
      <c r="O17" s="2">
        <v>-2942.8</v>
      </c>
      <c r="P17" s="2">
        <v>-16885.7</v>
      </c>
      <c r="S17" s="2">
        <f t="shared" si="3"/>
        <v>1156.2716666666668</v>
      </c>
    </row>
    <row r="18" spans="1:19" x14ac:dyDescent="0.25">
      <c r="A18" s="6" t="s">
        <v>99</v>
      </c>
      <c r="B18" s="2">
        <v>-1020</v>
      </c>
      <c r="C18" s="2">
        <v>-1530</v>
      </c>
      <c r="D18" s="2">
        <v>-1360</v>
      </c>
      <c r="E18" s="2">
        <v>-1190</v>
      </c>
      <c r="F18" s="2">
        <v>-1190</v>
      </c>
      <c r="G18" s="2">
        <v>-1700</v>
      </c>
      <c r="H18" s="2">
        <v>-1244.44</v>
      </c>
      <c r="I18" s="2">
        <v>-1360</v>
      </c>
      <c r="J18" s="2">
        <v>-1840</v>
      </c>
      <c r="K18" s="2">
        <v>-1240</v>
      </c>
      <c r="L18" s="2">
        <v>-1700</v>
      </c>
      <c r="M18" s="2">
        <v>-1190</v>
      </c>
      <c r="N18" s="2">
        <v>-1020</v>
      </c>
      <c r="O18" s="2">
        <v>-1530</v>
      </c>
      <c r="P18" s="2">
        <v>-19114.440000000002</v>
      </c>
      <c r="S18" s="2">
        <f t="shared" si="3"/>
        <v>1380.3700000000001</v>
      </c>
    </row>
    <row r="19" spans="1:19" x14ac:dyDescent="0.25">
      <c r="A19" s="6" t="s">
        <v>149</v>
      </c>
      <c r="B19" s="2">
        <v>-1083</v>
      </c>
      <c r="C19" s="2">
        <v>-394.32</v>
      </c>
      <c r="D19" s="2">
        <v>-70</v>
      </c>
      <c r="E19" s="2">
        <v>-26.8</v>
      </c>
      <c r="F19" s="2">
        <v>-280</v>
      </c>
      <c r="G19" s="2"/>
      <c r="H19" s="2">
        <v>-711.68000000000006</v>
      </c>
      <c r="I19" s="2">
        <v>-3473.64</v>
      </c>
      <c r="J19" s="2">
        <v>-8613.68</v>
      </c>
      <c r="K19" s="2">
        <v>-11774.48</v>
      </c>
      <c r="L19" s="2">
        <v>-5783.0599999999995</v>
      </c>
      <c r="M19" s="2">
        <v>-177.97</v>
      </c>
      <c r="N19" s="2">
        <v>-4682.75</v>
      </c>
      <c r="O19" s="2">
        <v>-7854.9</v>
      </c>
      <c r="P19" s="2">
        <v>-44926.28</v>
      </c>
      <c r="S19" s="2">
        <f t="shared" si="3"/>
        <v>3271.6709090909089</v>
      </c>
    </row>
    <row r="20" spans="1:19" x14ac:dyDescent="0.25">
      <c r="A20" s="6" t="s">
        <v>89</v>
      </c>
      <c r="B20" s="2"/>
      <c r="C20" s="2">
        <v>-410.82000000000005</v>
      </c>
      <c r="D20" s="2">
        <v>-964.39</v>
      </c>
      <c r="E20" s="2">
        <v>-69.14</v>
      </c>
      <c r="F20" s="2">
        <v>-613.37</v>
      </c>
      <c r="G20" s="2">
        <v>-206.5</v>
      </c>
      <c r="H20" s="2">
        <v>-1015.49</v>
      </c>
      <c r="I20" s="2">
        <v>-280.52999999999997</v>
      </c>
      <c r="J20" s="2">
        <v>-685.7</v>
      </c>
      <c r="K20" s="2"/>
      <c r="L20" s="2">
        <v>-781.76</v>
      </c>
      <c r="M20" s="2">
        <v>-719.88000000000011</v>
      </c>
      <c r="N20" s="2">
        <v>-980.06</v>
      </c>
      <c r="O20" s="2">
        <v>-1033.94</v>
      </c>
      <c r="P20" s="2">
        <v>-7761.58</v>
      </c>
      <c r="S20" s="2">
        <f t="shared" si="3"/>
        <v>611.60363636363627</v>
      </c>
    </row>
    <row r="21" spans="1:19" x14ac:dyDescent="0.25">
      <c r="A21" s="6" t="s">
        <v>849</v>
      </c>
      <c r="B21" s="2"/>
      <c r="C21" s="2"/>
      <c r="D21" s="2"/>
      <c r="E21" s="2"/>
      <c r="F21" s="2"/>
      <c r="G21" s="2"/>
      <c r="H21" s="2"/>
      <c r="I21" s="2"/>
      <c r="J21" s="2">
        <v>-1105.68</v>
      </c>
      <c r="K21" s="2"/>
      <c r="L21" s="2"/>
      <c r="M21" s="2"/>
      <c r="N21" s="2"/>
      <c r="O21" s="2"/>
      <c r="P21" s="2">
        <v>-1105.68</v>
      </c>
      <c r="S21" s="2">
        <f t="shared" si="3"/>
        <v>1105.68</v>
      </c>
    </row>
    <row r="22" spans="1:19" x14ac:dyDescent="0.25">
      <c r="A22" s="6" t="s">
        <v>1045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>
        <v>-1500</v>
      </c>
      <c r="M22" s="2">
        <v>-700</v>
      </c>
      <c r="N22" s="2"/>
      <c r="O22" s="2"/>
      <c r="P22" s="2">
        <v>-2200</v>
      </c>
      <c r="S22" s="2">
        <f t="shared" si="3"/>
        <v>1100</v>
      </c>
    </row>
    <row r="23" spans="1:19" x14ac:dyDescent="0.25">
      <c r="A23" s="6" t="s">
        <v>103</v>
      </c>
      <c r="B23" s="2">
        <v>-60</v>
      </c>
      <c r="C23" s="2">
        <v>-30</v>
      </c>
      <c r="D23" s="2">
        <v>-460</v>
      </c>
      <c r="E23" s="2">
        <v>-577</v>
      </c>
      <c r="F23" s="2">
        <v>-290</v>
      </c>
      <c r="G23" s="2">
        <v>-200</v>
      </c>
      <c r="H23" s="2">
        <v>-310</v>
      </c>
      <c r="I23" s="2"/>
      <c r="J23" s="2">
        <v>-280</v>
      </c>
      <c r="K23" s="2">
        <v>-240</v>
      </c>
      <c r="L23" s="2"/>
      <c r="M23" s="2"/>
      <c r="N23" s="2"/>
      <c r="O23" s="2">
        <v>-1818</v>
      </c>
      <c r="P23" s="2">
        <v>-4265</v>
      </c>
      <c r="S23" s="2">
        <f t="shared" si="3"/>
        <v>298.375</v>
      </c>
    </row>
    <row r="24" spans="1:19" x14ac:dyDescent="0.25">
      <c r="A24" s="6" t="s">
        <v>30</v>
      </c>
      <c r="B24" s="2">
        <v>-607.29999999999995</v>
      </c>
      <c r="C24" s="2">
        <v>-1988.9399999999998</v>
      </c>
      <c r="D24" s="2">
        <v>-2088.8400000000006</v>
      </c>
      <c r="E24" s="2">
        <v>-1599.8300000000002</v>
      </c>
      <c r="F24" s="2">
        <v>-1341.74</v>
      </c>
      <c r="G24" s="2">
        <v>-1605.74</v>
      </c>
      <c r="H24" s="2">
        <v>-1229.7400000000002</v>
      </c>
      <c r="I24" s="2">
        <v>-1274.0400000000002</v>
      </c>
      <c r="J24" s="2">
        <v>-1925.82</v>
      </c>
      <c r="K24" s="2">
        <v>-1426.29</v>
      </c>
      <c r="L24" s="2">
        <v>-1172.26</v>
      </c>
      <c r="M24" s="2">
        <v>-1411.13</v>
      </c>
      <c r="N24" s="2">
        <v>-1633.8999999999999</v>
      </c>
      <c r="O24" s="2">
        <v>-1954.04</v>
      </c>
      <c r="P24" s="2">
        <v>-21259.61</v>
      </c>
      <c r="S24" s="2">
        <f t="shared" si="3"/>
        <v>1558.1891666666668</v>
      </c>
    </row>
    <row r="25" spans="1:19" x14ac:dyDescent="0.25">
      <c r="A25" s="4" t="s">
        <v>275</v>
      </c>
      <c r="B25" s="2">
        <v>-201.12</v>
      </c>
      <c r="C25" s="2">
        <v>-226.7</v>
      </c>
      <c r="D25" s="2">
        <v>-1408.1</v>
      </c>
      <c r="E25" s="2">
        <v>-389.4</v>
      </c>
      <c r="F25" s="2">
        <v>-6082.4900000000007</v>
      </c>
      <c r="G25" s="2">
        <v>-622.46</v>
      </c>
      <c r="H25" s="2">
        <v>-795.16</v>
      </c>
      <c r="I25" s="2">
        <v>-410.36</v>
      </c>
      <c r="J25" s="2">
        <v>-1427.59</v>
      </c>
      <c r="K25" s="2">
        <v>-1152.71</v>
      </c>
      <c r="L25" s="2">
        <v>-3607.51</v>
      </c>
      <c r="M25" s="2">
        <v>-9793.67</v>
      </c>
      <c r="N25" s="2">
        <v>-4692.88</v>
      </c>
      <c r="O25" s="2">
        <v>-3295.79</v>
      </c>
      <c r="P25" s="2">
        <v>-34105.94</v>
      </c>
      <c r="Q25" s="11">
        <f>-N25</f>
        <v>4692.88</v>
      </c>
      <c r="R25" s="11">
        <f>-O25</f>
        <v>3295.79</v>
      </c>
    </row>
    <row r="26" spans="1:19" x14ac:dyDescent="0.25">
      <c r="A26" s="6" t="s">
        <v>616</v>
      </c>
      <c r="B26" s="2"/>
      <c r="C26" s="2"/>
      <c r="D26" s="2">
        <v>-216.34</v>
      </c>
      <c r="E26" s="2"/>
      <c r="F26" s="2">
        <v>-555.33000000000004</v>
      </c>
      <c r="G26" s="2">
        <v>-97.08</v>
      </c>
      <c r="H26" s="2"/>
      <c r="I26" s="2"/>
      <c r="J26" s="2"/>
      <c r="K26" s="2"/>
      <c r="L26" s="2"/>
      <c r="M26" s="2"/>
      <c r="N26" s="2"/>
      <c r="O26" s="2"/>
      <c r="P26" s="2">
        <v>-868.75000000000011</v>
      </c>
      <c r="S26" s="2">
        <f t="shared" ref="S26" si="4">-AVERAGE(B26:O26)</f>
        <v>289.58333333333337</v>
      </c>
    </row>
    <row r="27" spans="1:19" x14ac:dyDescent="0.25">
      <c r="A27" s="6" t="s">
        <v>215</v>
      </c>
      <c r="B27" s="2">
        <v>-165</v>
      </c>
      <c r="C27" s="2">
        <v>-126.7</v>
      </c>
      <c r="D27" s="2">
        <v>-237.8</v>
      </c>
      <c r="E27" s="2">
        <v>-329.4</v>
      </c>
      <c r="F27" s="2"/>
      <c r="G27" s="2"/>
      <c r="H27" s="2"/>
      <c r="I27" s="2"/>
      <c r="J27" s="2">
        <v>-249.2</v>
      </c>
      <c r="K27" s="2"/>
      <c r="L27" s="2">
        <v>-129.80000000000001</v>
      </c>
      <c r="M27" s="2">
        <v>-6789.1100000000006</v>
      </c>
      <c r="N27" s="2">
        <v>-717.9</v>
      </c>
      <c r="O27" s="2">
        <v>-564.31999999999994</v>
      </c>
      <c r="P27" s="2">
        <v>-9309.23</v>
      </c>
      <c r="S27" s="2">
        <f>-AVERAGE(B27:O27)</f>
        <v>1034.3588888888889</v>
      </c>
    </row>
    <row r="28" spans="1:19" x14ac:dyDescent="0.25">
      <c r="A28" s="6" t="s">
        <v>611</v>
      </c>
      <c r="B28" s="2"/>
      <c r="C28" s="2">
        <v>-70</v>
      </c>
      <c r="D28" s="2">
        <v>-553.96</v>
      </c>
      <c r="E28" s="2">
        <v>-25</v>
      </c>
      <c r="F28" s="2">
        <v>-381.87</v>
      </c>
      <c r="G28" s="2">
        <v>-225.38</v>
      </c>
      <c r="H28" s="2">
        <v>-213.66</v>
      </c>
      <c r="I28" s="2">
        <v>-220.38</v>
      </c>
      <c r="J28" s="2">
        <v>-253.39</v>
      </c>
      <c r="K28" s="2">
        <v>-227.71</v>
      </c>
      <c r="L28" s="2">
        <v>-566.33999999999992</v>
      </c>
      <c r="M28" s="2">
        <v>-535.18000000000006</v>
      </c>
      <c r="N28" s="2">
        <v>-1141.01</v>
      </c>
      <c r="O28" s="2">
        <v>-895.97</v>
      </c>
      <c r="P28" s="2">
        <v>-5309.85</v>
      </c>
      <c r="S28" s="2">
        <f t="shared" ref="S28:S31" si="5">-AVERAGE(B28:O28)</f>
        <v>408.45000000000005</v>
      </c>
    </row>
    <row r="29" spans="1:19" x14ac:dyDescent="0.25">
      <c r="A29" s="6" t="s">
        <v>448</v>
      </c>
      <c r="B29" s="2"/>
      <c r="C29" s="2">
        <v>-30</v>
      </c>
      <c r="D29" s="2"/>
      <c r="E29" s="2">
        <v>-20</v>
      </c>
      <c r="F29" s="2"/>
      <c r="G29" s="2"/>
      <c r="H29" s="2"/>
      <c r="I29" s="2"/>
      <c r="J29" s="2"/>
      <c r="K29" s="2"/>
      <c r="L29" s="2">
        <v>-112.6</v>
      </c>
      <c r="M29" s="2">
        <v>-290</v>
      </c>
      <c r="N29" s="2"/>
      <c r="O29" s="2"/>
      <c r="P29" s="2">
        <v>-452.6</v>
      </c>
      <c r="S29" s="2">
        <f t="shared" si="5"/>
        <v>113.15</v>
      </c>
    </row>
    <row r="30" spans="1:19" x14ac:dyDescent="0.25">
      <c r="A30" s="6" t="s">
        <v>162</v>
      </c>
      <c r="B30" s="2"/>
      <c r="C30" s="2"/>
      <c r="D30" s="2">
        <v>-400</v>
      </c>
      <c r="E30" s="2">
        <v>-15</v>
      </c>
      <c r="F30" s="2">
        <v>-4480.9400000000005</v>
      </c>
      <c r="G30" s="2">
        <v>-300</v>
      </c>
      <c r="H30" s="2">
        <v>-581.5</v>
      </c>
      <c r="I30" s="2">
        <v>-189.98000000000002</v>
      </c>
      <c r="J30" s="2">
        <v>-925</v>
      </c>
      <c r="K30" s="2">
        <v>-925</v>
      </c>
      <c r="L30" s="2">
        <v>-925</v>
      </c>
      <c r="M30" s="2">
        <v>-925</v>
      </c>
      <c r="N30" s="2">
        <v>-1400</v>
      </c>
      <c r="O30" s="2">
        <v>-15.34</v>
      </c>
      <c r="P30" s="2">
        <v>-11082.76</v>
      </c>
      <c r="S30" s="2">
        <f t="shared" si="5"/>
        <v>923.56333333333339</v>
      </c>
    </row>
    <row r="31" spans="1:19" x14ac:dyDescent="0.25">
      <c r="A31" s="6" t="s">
        <v>224</v>
      </c>
      <c r="B31" s="2">
        <v>-36.119999999999997</v>
      </c>
      <c r="C31" s="2"/>
      <c r="D31" s="2"/>
      <c r="E31" s="2"/>
      <c r="F31" s="2">
        <v>-664.35</v>
      </c>
      <c r="G31" s="2"/>
      <c r="H31" s="2"/>
      <c r="I31" s="2"/>
      <c r="J31" s="2"/>
      <c r="K31" s="2"/>
      <c r="L31" s="2">
        <v>-1873.7700000000002</v>
      </c>
      <c r="M31" s="2">
        <v>-1254.3799999999999</v>
      </c>
      <c r="N31" s="2">
        <v>-1433.9700000000003</v>
      </c>
      <c r="O31" s="2">
        <v>-1820.1599999999999</v>
      </c>
      <c r="P31" s="2">
        <v>-7082.75</v>
      </c>
      <c r="S31" s="2">
        <f t="shared" si="5"/>
        <v>1180.4583333333333</v>
      </c>
    </row>
    <row r="32" spans="1:19" x14ac:dyDescent="0.25">
      <c r="A32" s="4" t="s">
        <v>77</v>
      </c>
      <c r="B32" s="2">
        <v>-10</v>
      </c>
      <c r="C32" s="2">
        <v>-198.18</v>
      </c>
      <c r="D32" s="2">
        <v>-447.97</v>
      </c>
      <c r="E32" s="2">
        <v>-21.73</v>
      </c>
      <c r="F32" s="2">
        <v>-65.19</v>
      </c>
      <c r="G32" s="2"/>
      <c r="H32" s="2"/>
      <c r="I32" s="2"/>
      <c r="J32" s="2">
        <v>-792.86</v>
      </c>
      <c r="K32" s="2"/>
      <c r="L32" s="2">
        <v>-366.98</v>
      </c>
      <c r="M32" s="2">
        <v>-1816.5700000000002</v>
      </c>
      <c r="N32" s="2"/>
      <c r="O32" s="2">
        <v>-400</v>
      </c>
      <c r="P32" s="2">
        <v>-4119.4800000000005</v>
      </c>
      <c r="S32" s="2"/>
    </row>
    <row r="33" spans="1:18" x14ac:dyDescent="0.25">
      <c r="A33" s="6" t="s">
        <v>77</v>
      </c>
      <c r="B33" s="2">
        <v>-10</v>
      </c>
      <c r="C33" s="2">
        <v>-198.18</v>
      </c>
      <c r="D33" s="2">
        <v>-447.97</v>
      </c>
      <c r="E33" s="2">
        <v>-21.73</v>
      </c>
      <c r="F33" s="2">
        <v>-65.19</v>
      </c>
      <c r="G33" s="2"/>
      <c r="H33" s="2"/>
      <c r="I33" s="2"/>
      <c r="J33" s="2">
        <v>-792.86</v>
      </c>
      <c r="K33" s="2"/>
      <c r="L33" s="2">
        <v>-366.98</v>
      </c>
      <c r="M33" s="2">
        <v>-1816.5700000000002</v>
      </c>
      <c r="N33" s="2"/>
      <c r="O33" s="2">
        <v>-400</v>
      </c>
      <c r="P33" s="2">
        <v>-4119.4800000000005</v>
      </c>
      <c r="Q33" s="11">
        <f>-N33</f>
        <v>0</v>
      </c>
      <c r="R33" s="11">
        <f>-O33</f>
        <v>400</v>
      </c>
    </row>
    <row r="34" spans="1:18" x14ac:dyDescent="0.25">
      <c r="A34" s="4" t="s">
        <v>276</v>
      </c>
      <c r="B34" s="2">
        <v>-25000</v>
      </c>
      <c r="C34" s="2">
        <v>-12500</v>
      </c>
      <c r="D34" s="2">
        <v>-12500</v>
      </c>
      <c r="E34" s="2">
        <v>-12500</v>
      </c>
      <c r="F34" s="2">
        <v>-20500</v>
      </c>
      <c r="G34" s="2">
        <v>-12500</v>
      </c>
      <c r="H34" s="2">
        <v>-12499.999999999998</v>
      </c>
      <c r="I34" s="2">
        <v>-12500</v>
      </c>
      <c r="J34" s="2">
        <v>-12500</v>
      </c>
      <c r="K34" s="2">
        <v>-74500</v>
      </c>
      <c r="L34" s="2">
        <v>-19500</v>
      </c>
      <c r="M34" s="2">
        <v>-12500</v>
      </c>
      <c r="N34" s="2">
        <v>-62500</v>
      </c>
      <c r="O34" s="2">
        <v>-14000</v>
      </c>
      <c r="P34" s="2">
        <v>-316000</v>
      </c>
    </row>
    <row r="35" spans="1:18" x14ac:dyDescent="0.25">
      <c r="A35" s="6" t="s">
        <v>201</v>
      </c>
      <c r="B35" s="2">
        <v>-22486.639999999999</v>
      </c>
      <c r="C35" s="2">
        <v>-9797.9599999999991</v>
      </c>
      <c r="D35" s="2">
        <v>-9797.9599999999991</v>
      </c>
      <c r="E35" s="2">
        <v>-9797.9599999999991</v>
      </c>
      <c r="F35" s="2">
        <v>-17797.96</v>
      </c>
      <c r="G35" s="2">
        <v>-9797.9599999999991</v>
      </c>
      <c r="H35" s="2">
        <v>-10743.669999999998</v>
      </c>
      <c r="I35" s="2">
        <v>-11148.98</v>
      </c>
      <c r="J35" s="2">
        <v>-11148.98</v>
      </c>
      <c r="K35" s="2">
        <v>-73148.98</v>
      </c>
      <c r="L35" s="2">
        <v>-17113.189999999999</v>
      </c>
      <c r="M35" s="2">
        <v>-9797.9599999999991</v>
      </c>
      <c r="N35" s="2">
        <v>-59797.96</v>
      </c>
      <c r="O35" s="2">
        <v>-11114.62</v>
      </c>
      <c r="P35" s="2">
        <v>-283490.77999999997</v>
      </c>
      <c r="Q35" s="11">
        <f>-N35</f>
        <v>59797.96</v>
      </c>
      <c r="R35" s="11">
        <f>-O35</f>
        <v>11114.62</v>
      </c>
    </row>
    <row r="36" spans="1:18" x14ac:dyDescent="0.25">
      <c r="A36" s="6" t="s">
        <v>207</v>
      </c>
      <c r="B36" s="2">
        <v>-2513.36</v>
      </c>
      <c r="C36" s="2">
        <v>-2702.04</v>
      </c>
      <c r="D36" s="2">
        <v>-2702.04</v>
      </c>
      <c r="E36" s="2">
        <v>-2702.04</v>
      </c>
      <c r="F36" s="2">
        <v>-2702.04</v>
      </c>
      <c r="G36" s="2">
        <v>-2702.04</v>
      </c>
      <c r="H36" s="2">
        <v>-1756.33</v>
      </c>
      <c r="I36" s="2">
        <v>-1351.02</v>
      </c>
      <c r="J36" s="2">
        <v>-1351.02</v>
      </c>
      <c r="K36" s="2">
        <v>-1351.02</v>
      </c>
      <c r="L36" s="2">
        <v>-2386.81</v>
      </c>
      <c r="M36" s="2">
        <v>-2702.04</v>
      </c>
      <c r="N36" s="2">
        <v>-2702.04</v>
      </c>
      <c r="O36" s="2">
        <v>-2885.38</v>
      </c>
      <c r="P36" s="2">
        <v>-32509.220000000005</v>
      </c>
    </row>
    <row r="37" spans="1:18" x14ac:dyDescent="0.25">
      <c r="A37" s="4" t="s">
        <v>277</v>
      </c>
      <c r="B37" s="2">
        <v>-276.3</v>
      </c>
      <c r="C37" s="2">
        <v>-276.3</v>
      </c>
      <c r="D37" s="2">
        <v>-84.05</v>
      </c>
      <c r="E37" s="2">
        <v>-94.5</v>
      </c>
      <c r="F37" s="2">
        <v>-94.5</v>
      </c>
      <c r="G37" s="2">
        <v>-182.08999999999995</v>
      </c>
      <c r="H37" s="2"/>
      <c r="I37" s="2">
        <v>-276.75</v>
      </c>
      <c r="J37" s="2">
        <v>-77.900000000000006</v>
      </c>
      <c r="K37" s="2">
        <v>-28.6</v>
      </c>
      <c r="L37" s="2">
        <v>-111.8</v>
      </c>
      <c r="M37" s="2">
        <v>-15.9</v>
      </c>
      <c r="N37" s="2">
        <v>-315.14999999999998</v>
      </c>
      <c r="O37" s="2">
        <v>-117.33</v>
      </c>
      <c r="P37" s="2">
        <v>-1951.1699999999996</v>
      </c>
    </row>
    <row r="38" spans="1:18" x14ac:dyDescent="0.25">
      <c r="A38" s="6" t="s">
        <v>72</v>
      </c>
      <c r="B38" s="2">
        <v>-276.3</v>
      </c>
      <c r="C38" s="2">
        <v>-276.3</v>
      </c>
      <c r="D38" s="2">
        <v>-84.05</v>
      </c>
      <c r="E38" s="2">
        <v>-94.5</v>
      </c>
      <c r="F38" s="2">
        <v>-94.5</v>
      </c>
      <c r="G38" s="2">
        <v>-182.08999999999995</v>
      </c>
      <c r="H38" s="2"/>
      <c r="I38" s="2">
        <v>-276.75</v>
      </c>
      <c r="J38" s="2">
        <v>-77.900000000000006</v>
      </c>
      <c r="K38" s="2">
        <v>-28.6</v>
      </c>
      <c r="L38" s="2">
        <v>-111.8</v>
      </c>
      <c r="M38" s="2">
        <v>-15.9</v>
      </c>
      <c r="N38" s="2">
        <v>-315.14999999999998</v>
      </c>
      <c r="O38" s="2">
        <v>-117.33</v>
      </c>
      <c r="P38" s="2">
        <v>-1951.1699999999996</v>
      </c>
      <c r="Q38" s="11">
        <f>-N38</f>
        <v>315.14999999999998</v>
      </c>
      <c r="R38" s="11">
        <f>-O38</f>
        <v>117.33</v>
      </c>
    </row>
    <row r="39" spans="1:18" x14ac:dyDescent="0.25">
      <c r="A39" s="4" t="s">
        <v>56</v>
      </c>
      <c r="B39" s="2">
        <v>18876.89</v>
      </c>
      <c r="C39" s="2">
        <v>66901.980000000025</v>
      </c>
      <c r="D39" s="2">
        <v>43865.35</v>
      </c>
      <c r="E39" s="2">
        <v>89619.59</v>
      </c>
      <c r="F39" s="2">
        <v>125636.49999999999</v>
      </c>
      <c r="G39" s="2">
        <v>161035.5</v>
      </c>
      <c r="H39" s="2">
        <v>22492.65</v>
      </c>
      <c r="I39" s="2">
        <v>55710.550000000017</v>
      </c>
      <c r="J39" s="2">
        <v>174020.55</v>
      </c>
      <c r="K39" s="2">
        <v>666297.61999999988</v>
      </c>
      <c r="L39" s="2">
        <v>146196.75</v>
      </c>
      <c r="M39" s="2">
        <v>111146.17</v>
      </c>
      <c r="N39" s="2">
        <v>639449.93999999994</v>
      </c>
      <c r="O39" s="2">
        <v>36986.74</v>
      </c>
      <c r="P39" s="2">
        <v>2358236.7800000003</v>
      </c>
    </row>
    <row r="40" spans="1:18" x14ac:dyDescent="0.25">
      <c r="A40" s="6" t="s">
        <v>56</v>
      </c>
      <c r="B40" s="2">
        <v>18876.89</v>
      </c>
      <c r="C40" s="2">
        <v>66901.980000000025</v>
      </c>
      <c r="D40" s="2">
        <v>43865.35</v>
      </c>
      <c r="E40" s="2">
        <v>89619.59</v>
      </c>
      <c r="F40" s="2">
        <v>125636.49999999999</v>
      </c>
      <c r="G40" s="2">
        <v>161035.5</v>
      </c>
      <c r="H40" s="2">
        <v>22492.65</v>
      </c>
      <c r="I40" s="2">
        <v>55710.550000000017</v>
      </c>
      <c r="J40" s="2">
        <v>174020.55</v>
      </c>
      <c r="K40" s="2">
        <v>666297.61999999988</v>
      </c>
      <c r="L40" s="2">
        <v>146196.75</v>
      </c>
      <c r="M40" s="2">
        <v>111146.17</v>
      </c>
      <c r="N40" s="2">
        <v>639449.93999999994</v>
      </c>
      <c r="O40" s="2">
        <v>36986.74</v>
      </c>
      <c r="P40" s="2">
        <v>2358236.7800000003</v>
      </c>
      <c r="Q40" s="11">
        <f>N40</f>
        <v>639449.93999999994</v>
      </c>
      <c r="R40" s="11">
        <f>O40</f>
        <v>36986.74</v>
      </c>
    </row>
    <row r="41" spans="1:18" x14ac:dyDescent="0.25">
      <c r="A41" s="4" t="s">
        <v>278</v>
      </c>
      <c r="B41" s="2">
        <v>-1750</v>
      </c>
      <c r="C41" s="2">
        <v>-2584.29</v>
      </c>
      <c r="D41" s="2">
        <v>-2083.2399999999998</v>
      </c>
      <c r="E41" s="2">
        <v>-2083.2399999999998</v>
      </c>
      <c r="F41" s="2">
        <v>-2083.2399999999998</v>
      </c>
      <c r="G41" s="2">
        <v>-2083.2399999999998</v>
      </c>
      <c r="H41" s="2">
        <v>-2130.02</v>
      </c>
      <c r="I41" s="2">
        <v>-2064.33</v>
      </c>
      <c r="J41" s="2">
        <v>-2501.0700000000002</v>
      </c>
      <c r="K41" s="2">
        <v>-2083.2399999999998</v>
      </c>
      <c r="L41" s="2">
        <v>-2083.2399999999998</v>
      </c>
      <c r="M41" s="2">
        <v>-2083.2399999999998</v>
      </c>
      <c r="N41" s="2">
        <v>-11129.259999999998</v>
      </c>
      <c r="O41" s="2">
        <v>-19913.060000000001</v>
      </c>
      <c r="P41" s="2">
        <v>-56654.71</v>
      </c>
    </row>
    <row r="42" spans="1:18" x14ac:dyDescent="0.25">
      <c r="A42" s="6" t="s">
        <v>62</v>
      </c>
      <c r="B42" s="2">
        <v>-1750</v>
      </c>
      <c r="C42" s="2">
        <v>-1750</v>
      </c>
      <c r="D42" s="2">
        <v>-1750</v>
      </c>
      <c r="E42" s="2">
        <v>-1750</v>
      </c>
      <c r="F42" s="2">
        <v>-1750</v>
      </c>
      <c r="G42" s="2">
        <v>-1750</v>
      </c>
      <c r="H42" s="2">
        <v>-1750</v>
      </c>
      <c r="I42" s="2">
        <v>-1750</v>
      </c>
      <c r="J42" s="2">
        <v>-1750</v>
      </c>
      <c r="K42" s="2">
        <v>-1750</v>
      </c>
      <c r="L42" s="2">
        <v>-1750</v>
      </c>
      <c r="M42" s="2">
        <v>-1750</v>
      </c>
      <c r="N42" s="2">
        <v>-1750</v>
      </c>
      <c r="O42" s="2">
        <v>-1750</v>
      </c>
      <c r="P42" s="2">
        <v>-24500</v>
      </c>
      <c r="Q42" s="11">
        <f>-N42</f>
        <v>1750</v>
      </c>
      <c r="R42" s="11">
        <f>-O42</f>
        <v>1750</v>
      </c>
    </row>
    <row r="43" spans="1:18" x14ac:dyDescent="0.25">
      <c r="A43" s="6" t="s">
        <v>1487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>
        <v>-16350.01</v>
      </c>
      <c r="P43" s="2">
        <v>-16350.01</v>
      </c>
    </row>
    <row r="44" spans="1:18" x14ac:dyDescent="0.25">
      <c r="A44" s="6" t="s">
        <v>39</v>
      </c>
      <c r="B44" s="2"/>
      <c r="C44" s="2">
        <v>-292.89</v>
      </c>
      <c r="D44" s="2">
        <v>-333.24</v>
      </c>
      <c r="E44" s="2">
        <v>-333.24</v>
      </c>
      <c r="F44" s="2">
        <v>-333.24</v>
      </c>
      <c r="G44" s="2">
        <v>-333.24</v>
      </c>
      <c r="H44" s="2">
        <v>-384.24</v>
      </c>
      <c r="I44" s="2">
        <v>-333.24</v>
      </c>
      <c r="J44" s="2">
        <v>-751.07</v>
      </c>
      <c r="K44" s="2">
        <v>-333.24</v>
      </c>
      <c r="L44" s="2">
        <v>-333.24</v>
      </c>
      <c r="M44" s="2">
        <v>-333.24</v>
      </c>
      <c r="N44" s="2">
        <v>-9619.2799999999988</v>
      </c>
      <c r="O44" s="2">
        <v>-1813.0500000000002</v>
      </c>
      <c r="P44" s="2">
        <v>-15526.449999999997</v>
      </c>
    </row>
    <row r="45" spans="1:18" x14ac:dyDescent="0.25">
      <c r="A45" s="6" t="s">
        <v>22</v>
      </c>
      <c r="B45" s="2"/>
      <c r="C45" s="2">
        <v>-541.4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>
        <v>-541.4</v>
      </c>
    </row>
    <row r="46" spans="1:18" x14ac:dyDescent="0.25">
      <c r="A46" s="6" t="s">
        <v>658</v>
      </c>
      <c r="B46" s="2"/>
      <c r="C46" s="2"/>
      <c r="D46" s="2"/>
      <c r="E46" s="2"/>
      <c r="F46" s="2"/>
      <c r="G46" s="2"/>
      <c r="H46" s="2">
        <v>4.22</v>
      </c>
      <c r="I46" s="2">
        <v>18.91</v>
      </c>
      <c r="J46" s="2"/>
      <c r="K46" s="2"/>
      <c r="L46" s="2"/>
      <c r="M46" s="2"/>
      <c r="N46" s="2">
        <v>240.02</v>
      </c>
      <c r="O46" s="2"/>
      <c r="P46" s="2">
        <v>263.15000000000003</v>
      </c>
    </row>
    <row r="47" spans="1:18" x14ac:dyDescent="0.25">
      <c r="A47" s="4" t="s">
        <v>279</v>
      </c>
      <c r="B47" s="2">
        <v>-13807.25</v>
      </c>
      <c r="C47" s="2">
        <v>-11522.76</v>
      </c>
      <c r="D47" s="2">
        <v>-11940.75</v>
      </c>
      <c r="E47" s="2">
        <v>-12586.59</v>
      </c>
      <c r="F47" s="2">
        <v>-16173.72</v>
      </c>
      <c r="G47" s="2">
        <v>-14313.89</v>
      </c>
      <c r="H47" s="2">
        <v>-17739.46</v>
      </c>
      <c r="I47" s="2">
        <v>-15315.059999999998</v>
      </c>
      <c r="J47" s="2">
        <v>-14577.56</v>
      </c>
      <c r="K47" s="2">
        <v>-21924.44</v>
      </c>
      <c r="L47" s="2">
        <v>-28001.91</v>
      </c>
      <c r="M47" s="2">
        <v>-29850.050000000003</v>
      </c>
      <c r="N47" s="2">
        <v>-31074.13</v>
      </c>
      <c r="O47" s="2">
        <v>-30450.5</v>
      </c>
      <c r="P47" s="2">
        <v>-269278.07</v>
      </c>
      <c r="Q47" s="11">
        <f>-N47</f>
        <v>31074.13</v>
      </c>
      <c r="R47" s="11">
        <f>-O47</f>
        <v>30450.5</v>
      </c>
    </row>
    <row r="48" spans="1:18" x14ac:dyDescent="0.25">
      <c r="A48" s="6" t="s">
        <v>1070</v>
      </c>
      <c r="B48" s="2"/>
      <c r="C48" s="2"/>
      <c r="D48" s="2"/>
      <c r="E48" s="2"/>
      <c r="F48" s="2"/>
      <c r="G48" s="2">
        <v>-120.87</v>
      </c>
      <c r="H48" s="2"/>
      <c r="I48" s="2"/>
      <c r="J48" s="2"/>
      <c r="K48" s="2"/>
      <c r="L48" s="2">
        <v>-2699.9</v>
      </c>
      <c r="M48" s="2">
        <v>-1334</v>
      </c>
      <c r="N48" s="2">
        <v>-1368.4</v>
      </c>
      <c r="O48" s="2">
        <v>-2536.5</v>
      </c>
      <c r="P48" s="2">
        <v>-8059.67</v>
      </c>
    </row>
    <row r="49" spans="1:18" x14ac:dyDescent="0.25">
      <c r="A49" s="6" t="s">
        <v>1488</v>
      </c>
      <c r="B49" s="2"/>
      <c r="C49" s="2"/>
      <c r="D49" s="2"/>
      <c r="E49" s="2">
        <v>-30</v>
      </c>
      <c r="F49" s="2"/>
      <c r="G49" s="2">
        <v>-48</v>
      </c>
      <c r="H49" s="2"/>
      <c r="I49" s="2"/>
      <c r="J49" s="2">
        <v>-48</v>
      </c>
      <c r="K49" s="2"/>
      <c r="L49" s="2">
        <v>-48</v>
      </c>
      <c r="M49" s="2"/>
      <c r="N49" s="2">
        <v>-95</v>
      </c>
      <c r="O49" s="2"/>
      <c r="P49" s="2">
        <v>-269</v>
      </c>
    </row>
    <row r="50" spans="1:18" x14ac:dyDescent="0.25">
      <c r="A50" s="6" t="s">
        <v>159</v>
      </c>
      <c r="B50" s="2">
        <v>-392.19</v>
      </c>
      <c r="C50" s="2">
        <v>-415.96</v>
      </c>
      <c r="D50" s="2">
        <v>-285.23</v>
      </c>
      <c r="E50" s="2">
        <v>-285.23</v>
      </c>
      <c r="F50" s="2">
        <v>-733.84999999999991</v>
      </c>
      <c r="G50" s="2">
        <v>-509.23</v>
      </c>
      <c r="H50" s="2">
        <v>-734.83</v>
      </c>
      <c r="I50" s="2">
        <v>-485.23</v>
      </c>
      <c r="J50" s="2">
        <v>-507.43</v>
      </c>
      <c r="K50" s="2">
        <v>-789.17</v>
      </c>
      <c r="L50" s="2">
        <v>-858.17</v>
      </c>
      <c r="M50" s="2">
        <v>-997.52</v>
      </c>
      <c r="N50" s="2">
        <v>-2963.1</v>
      </c>
      <c r="O50" s="2">
        <v>-1638.6599999999999</v>
      </c>
      <c r="P50" s="2">
        <v>-11595.800000000001</v>
      </c>
    </row>
    <row r="51" spans="1:18" x14ac:dyDescent="0.25">
      <c r="A51" s="6" t="s">
        <v>1456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>
        <v>-300</v>
      </c>
      <c r="P51" s="2">
        <v>-300</v>
      </c>
    </row>
    <row r="52" spans="1:18" x14ac:dyDescent="0.25">
      <c r="A52" s="6" t="s">
        <v>166</v>
      </c>
      <c r="B52" s="2">
        <v>-2844.9700000000003</v>
      </c>
      <c r="C52" s="2">
        <v>-1980.52</v>
      </c>
      <c r="D52" s="2">
        <v>-2041.63</v>
      </c>
      <c r="E52" s="2">
        <v>-2041.63</v>
      </c>
      <c r="F52" s="2">
        <v>-2479.9499999999998</v>
      </c>
      <c r="G52" s="2">
        <v>-3957.59</v>
      </c>
      <c r="H52" s="2">
        <v>-3219.5</v>
      </c>
      <c r="I52" s="2">
        <v>-2923.83</v>
      </c>
      <c r="J52" s="2">
        <v>-2392.46</v>
      </c>
      <c r="K52" s="2">
        <v>-2885.94</v>
      </c>
      <c r="L52" s="2">
        <v>-3107.19</v>
      </c>
      <c r="M52" s="2">
        <v>-3959.05</v>
      </c>
      <c r="N52" s="2">
        <v>-4086</v>
      </c>
      <c r="O52" s="2">
        <v>-4710.82</v>
      </c>
      <c r="P52" s="2">
        <v>-42631.08</v>
      </c>
    </row>
    <row r="53" spans="1:18" x14ac:dyDescent="0.25">
      <c r="A53" s="6" t="s">
        <v>198</v>
      </c>
      <c r="B53" s="2">
        <v>-7870.09</v>
      </c>
      <c r="C53" s="2">
        <v>-6326.28</v>
      </c>
      <c r="D53" s="2">
        <v>-6913.8899999999994</v>
      </c>
      <c r="E53" s="2">
        <v>-7213.8899999999994</v>
      </c>
      <c r="F53" s="2">
        <v>-11553.19</v>
      </c>
      <c r="G53" s="2">
        <v>-8211.57</v>
      </c>
      <c r="H53" s="2">
        <v>-11561.210000000001</v>
      </c>
      <c r="I53" s="2">
        <v>-10439.369999999999</v>
      </c>
      <c r="J53" s="2">
        <v>-11463.039999999999</v>
      </c>
      <c r="K53" s="2">
        <v>-15704.4</v>
      </c>
      <c r="L53" s="2">
        <v>-19246.02</v>
      </c>
      <c r="M53" s="2">
        <v>-21870.58</v>
      </c>
      <c r="N53" s="2">
        <v>-21072.73</v>
      </c>
      <c r="O53" s="2">
        <v>-19335.52</v>
      </c>
      <c r="P53" s="2">
        <v>-178781.77999999997</v>
      </c>
    </row>
    <row r="54" spans="1:18" x14ac:dyDescent="0.25">
      <c r="A54" s="6" t="s">
        <v>128</v>
      </c>
      <c r="B54" s="2">
        <v>-2700</v>
      </c>
      <c r="C54" s="2">
        <v>-2800</v>
      </c>
      <c r="D54" s="2">
        <v>-2700</v>
      </c>
      <c r="E54" s="2">
        <v>-2706.73</v>
      </c>
      <c r="F54" s="2">
        <v>-1406.73</v>
      </c>
      <c r="G54" s="2">
        <v>-1406.73</v>
      </c>
      <c r="H54" s="2">
        <v>-1726.92</v>
      </c>
      <c r="I54" s="2">
        <v>-1406.73</v>
      </c>
      <c r="J54" s="2">
        <v>-106.73</v>
      </c>
      <c r="K54" s="2">
        <v>-106.73</v>
      </c>
      <c r="L54" s="2">
        <v>-106.73</v>
      </c>
      <c r="M54" s="2"/>
      <c r="N54" s="2"/>
      <c r="O54" s="2"/>
      <c r="P54" s="2">
        <v>-17174.03</v>
      </c>
    </row>
    <row r="55" spans="1:18" x14ac:dyDescent="0.25">
      <c r="A55" s="6" t="s">
        <v>900</v>
      </c>
      <c r="B55" s="2"/>
      <c r="C55" s="2"/>
      <c r="D55" s="2"/>
      <c r="E55" s="2"/>
      <c r="F55" s="2"/>
      <c r="G55" s="2"/>
      <c r="H55" s="2"/>
      <c r="I55" s="2"/>
      <c r="J55" s="2"/>
      <c r="K55" s="2">
        <v>-1660</v>
      </c>
      <c r="L55" s="2">
        <v>-1450</v>
      </c>
      <c r="M55" s="2">
        <v>-1400</v>
      </c>
      <c r="N55" s="2">
        <v>-1200</v>
      </c>
      <c r="O55" s="2">
        <v>-1700</v>
      </c>
      <c r="P55" s="2">
        <v>-7410</v>
      </c>
    </row>
    <row r="56" spans="1:18" x14ac:dyDescent="0.25">
      <c r="A56" s="6" t="s">
        <v>382</v>
      </c>
      <c r="B56" s="2"/>
      <c r="C56" s="2"/>
      <c r="D56" s="2"/>
      <c r="E56" s="2">
        <v>-309.11</v>
      </c>
      <c r="F56" s="2"/>
      <c r="G56" s="2">
        <v>-59.9</v>
      </c>
      <c r="H56" s="2">
        <v>-497</v>
      </c>
      <c r="I56" s="2">
        <v>-59.9</v>
      </c>
      <c r="J56" s="2">
        <v>-59.9</v>
      </c>
      <c r="K56" s="2">
        <v>-778.2</v>
      </c>
      <c r="L56" s="2">
        <v>-485.9</v>
      </c>
      <c r="M56" s="2">
        <v>-288.89999999999998</v>
      </c>
      <c r="N56" s="2">
        <v>-288.89999999999998</v>
      </c>
      <c r="O56" s="2">
        <v>-229</v>
      </c>
      <c r="P56" s="2">
        <v>-3056.71</v>
      </c>
      <c r="Q56" s="11">
        <f t="shared" ref="Q56:R59" si="6">-N56</f>
        <v>288.89999999999998</v>
      </c>
      <c r="R56" s="11">
        <f t="shared" si="6"/>
        <v>229</v>
      </c>
    </row>
    <row r="57" spans="1:18" x14ac:dyDescent="0.25">
      <c r="A57" s="4" t="s">
        <v>280</v>
      </c>
      <c r="B57" s="2">
        <v>-1623.52</v>
      </c>
      <c r="C57" s="2">
        <v>-3049.39</v>
      </c>
      <c r="D57" s="2">
        <v>-28408.15</v>
      </c>
      <c r="E57" s="2">
        <v>-30700.54</v>
      </c>
      <c r="F57" s="2">
        <v>-63982.02</v>
      </c>
      <c r="G57" s="2">
        <v>-29688.480000000003</v>
      </c>
      <c r="H57" s="2">
        <v>-34459.93</v>
      </c>
      <c r="I57" s="2">
        <v>-8138.98</v>
      </c>
      <c r="J57" s="2">
        <v>-16422.59</v>
      </c>
      <c r="K57" s="2">
        <v>-330699.2</v>
      </c>
      <c r="L57" s="2">
        <v>-113344.31</v>
      </c>
      <c r="M57" s="2">
        <v>-45256.2</v>
      </c>
      <c r="N57" s="2">
        <v>-396622.68</v>
      </c>
      <c r="O57" s="2">
        <v>-1450</v>
      </c>
      <c r="P57" s="2">
        <v>-1103845.99</v>
      </c>
      <c r="Q57" s="11">
        <f t="shared" si="6"/>
        <v>396622.68</v>
      </c>
      <c r="R57" s="11">
        <f t="shared" si="6"/>
        <v>1450</v>
      </c>
    </row>
    <row r="58" spans="1:18" x14ac:dyDescent="0.25">
      <c r="A58" s="6" t="s">
        <v>300</v>
      </c>
      <c r="B58" s="2"/>
      <c r="C58" s="2"/>
      <c r="D58" s="2">
        <v>-21972.31</v>
      </c>
      <c r="E58" s="2">
        <v>-28978.09</v>
      </c>
      <c r="F58" s="2">
        <v>-56103.27</v>
      </c>
      <c r="G58" s="2">
        <v>-20876.490000000002</v>
      </c>
      <c r="H58" s="2">
        <v>-18392.600000000002</v>
      </c>
      <c r="I58" s="2">
        <v>-7350.3499999999995</v>
      </c>
      <c r="J58" s="2">
        <v>-15008.54</v>
      </c>
      <c r="K58" s="2">
        <v>-327862.56</v>
      </c>
      <c r="L58" s="2">
        <v>-51994.05</v>
      </c>
      <c r="M58" s="2">
        <v>-31529.109999999997</v>
      </c>
      <c r="N58" s="2">
        <v>-385381.76</v>
      </c>
      <c r="O58" s="2">
        <v>-1450</v>
      </c>
      <c r="P58" s="2">
        <v>-966899.13</v>
      </c>
      <c r="Q58" s="11">
        <f t="shared" si="6"/>
        <v>385381.76</v>
      </c>
      <c r="R58" s="11">
        <f t="shared" si="6"/>
        <v>1450</v>
      </c>
    </row>
    <row r="59" spans="1:18" x14ac:dyDescent="0.25">
      <c r="A59" s="6" t="s">
        <v>152</v>
      </c>
      <c r="B59" s="2">
        <v>-1623.52</v>
      </c>
      <c r="C59" s="2">
        <v>-3049.39</v>
      </c>
      <c r="D59" s="2">
        <v>-6435.84</v>
      </c>
      <c r="E59" s="2">
        <v>-1722.45</v>
      </c>
      <c r="F59" s="2">
        <v>-7878.75</v>
      </c>
      <c r="G59" s="2">
        <v>-8811.99</v>
      </c>
      <c r="H59" s="2">
        <v>-16067.33</v>
      </c>
      <c r="I59" s="2">
        <v>-788.63</v>
      </c>
      <c r="J59" s="2">
        <v>-1414.05</v>
      </c>
      <c r="K59" s="2">
        <v>-2836.64</v>
      </c>
      <c r="L59" s="2">
        <v>-61350.26</v>
      </c>
      <c r="M59" s="2">
        <v>-13727.09</v>
      </c>
      <c r="N59" s="2">
        <v>-11240.92</v>
      </c>
      <c r="O59" s="2"/>
      <c r="P59" s="2">
        <v>-136946.86000000002</v>
      </c>
      <c r="Q59" s="11">
        <f t="shared" si="6"/>
        <v>11240.92</v>
      </c>
      <c r="R59" s="11">
        <f t="shared" si="6"/>
        <v>0</v>
      </c>
    </row>
    <row r="60" spans="1:18" x14ac:dyDescent="0.25">
      <c r="A60" s="4" t="s">
        <v>418</v>
      </c>
      <c r="B60" s="2"/>
      <c r="C60" s="2"/>
      <c r="D60" s="2">
        <v>-2052.5699999999997</v>
      </c>
      <c r="E60" s="2">
        <v>-15000</v>
      </c>
      <c r="F60" s="2">
        <v>-50.8</v>
      </c>
      <c r="G60" s="2">
        <v>-6756.32</v>
      </c>
      <c r="H60" s="2">
        <v>-147</v>
      </c>
      <c r="I60" s="2">
        <v>-223.9</v>
      </c>
      <c r="J60" s="2">
        <v>-829.7</v>
      </c>
      <c r="K60" s="2"/>
      <c r="L60" s="2">
        <v>-2.5</v>
      </c>
      <c r="M60" s="2"/>
      <c r="N60" s="2"/>
      <c r="O60" s="2">
        <v>-2548</v>
      </c>
      <c r="P60" s="2">
        <v>-27610.79</v>
      </c>
    </row>
    <row r="61" spans="1:18" x14ac:dyDescent="0.25">
      <c r="A61" s="6" t="s">
        <v>1475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>
        <v>-2548</v>
      </c>
      <c r="P61" s="2">
        <v>-2548</v>
      </c>
    </row>
    <row r="62" spans="1:18" x14ac:dyDescent="0.25">
      <c r="A62" s="6" t="s">
        <v>308</v>
      </c>
      <c r="B62" s="2"/>
      <c r="C62" s="2"/>
      <c r="D62" s="2">
        <v>-2052.5699999999997</v>
      </c>
      <c r="E62" s="2">
        <v>-15000</v>
      </c>
      <c r="F62" s="2">
        <v>-50.8</v>
      </c>
      <c r="G62" s="2">
        <v>-6756.32</v>
      </c>
      <c r="H62" s="2">
        <v>-147</v>
      </c>
      <c r="I62" s="2">
        <v>-223.9</v>
      </c>
      <c r="J62" s="2">
        <v>-829.7</v>
      </c>
      <c r="K62" s="2"/>
      <c r="L62" s="2">
        <v>-2.5</v>
      </c>
      <c r="M62" s="2"/>
      <c r="N62" s="2"/>
      <c r="O62" s="2"/>
      <c r="P62" s="2">
        <v>-25062.79</v>
      </c>
      <c r="Q62" s="11">
        <f>-N62</f>
        <v>0</v>
      </c>
      <c r="R62" s="11">
        <f>-O62</f>
        <v>0</v>
      </c>
    </row>
    <row r="63" spans="1:18" x14ac:dyDescent="0.25">
      <c r="A63" s="4" t="s">
        <v>626</v>
      </c>
      <c r="B63" s="2"/>
      <c r="C63" s="2"/>
      <c r="D63" s="2"/>
      <c r="E63" s="2"/>
      <c r="F63" s="2"/>
      <c r="G63" s="2">
        <v>65.19</v>
      </c>
      <c r="H63" s="2">
        <v>308.25</v>
      </c>
      <c r="I63" s="2">
        <v>-255.7</v>
      </c>
      <c r="J63" s="2">
        <v>-108.62</v>
      </c>
      <c r="K63" s="2">
        <v>-139.04</v>
      </c>
      <c r="L63" s="2">
        <v>-34.799999999999997</v>
      </c>
      <c r="M63" s="2"/>
      <c r="N63" s="2"/>
      <c r="O63" s="2"/>
      <c r="P63" s="2">
        <v>-164.71999999999997</v>
      </c>
    </row>
    <row r="64" spans="1:18" x14ac:dyDescent="0.25">
      <c r="A64" s="6" t="s">
        <v>626</v>
      </c>
      <c r="B64" s="2"/>
      <c r="C64" s="2"/>
      <c r="D64" s="2"/>
      <c r="E64" s="2"/>
      <c r="F64" s="2"/>
      <c r="G64" s="2">
        <v>65.19</v>
      </c>
      <c r="H64" s="2">
        <v>308.25</v>
      </c>
      <c r="I64" s="2">
        <v>-255.7</v>
      </c>
      <c r="J64" s="2">
        <v>-108.62</v>
      </c>
      <c r="K64" s="2">
        <v>-139.04</v>
      </c>
      <c r="L64" s="2">
        <v>-34.799999999999997</v>
      </c>
      <c r="M64" s="2"/>
      <c r="N64" s="2"/>
      <c r="O64" s="2"/>
      <c r="P64" s="2">
        <v>-164.71999999999997</v>
      </c>
    </row>
    <row r="65" spans="1:16" x14ac:dyDescent="0.25">
      <c r="A65" s="4" t="s">
        <v>815</v>
      </c>
      <c r="B65" s="2"/>
      <c r="C65" s="2"/>
      <c r="D65" s="2"/>
      <c r="E65" s="2"/>
      <c r="F65" s="2"/>
      <c r="G65" s="2"/>
      <c r="H65" s="2"/>
      <c r="I65" s="2"/>
      <c r="J65" s="2">
        <v>0</v>
      </c>
      <c r="K65" s="2">
        <v>0</v>
      </c>
      <c r="L65" s="2">
        <v>0</v>
      </c>
      <c r="M65" s="2">
        <v>0</v>
      </c>
      <c r="N65" s="2"/>
      <c r="O65" s="2">
        <v>0</v>
      </c>
      <c r="P65" s="2">
        <v>0</v>
      </c>
    </row>
    <row r="66" spans="1:16" x14ac:dyDescent="0.25">
      <c r="A66" s="6" t="s">
        <v>815</v>
      </c>
      <c r="B66" s="2"/>
      <c r="C66" s="2"/>
      <c r="D66" s="2"/>
      <c r="E66" s="2"/>
      <c r="F66" s="2"/>
      <c r="G66" s="2"/>
      <c r="H66" s="2"/>
      <c r="I66" s="2"/>
      <c r="J66" s="2">
        <v>0</v>
      </c>
      <c r="K66" s="2">
        <v>0</v>
      </c>
      <c r="L66" s="2">
        <v>0</v>
      </c>
      <c r="M66" s="2">
        <v>0</v>
      </c>
      <c r="N66" s="2"/>
      <c r="O66" s="2">
        <v>0</v>
      </c>
      <c r="P66" s="2">
        <v>0</v>
      </c>
    </row>
    <row r="67" spans="1:16" x14ac:dyDescent="0.25">
      <c r="A67" s="4" t="s">
        <v>1175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>
        <v>0</v>
      </c>
      <c r="N67" s="2"/>
      <c r="O67" s="2"/>
      <c r="P67" s="2">
        <v>0</v>
      </c>
    </row>
    <row r="68" spans="1:16" x14ac:dyDescent="0.25">
      <c r="A68" s="6" t="s">
        <v>1175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>
        <v>0</v>
      </c>
      <c r="N68" s="2"/>
      <c r="O68" s="2"/>
      <c r="P68" s="2">
        <v>0</v>
      </c>
    </row>
    <row r="69" spans="1:16" x14ac:dyDescent="0.25">
      <c r="A69" s="4" t="s">
        <v>212</v>
      </c>
      <c r="B69" s="2">
        <v>-37144.14</v>
      </c>
      <c r="C69" s="2">
        <v>24173.280000000035</v>
      </c>
      <c r="D69" s="2">
        <v>-28616.599999999995</v>
      </c>
      <c r="E69" s="2">
        <v>5229.0400000000009</v>
      </c>
      <c r="F69" s="2">
        <v>2490.7199999999966</v>
      </c>
      <c r="G69" s="2">
        <v>83492.140000000014</v>
      </c>
      <c r="H69" s="2">
        <v>-56533.319999999992</v>
      </c>
      <c r="I69" s="2">
        <v>2592.3700000000213</v>
      </c>
      <c r="J69" s="2">
        <v>102869.09000000003</v>
      </c>
      <c r="K69" s="2">
        <v>212449.26999999987</v>
      </c>
      <c r="L69" s="2">
        <v>-40295.54</v>
      </c>
      <c r="M69" s="2">
        <v>-3089.3000000000102</v>
      </c>
      <c r="N69" s="2">
        <v>113392.61999999992</v>
      </c>
      <c r="O69" s="2">
        <v>-61474.91</v>
      </c>
      <c r="P69" s="2">
        <v>319534.7200000005</v>
      </c>
    </row>
    <row r="72" spans="1:16" x14ac:dyDescent="0.25">
      <c r="H72" s="16"/>
      <c r="I72" s="16"/>
      <c r="J72" s="16"/>
      <c r="K72" s="16"/>
    </row>
    <row r="73" spans="1:16" x14ac:dyDescent="0.25">
      <c r="O73" s="2">
        <f>GETPIVOTDATA("Valor",$A$3,"Months (Data)",1,"Years (Data)",2026)-GETPIVOTDATA("Valor",$A$3,"Centro de custo","Honorários","Months (Data)",1,"Years (Data)",2026)</f>
        <v>-98461.65</v>
      </c>
    </row>
    <row r="75" spans="1:16" x14ac:dyDescent="0.25">
      <c r="O75" s="2">
        <f>Base!K1918</f>
        <v>-19335.52</v>
      </c>
    </row>
    <row r="76" spans="1:16" x14ac:dyDescent="0.25">
      <c r="O76" s="2">
        <f>O75-GETPIVOTDATA("Valor",$A$3,"Centro de custo","ADM","Months (Data)",1,"Years (Data)",2026)</f>
        <v>6951.4499999999971</v>
      </c>
    </row>
    <row r="78" spans="1:16" x14ac:dyDescent="0.25">
      <c r="O78">
        <v>10844.080000000002</v>
      </c>
    </row>
    <row r="80" spans="1:16" x14ac:dyDescent="0.25">
      <c r="O80" s="2">
        <f>O73-O78</f>
        <v>-109305.73</v>
      </c>
    </row>
  </sheetData>
  <autoFilter ref="X4:AB13" xr:uid="{2AA9A2E4-B9E9-458A-97E7-3A5983813D41}">
    <sortState xmlns:xlrd2="http://schemas.microsoft.com/office/spreadsheetml/2017/richdata2" ref="X5:AB13">
      <sortCondition descending="1" ref="AB4:AB13"/>
    </sortState>
  </autoFilter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6C09-FFF7-4413-86D3-969E96B9EA8D}">
  <dimension ref="A1:X69"/>
  <sheetViews>
    <sheetView zoomScale="85" zoomScaleNormal="85" workbookViewId="0"/>
  </sheetViews>
  <sheetFormatPr defaultRowHeight="15.75" x14ac:dyDescent="0.25"/>
  <cols>
    <col min="1" max="1" width="44" bestFit="1" customWidth="1"/>
    <col min="2" max="2" width="16.75" bestFit="1" customWidth="1"/>
    <col min="3" max="4" width="10" bestFit="1" customWidth="1"/>
    <col min="5" max="6" width="10.375" bestFit="1" customWidth="1"/>
    <col min="7" max="8" width="10" bestFit="1" customWidth="1"/>
    <col min="9" max="9" width="10.375" bestFit="1" customWidth="1"/>
    <col min="10" max="11" width="11" bestFit="1" customWidth="1"/>
    <col min="12" max="12" width="10.375" bestFit="1" customWidth="1"/>
    <col min="13" max="13" width="11" bestFit="1" customWidth="1"/>
    <col min="14" max="14" width="10" bestFit="1" customWidth="1"/>
    <col min="15" max="15" width="12.625" customWidth="1"/>
    <col min="20" max="20" width="16.5" bestFit="1" customWidth="1"/>
    <col min="21" max="23" width="9.5" bestFit="1" customWidth="1"/>
    <col min="24" max="24" width="9.875" bestFit="1" customWidth="1"/>
  </cols>
  <sheetData>
    <row r="1" spans="1:24" x14ac:dyDescent="0.25">
      <c r="A1" s="3" t="s">
        <v>12</v>
      </c>
      <c r="B1" t="s">
        <v>214</v>
      </c>
      <c r="U1">
        <v>-1</v>
      </c>
    </row>
    <row r="2" spans="1:24" x14ac:dyDescent="0.25">
      <c r="P2" t="s">
        <v>83</v>
      </c>
      <c r="Q2" s="2">
        <v>3876.67</v>
      </c>
    </row>
    <row r="3" spans="1:24" x14ac:dyDescent="0.25">
      <c r="A3" s="3" t="s">
        <v>213</v>
      </c>
      <c r="B3" s="3" t="s">
        <v>283</v>
      </c>
      <c r="P3" t="s">
        <v>210</v>
      </c>
      <c r="Q3" s="2">
        <v>4700.28</v>
      </c>
      <c r="U3" s="17">
        <v>12</v>
      </c>
      <c r="V3">
        <f>U3+1</f>
        <v>13</v>
      </c>
      <c r="W3">
        <f>V3+1</f>
        <v>14</v>
      </c>
    </row>
    <row r="4" spans="1:24" x14ac:dyDescent="0.25">
      <c r="B4" t="s">
        <v>282</v>
      </c>
      <c r="N4" t="s">
        <v>1486</v>
      </c>
      <c r="O4" t="s">
        <v>212</v>
      </c>
      <c r="T4" s="8" t="s">
        <v>211</v>
      </c>
      <c r="U4" s="19" t="str">
        <f>VLOOKUP($T4,$A:$M,U$3,0)</f>
        <v>nov</v>
      </c>
      <c r="V4" s="19" t="str">
        <f>VLOOKUP($T4,$A:$M,V$3,0)</f>
        <v>dez</v>
      </c>
      <c r="W4" s="19" t="str">
        <f>VLOOKUP($T4,$A:$Z,W$3,0)</f>
        <v>jan</v>
      </c>
      <c r="X4" s="9" t="s">
        <v>423</v>
      </c>
    </row>
    <row r="5" spans="1:24" x14ac:dyDescent="0.25">
      <c r="A5" s="3" t="s">
        <v>211</v>
      </c>
      <c r="B5" t="s">
        <v>419</v>
      </c>
      <c r="C5" t="s">
        <v>420</v>
      </c>
      <c r="D5" t="s">
        <v>421</v>
      </c>
      <c r="E5" t="s">
        <v>566</v>
      </c>
      <c r="F5" t="s">
        <v>647</v>
      </c>
      <c r="G5" t="s">
        <v>714</v>
      </c>
      <c r="H5" t="s">
        <v>791</v>
      </c>
      <c r="I5" t="s">
        <v>896</v>
      </c>
      <c r="J5" t="s">
        <v>1021</v>
      </c>
      <c r="K5" t="s">
        <v>1145</v>
      </c>
      <c r="L5" t="s">
        <v>1243</v>
      </c>
      <c r="M5" t="s">
        <v>422</v>
      </c>
      <c r="N5" t="s">
        <v>419</v>
      </c>
      <c r="T5" t="s">
        <v>430</v>
      </c>
      <c r="U5" s="11">
        <f t="shared" ref="U5:V20" si="0">-VLOOKUP("adm - "&amp;$T5,$A:$M,U$3,0)</f>
        <v>177.97</v>
      </c>
      <c r="V5" s="11">
        <f t="shared" si="0"/>
        <v>4682.75</v>
      </c>
      <c r="W5" s="11">
        <f t="shared" ref="W5:W20" si="1">-VLOOKUP("adm - "&amp;$T5,$A:$Z,W$3,0)</f>
        <v>7854.9</v>
      </c>
      <c r="X5" s="12">
        <f t="shared" ref="X5:X20" si="2">SUM(U5:W5)</f>
        <v>12715.619999999999</v>
      </c>
    </row>
    <row r="6" spans="1:24" x14ac:dyDescent="0.25">
      <c r="A6" s="4" t="s">
        <v>274</v>
      </c>
      <c r="B6" s="2">
        <v>-12371.08</v>
      </c>
      <c r="C6" s="2">
        <v>-13557.119999999997</v>
      </c>
      <c r="D6" s="2">
        <v>-11014.55</v>
      </c>
      <c r="E6" s="2">
        <v>-14113.82</v>
      </c>
      <c r="F6" s="2">
        <v>-11462.070000000002</v>
      </c>
      <c r="G6" s="2">
        <v>-11562.65</v>
      </c>
      <c r="H6" s="2">
        <v>-13933.1</v>
      </c>
      <c r="I6" s="2">
        <v>-21913.57</v>
      </c>
      <c r="J6" s="2">
        <v>-23321.120000000003</v>
      </c>
      <c r="K6" s="2">
        <v>-19439.239999999998</v>
      </c>
      <c r="L6" s="2">
        <v>-12919.84</v>
      </c>
      <c r="M6" s="2">
        <v>-19199.91</v>
      </c>
      <c r="N6" s="2">
        <v>-26286.97</v>
      </c>
      <c r="O6" s="2">
        <v>-211095.03999999998</v>
      </c>
      <c r="T6" t="s">
        <v>431</v>
      </c>
      <c r="U6" s="11">
        <f t="shared" si="0"/>
        <v>719.88000000000011</v>
      </c>
      <c r="V6" s="11">
        <f t="shared" si="0"/>
        <v>584.64</v>
      </c>
      <c r="W6" s="11">
        <f t="shared" si="1"/>
        <v>1033.94</v>
      </c>
      <c r="X6" s="12">
        <f t="shared" si="2"/>
        <v>2338.46</v>
      </c>
    </row>
    <row r="7" spans="1:24" x14ac:dyDescent="0.25">
      <c r="A7" s="6" t="s">
        <v>660</v>
      </c>
      <c r="B7" s="2"/>
      <c r="C7" s="2"/>
      <c r="D7" s="2"/>
      <c r="E7" s="2"/>
      <c r="F7" s="2"/>
      <c r="G7" s="2">
        <v>-26</v>
      </c>
      <c r="H7" s="2"/>
      <c r="I7" s="2"/>
      <c r="J7" s="2"/>
      <c r="K7" s="2"/>
      <c r="L7" s="2"/>
      <c r="M7" s="2"/>
      <c r="N7" s="2">
        <v>-40</v>
      </c>
      <c r="O7" s="2">
        <v>-66</v>
      </c>
      <c r="T7" t="s">
        <v>424</v>
      </c>
      <c r="U7" s="11">
        <f t="shared" si="0"/>
        <v>2892.0200000000004</v>
      </c>
      <c r="V7" s="11">
        <f t="shared" si="0"/>
        <v>2781.8200000000006</v>
      </c>
      <c r="W7" s="11">
        <f t="shared" si="1"/>
        <v>2884.6000000000004</v>
      </c>
      <c r="X7" s="12">
        <f t="shared" si="2"/>
        <v>8558.4400000000023</v>
      </c>
    </row>
    <row r="8" spans="1:24" x14ac:dyDescent="0.25">
      <c r="A8" s="6" t="s">
        <v>849</v>
      </c>
      <c r="B8" s="2"/>
      <c r="C8" s="2"/>
      <c r="D8" s="2"/>
      <c r="E8" s="2"/>
      <c r="F8" s="2"/>
      <c r="G8" s="2"/>
      <c r="H8" s="2"/>
      <c r="I8" s="2">
        <v>-1105.68</v>
      </c>
      <c r="J8" s="2"/>
      <c r="K8" s="2"/>
      <c r="L8" s="2"/>
      <c r="M8" s="2"/>
      <c r="N8" s="2"/>
      <c r="O8" s="2">
        <v>-1105.68</v>
      </c>
      <c r="T8" t="s">
        <v>51</v>
      </c>
      <c r="U8" s="11">
        <f t="shared" si="0"/>
        <v>1518</v>
      </c>
      <c r="V8" s="11">
        <f t="shared" si="0"/>
        <v>3036</v>
      </c>
      <c r="W8" s="11">
        <f t="shared" si="1"/>
        <v>1518</v>
      </c>
      <c r="X8" s="12">
        <f t="shared" si="2"/>
        <v>6072</v>
      </c>
    </row>
    <row r="9" spans="1:24" x14ac:dyDescent="0.25">
      <c r="A9" s="6" t="s">
        <v>154</v>
      </c>
      <c r="B9" s="2">
        <v>-61.14</v>
      </c>
      <c r="C9" s="2">
        <v>-128.88</v>
      </c>
      <c r="D9" s="2">
        <v>-106.3</v>
      </c>
      <c r="E9" s="2">
        <v>-134.25</v>
      </c>
      <c r="F9" s="2">
        <v>-110.73</v>
      </c>
      <c r="G9" s="2">
        <v>-134.25</v>
      </c>
      <c r="H9" s="2">
        <v>-108.71</v>
      </c>
      <c r="I9" s="2">
        <v>-132.22999999999999</v>
      </c>
      <c r="J9" s="2">
        <v>-155.75</v>
      </c>
      <c r="K9" s="2">
        <v>-155.75</v>
      </c>
      <c r="L9" s="2">
        <v>-179.27</v>
      </c>
      <c r="M9" s="2">
        <v>-132.22999999999999</v>
      </c>
      <c r="N9" s="2">
        <v>-109.67</v>
      </c>
      <c r="O9" s="2">
        <v>-1649.16</v>
      </c>
      <c r="T9" t="s">
        <v>426</v>
      </c>
      <c r="U9" s="11">
        <f t="shared" si="0"/>
        <v>1075.0899999999999</v>
      </c>
      <c r="V9" s="11">
        <f t="shared" si="0"/>
        <v>1662.23</v>
      </c>
      <c r="W9" s="11">
        <f t="shared" si="1"/>
        <v>2942.8</v>
      </c>
      <c r="X9" s="12">
        <f t="shared" si="2"/>
        <v>5680.12</v>
      </c>
    </row>
    <row r="10" spans="1:24" x14ac:dyDescent="0.25">
      <c r="A10" s="6" t="s">
        <v>15</v>
      </c>
      <c r="B10" s="2"/>
      <c r="C10" s="2">
        <v>0</v>
      </c>
      <c r="D10" s="2">
        <v>0</v>
      </c>
      <c r="E10" s="2">
        <v>0</v>
      </c>
      <c r="F10" s="2">
        <v>0</v>
      </c>
      <c r="G10" s="2">
        <v>-224.99</v>
      </c>
      <c r="H10" s="2">
        <v>-224.10999999999979</v>
      </c>
      <c r="I10" s="2">
        <v>-224.99</v>
      </c>
      <c r="J10" s="2">
        <v>-224.99000000000024</v>
      </c>
      <c r="K10" s="2">
        <v>-224.98999999999978</v>
      </c>
      <c r="L10" s="2">
        <v>-224.98999999999978</v>
      </c>
      <c r="M10" s="2">
        <v>-224.99</v>
      </c>
      <c r="N10" s="2">
        <v>-224.99000000000024</v>
      </c>
      <c r="O10" s="2">
        <v>-1799.0399999999997</v>
      </c>
      <c r="T10" t="s">
        <v>425</v>
      </c>
      <c r="U10" s="11">
        <f t="shared" si="0"/>
        <v>1411.13</v>
      </c>
      <c r="V10" s="11">
        <f t="shared" si="0"/>
        <v>1506.0099999999998</v>
      </c>
      <c r="W10" s="11">
        <f t="shared" si="1"/>
        <v>1954.0400000000004</v>
      </c>
      <c r="X10" s="12">
        <f t="shared" si="2"/>
        <v>4871.18</v>
      </c>
    </row>
    <row r="11" spans="1:24" x14ac:dyDescent="0.25">
      <c r="A11" s="6" t="s">
        <v>1045</v>
      </c>
      <c r="B11" s="2"/>
      <c r="C11" s="2"/>
      <c r="D11" s="2"/>
      <c r="E11" s="2"/>
      <c r="F11" s="2"/>
      <c r="G11" s="2"/>
      <c r="H11" s="2"/>
      <c r="I11" s="2"/>
      <c r="J11" s="2"/>
      <c r="K11" s="2">
        <v>-1500</v>
      </c>
      <c r="L11" s="2">
        <v>-700</v>
      </c>
      <c r="M11" s="2"/>
      <c r="N11" s="2"/>
      <c r="O11" s="2">
        <v>-2200</v>
      </c>
      <c r="T11" t="s">
        <v>567</v>
      </c>
      <c r="U11" s="11">
        <f t="shared" si="0"/>
        <v>300.05</v>
      </c>
      <c r="V11" s="11">
        <f t="shared" si="0"/>
        <v>2045.7199999999998</v>
      </c>
      <c r="W11" s="11">
        <f t="shared" si="1"/>
        <v>1693.72</v>
      </c>
      <c r="X11" s="12">
        <f t="shared" si="2"/>
        <v>4039.49</v>
      </c>
    </row>
    <row r="12" spans="1:24" x14ac:dyDescent="0.25">
      <c r="A12" s="6" t="s">
        <v>302</v>
      </c>
      <c r="B12" s="2"/>
      <c r="C12" s="2">
        <v>-1581.97</v>
      </c>
      <c r="D12" s="2">
        <v>-339.22</v>
      </c>
      <c r="E12" s="2">
        <v>-339.22</v>
      </c>
      <c r="F12" s="2">
        <v>-339.27</v>
      </c>
      <c r="G12" s="2">
        <v>-339.27</v>
      </c>
      <c r="H12" s="2">
        <v>-125.52</v>
      </c>
      <c r="I12" s="2">
        <v>-125.57</v>
      </c>
      <c r="J12" s="2">
        <v>-125.57</v>
      </c>
      <c r="K12" s="2">
        <v>-125.52</v>
      </c>
      <c r="L12" s="2">
        <v>-125.52</v>
      </c>
      <c r="M12" s="2">
        <v>-125.57</v>
      </c>
      <c r="N12" s="2"/>
      <c r="O12" s="2">
        <v>-3692.2200000000003</v>
      </c>
      <c r="T12" t="s">
        <v>98</v>
      </c>
      <c r="U12" s="11">
        <f t="shared" si="0"/>
        <v>1190</v>
      </c>
      <c r="V12" s="11">
        <f t="shared" si="0"/>
        <v>1020</v>
      </c>
      <c r="W12" s="11">
        <f t="shared" si="1"/>
        <v>1530</v>
      </c>
      <c r="X12" s="12">
        <f t="shared" si="2"/>
        <v>3740</v>
      </c>
    </row>
    <row r="13" spans="1:24" x14ac:dyDescent="0.25">
      <c r="A13" s="6" t="s">
        <v>998</v>
      </c>
      <c r="B13" s="2"/>
      <c r="C13" s="2"/>
      <c r="D13" s="2"/>
      <c r="E13" s="2"/>
      <c r="F13" s="2"/>
      <c r="G13" s="2"/>
      <c r="H13" s="2"/>
      <c r="I13" s="2"/>
      <c r="J13" s="2">
        <v>-500</v>
      </c>
      <c r="K13" s="2">
        <v>-500</v>
      </c>
      <c r="L13" s="2">
        <v>-1000</v>
      </c>
      <c r="M13" s="2">
        <v>-1000</v>
      </c>
      <c r="N13" s="2">
        <v>-1000</v>
      </c>
      <c r="O13" s="2">
        <v>-4000</v>
      </c>
      <c r="T13" t="s">
        <v>1025</v>
      </c>
      <c r="U13" s="11">
        <f t="shared" si="0"/>
        <v>1000</v>
      </c>
      <c r="V13" s="11">
        <f t="shared" si="0"/>
        <v>1000</v>
      </c>
      <c r="W13" s="11">
        <f t="shared" si="1"/>
        <v>1000</v>
      </c>
      <c r="X13" s="12">
        <f t="shared" si="2"/>
        <v>3000</v>
      </c>
    </row>
    <row r="14" spans="1:24" x14ac:dyDescent="0.25">
      <c r="A14" s="6" t="s">
        <v>103</v>
      </c>
      <c r="B14" s="2">
        <v>-30</v>
      </c>
      <c r="C14" s="2">
        <v>-460</v>
      </c>
      <c r="D14" s="2">
        <v>-577</v>
      </c>
      <c r="E14" s="2">
        <v>-290</v>
      </c>
      <c r="F14" s="2">
        <v>-200</v>
      </c>
      <c r="G14" s="2">
        <v>-310</v>
      </c>
      <c r="H14" s="2"/>
      <c r="I14" s="2">
        <v>-280</v>
      </c>
      <c r="J14" s="2">
        <v>-240</v>
      </c>
      <c r="K14" s="2"/>
      <c r="L14" s="2"/>
      <c r="M14" s="2"/>
      <c r="N14" s="2">
        <v>-1818</v>
      </c>
      <c r="O14" s="2">
        <v>-4205</v>
      </c>
      <c r="T14" t="s">
        <v>427</v>
      </c>
      <c r="U14" s="11">
        <f t="shared" si="0"/>
        <v>1007.97</v>
      </c>
      <c r="V14" s="11">
        <f t="shared" si="0"/>
        <v>0</v>
      </c>
      <c r="W14" s="11">
        <f t="shared" si="1"/>
        <v>1281.44</v>
      </c>
      <c r="X14" s="12">
        <f t="shared" si="2"/>
        <v>2289.41</v>
      </c>
    </row>
    <row r="15" spans="1:24" x14ac:dyDescent="0.25">
      <c r="A15" s="6" t="s">
        <v>113</v>
      </c>
      <c r="B15" s="2">
        <v>-498.21</v>
      </c>
      <c r="C15" s="2">
        <v>-501.94</v>
      </c>
      <c r="D15" s="2">
        <v>-501.94000000000005</v>
      </c>
      <c r="E15" s="2">
        <v>-508.94000000000005</v>
      </c>
      <c r="F15" s="2">
        <v>-523.72</v>
      </c>
      <c r="G15" s="2">
        <v>-399.27</v>
      </c>
      <c r="H15" s="2">
        <v>-630.81000000000006</v>
      </c>
      <c r="I15" s="2">
        <v>-528.48</v>
      </c>
      <c r="J15" s="2">
        <v>-486.89</v>
      </c>
      <c r="K15" s="2">
        <v>-397.95</v>
      </c>
      <c r="L15" s="2">
        <v>-397.95</v>
      </c>
      <c r="M15" s="2">
        <v>-397.95</v>
      </c>
      <c r="N15" s="2">
        <v>-400.87</v>
      </c>
      <c r="O15" s="2">
        <v>-6174.9199999999992</v>
      </c>
      <c r="T15" t="s">
        <v>432</v>
      </c>
      <c r="U15" s="11">
        <f t="shared" si="0"/>
        <v>0</v>
      </c>
      <c r="V15" s="11">
        <f t="shared" si="0"/>
        <v>0</v>
      </c>
      <c r="W15" s="11">
        <f t="shared" si="1"/>
        <v>1818</v>
      </c>
      <c r="X15" s="12">
        <f t="shared" si="2"/>
        <v>1818</v>
      </c>
    </row>
    <row r="16" spans="1:24" x14ac:dyDescent="0.25">
      <c r="A16" s="6" t="s">
        <v>89</v>
      </c>
      <c r="B16" s="2">
        <v>-410.82000000000005</v>
      </c>
      <c r="C16" s="2">
        <v>-964.39</v>
      </c>
      <c r="D16" s="2">
        <v>-69.14</v>
      </c>
      <c r="E16" s="2">
        <v>-613.37</v>
      </c>
      <c r="F16" s="2">
        <v>-206.5</v>
      </c>
      <c r="G16" s="2">
        <v>-1015.49</v>
      </c>
      <c r="H16" s="2">
        <v>-280.52999999999997</v>
      </c>
      <c r="I16" s="2">
        <v>-685.7</v>
      </c>
      <c r="J16" s="2"/>
      <c r="K16" s="2">
        <v>-781.76</v>
      </c>
      <c r="L16" s="2">
        <v>-719.88000000000011</v>
      </c>
      <c r="M16" s="2">
        <v>-584.64</v>
      </c>
      <c r="N16" s="2">
        <v>-1033.94</v>
      </c>
      <c r="O16" s="2">
        <v>-7366.16</v>
      </c>
      <c r="T16" t="s">
        <v>428</v>
      </c>
      <c r="U16" s="11">
        <f t="shared" si="0"/>
        <v>397.95</v>
      </c>
      <c r="V16" s="11">
        <f t="shared" si="0"/>
        <v>397.95</v>
      </c>
      <c r="W16" s="11">
        <f t="shared" si="1"/>
        <v>400.87</v>
      </c>
      <c r="X16" s="12">
        <f t="shared" si="2"/>
        <v>1196.77</v>
      </c>
    </row>
    <row r="17" spans="1:24" x14ac:dyDescent="0.25">
      <c r="A17" s="6" t="s">
        <v>508</v>
      </c>
      <c r="B17" s="2"/>
      <c r="C17" s="2"/>
      <c r="D17" s="2"/>
      <c r="E17" s="2">
        <v>-2000</v>
      </c>
      <c r="F17" s="2"/>
      <c r="G17" s="2">
        <v>-59.9</v>
      </c>
      <c r="H17" s="2"/>
      <c r="I17" s="2">
        <v>-300.05</v>
      </c>
      <c r="J17" s="2">
        <v>-999.17000000000007</v>
      </c>
      <c r="K17" s="2">
        <v>-418.35</v>
      </c>
      <c r="L17" s="2">
        <v>-300.05</v>
      </c>
      <c r="M17" s="2">
        <v>-2045.7199999999998</v>
      </c>
      <c r="N17" s="2">
        <v>-1693.72</v>
      </c>
      <c r="O17" s="2">
        <v>-7816.96</v>
      </c>
      <c r="T17" t="s">
        <v>227</v>
      </c>
      <c r="U17" s="11">
        <f t="shared" si="0"/>
        <v>224.98999999999978</v>
      </c>
      <c r="V17" s="11">
        <f t="shared" si="0"/>
        <v>224.99</v>
      </c>
      <c r="W17" s="11">
        <f t="shared" si="1"/>
        <v>224.99000000000024</v>
      </c>
      <c r="X17" s="12">
        <f t="shared" si="2"/>
        <v>674.97</v>
      </c>
    </row>
    <row r="18" spans="1:24" x14ac:dyDescent="0.25">
      <c r="A18" s="6" t="s">
        <v>191</v>
      </c>
      <c r="B18" s="2">
        <v>-720.51</v>
      </c>
      <c r="C18" s="2">
        <v>-1060.24</v>
      </c>
      <c r="D18" s="2">
        <v>-1007.97</v>
      </c>
      <c r="E18" s="2">
        <v>-1181.42</v>
      </c>
      <c r="F18" s="2">
        <v>-922.85</v>
      </c>
      <c r="G18" s="2">
        <v>-846.82999999999993</v>
      </c>
      <c r="H18" s="2">
        <v>-662.83999999999992</v>
      </c>
      <c r="I18" s="2">
        <v>-682.81999999999994</v>
      </c>
      <c r="J18" s="2">
        <v>-882.34</v>
      </c>
      <c r="K18" s="2">
        <v>-1303.51</v>
      </c>
      <c r="L18" s="2">
        <v>-1007.97</v>
      </c>
      <c r="M18" s="2"/>
      <c r="N18" s="2">
        <v>-1281.44</v>
      </c>
      <c r="O18" s="2">
        <v>-11560.74</v>
      </c>
      <c r="T18" t="s">
        <v>433</v>
      </c>
      <c r="U18" s="11">
        <f t="shared" si="0"/>
        <v>179.27</v>
      </c>
      <c r="V18" s="11">
        <f t="shared" si="0"/>
        <v>132.22999999999999</v>
      </c>
      <c r="W18" s="11">
        <f t="shared" si="1"/>
        <v>109.67</v>
      </c>
      <c r="X18" s="12">
        <f t="shared" si="2"/>
        <v>421.17</v>
      </c>
    </row>
    <row r="19" spans="1:24" x14ac:dyDescent="0.25">
      <c r="A19" s="6" t="s">
        <v>28</v>
      </c>
      <c r="B19" s="2">
        <v>-2357.6499999999996</v>
      </c>
      <c r="C19" s="2">
        <v>-807.18000000000006</v>
      </c>
      <c r="D19" s="2">
        <v>-1336.1000000000001</v>
      </c>
      <c r="E19" s="2">
        <v>-1911.7499999999998</v>
      </c>
      <c r="F19" s="2">
        <v>-1089.75</v>
      </c>
      <c r="G19" s="2">
        <v>-588.32999999999993</v>
      </c>
      <c r="H19" s="2">
        <v>-1072.21</v>
      </c>
      <c r="I19" s="2">
        <v>-725.09</v>
      </c>
      <c r="J19" s="2">
        <v>-928.32</v>
      </c>
      <c r="K19" s="2">
        <v>-321.56000000000006</v>
      </c>
      <c r="L19" s="2">
        <v>-1075.0899999999999</v>
      </c>
      <c r="M19" s="2">
        <v>-1662.23</v>
      </c>
      <c r="N19" s="2">
        <v>-2942.8</v>
      </c>
      <c r="O19" s="2">
        <v>-16818.060000000001</v>
      </c>
      <c r="T19" t="s">
        <v>429</v>
      </c>
      <c r="U19" s="11">
        <f t="shared" si="0"/>
        <v>125.52</v>
      </c>
      <c r="V19" s="11">
        <f t="shared" si="0"/>
        <v>125.57</v>
      </c>
      <c r="W19" s="11">
        <f t="shared" si="1"/>
        <v>0</v>
      </c>
      <c r="X19" s="12">
        <f t="shared" si="2"/>
        <v>251.08999999999997</v>
      </c>
    </row>
    <row r="20" spans="1:24" x14ac:dyDescent="0.25">
      <c r="A20" s="6" t="s">
        <v>99</v>
      </c>
      <c r="B20" s="2">
        <v>-1530</v>
      </c>
      <c r="C20" s="2">
        <v>-1360</v>
      </c>
      <c r="D20" s="2">
        <v>-1190</v>
      </c>
      <c r="E20" s="2">
        <v>-1190</v>
      </c>
      <c r="F20" s="2">
        <v>-1700</v>
      </c>
      <c r="G20" s="2">
        <v>-1244.44</v>
      </c>
      <c r="H20" s="2">
        <v>-1360</v>
      </c>
      <c r="I20" s="2">
        <v>-1840</v>
      </c>
      <c r="J20" s="2">
        <v>-1240</v>
      </c>
      <c r="K20" s="2">
        <v>-1700</v>
      </c>
      <c r="L20" s="2">
        <v>-1190</v>
      </c>
      <c r="M20" s="2">
        <v>-1020</v>
      </c>
      <c r="N20" s="2">
        <v>-1530</v>
      </c>
      <c r="O20" s="2">
        <v>-18094.440000000002</v>
      </c>
      <c r="T20" t="s">
        <v>1024</v>
      </c>
      <c r="U20" s="11">
        <f t="shared" si="0"/>
        <v>0</v>
      </c>
      <c r="V20" s="11">
        <f t="shared" si="0"/>
        <v>0</v>
      </c>
      <c r="W20" s="11">
        <f t="shared" si="1"/>
        <v>0</v>
      </c>
      <c r="X20" s="12">
        <f t="shared" si="2"/>
        <v>0</v>
      </c>
    </row>
    <row r="21" spans="1:24" x14ac:dyDescent="0.25">
      <c r="A21" s="6" t="s">
        <v>30</v>
      </c>
      <c r="B21" s="2">
        <v>-1988.9399999999998</v>
      </c>
      <c r="C21" s="2">
        <v>-2088.8400000000006</v>
      </c>
      <c r="D21" s="2">
        <v>-1599.8300000000002</v>
      </c>
      <c r="E21" s="2">
        <v>-1341.74</v>
      </c>
      <c r="F21" s="2">
        <v>-1605.74</v>
      </c>
      <c r="G21" s="2">
        <v>-1229.7400000000002</v>
      </c>
      <c r="H21" s="2">
        <v>-1274.0400000000002</v>
      </c>
      <c r="I21" s="2">
        <v>-1925.82</v>
      </c>
      <c r="J21" s="2">
        <v>-1426.29</v>
      </c>
      <c r="K21" s="2">
        <v>-1172.26</v>
      </c>
      <c r="L21" s="2">
        <v>-1411.13</v>
      </c>
      <c r="M21" s="2">
        <v>-1506.0099999999998</v>
      </c>
      <c r="N21" s="2">
        <v>-1954.0400000000004</v>
      </c>
      <c r="O21" s="2">
        <v>-20524.419999999998</v>
      </c>
    </row>
    <row r="22" spans="1:24" x14ac:dyDescent="0.25">
      <c r="A22" s="6" t="s">
        <v>52</v>
      </c>
      <c r="B22" s="2">
        <v>-1412</v>
      </c>
      <c r="C22" s="2">
        <v>-1518</v>
      </c>
      <c r="D22" s="2">
        <v>-1518</v>
      </c>
      <c r="E22" s="2">
        <v>-1518</v>
      </c>
      <c r="F22" s="2">
        <v>-1668</v>
      </c>
      <c r="G22" s="2">
        <v>-1518</v>
      </c>
      <c r="H22" s="2">
        <v>-1518</v>
      </c>
      <c r="I22" s="2">
        <v>-1518</v>
      </c>
      <c r="J22" s="2">
        <v>-1518</v>
      </c>
      <c r="K22" s="2">
        <v>-2277</v>
      </c>
      <c r="L22" s="2">
        <v>-1518</v>
      </c>
      <c r="M22" s="2">
        <v>-3036</v>
      </c>
      <c r="N22" s="2">
        <v>-1518</v>
      </c>
      <c r="O22" s="2">
        <v>-22055</v>
      </c>
      <c r="U22" s="11">
        <f>SUM(U5:U21)</f>
        <v>12219.840000000002</v>
      </c>
      <c r="V22" s="11">
        <f>SUM(V5:V21)</f>
        <v>19199.91</v>
      </c>
      <c r="W22" s="11">
        <f>SUM(W5:W21)</f>
        <v>26246.97</v>
      </c>
    </row>
    <row r="23" spans="1:24" x14ac:dyDescent="0.25">
      <c r="A23" s="6" t="s">
        <v>96</v>
      </c>
      <c r="B23" s="2">
        <v>-2967.49</v>
      </c>
      <c r="C23" s="2">
        <v>-3015.68</v>
      </c>
      <c r="D23" s="2">
        <v>-2742.25</v>
      </c>
      <c r="E23" s="2">
        <v>-2805.1299999999992</v>
      </c>
      <c r="F23" s="2">
        <v>-3095.5099999999998</v>
      </c>
      <c r="G23" s="2">
        <v>-2914.4599999999996</v>
      </c>
      <c r="H23" s="2">
        <v>-3202.6899999999996</v>
      </c>
      <c r="I23" s="2">
        <v>-3225.46</v>
      </c>
      <c r="J23" s="2">
        <v>-2819.3199999999997</v>
      </c>
      <c r="K23" s="2">
        <v>-2777.5299999999993</v>
      </c>
      <c r="L23" s="2">
        <v>-2892.0200000000004</v>
      </c>
      <c r="M23" s="2">
        <v>-2781.8200000000006</v>
      </c>
      <c r="N23" s="2">
        <v>-2884.6000000000004</v>
      </c>
      <c r="O23" s="2">
        <v>-38123.96</v>
      </c>
    </row>
    <row r="24" spans="1:24" x14ac:dyDescent="0.25">
      <c r="A24" s="6" t="s">
        <v>149</v>
      </c>
      <c r="B24" s="2">
        <v>-394.32</v>
      </c>
      <c r="C24" s="2">
        <v>-70</v>
      </c>
      <c r="D24" s="2">
        <v>-26.8</v>
      </c>
      <c r="E24" s="2">
        <v>-280</v>
      </c>
      <c r="F24" s="2"/>
      <c r="G24" s="2">
        <v>-711.68000000000006</v>
      </c>
      <c r="H24" s="2">
        <v>-3473.64</v>
      </c>
      <c r="I24" s="2">
        <v>-8613.68</v>
      </c>
      <c r="J24" s="2">
        <v>-11774.48</v>
      </c>
      <c r="K24" s="2">
        <v>-5783.0599999999995</v>
      </c>
      <c r="L24" s="2">
        <v>-177.97</v>
      </c>
      <c r="M24" s="2">
        <v>-4682.75</v>
      </c>
      <c r="N24" s="2">
        <v>-7854.9</v>
      </c>
      <c r="O24" s="2">
        <v>-43843.28</v>
      </c>
    </row>
    <row r="25" spans="1:24" x14ac:dyDescent="0.25">
      <c r="A25" s="4" t="s">
        <v>275</v>
      </c>
      <c r="B25" s="2">
        <v>-226.7</v>
      </c>
      <c r="C25" s="2">
        <v>-1408.1</v>
      </c>
      <c r="D25" s="2">
        <v>-389.4</v>
      </c>
      <c r="E25" s="2">
        <v>-6082.4900000000007</v>
      </c>
      <c r="F25" s="2">
        <v>-622.46</v>
      </c>
      <c r="G25" s="2">
        <v>-795.16</v>
      </c>
      <c r="H25" s="2">
        <v>-410.36</v>
      </c>
      <c r="I25" s="2">
        <v>-1427.5900000000001</v>
      </c>
      <c r="J25" s="2">
        <v>-1152.71</v>
      </c>
      <c r="K25" s="2">
        <v>-3607.51</v>
      </c>
      <c r="L25" s="2">
        <v>-9793.6700000000019</v>
      </c>
      <c r="M25" s="2">
        <v>-4692.88</v>
      </c>
      <c r="N25" s="2">
        <v>-3295.79</v>
      </c>
      <c r="O25" s="2">
        <v>-33904.82</v>
      </c>
    </row>
    <row r="26" spans="1:24" x14ac:dyDescent="0.25">
      <c r="A26" s="6" t="s">
        <v>448</v>
      </c>
      <c r="B26" s="2">
        <v>-30</v>
      </c>
      <c r="C26" s="2"/>
      <c r="D26" s="2">
        <v>-20</v>
      </c>
      <c r="E26" s="2"/>
      <c r="F26" s="2"/>
      <c r="G26" s="2"/>
      <c r="H26" s="2"/>
      <c r="I26" s="2"/>
      <c r="J26" s="2"/>
      <c r="K26" s="2">
        <v>-112.6</v>
      </c>
      <c r="L26" s="2">
        <v>-290</v>
      </c>
      <c r="M26" s="2"/>
      <c r="N26" s="2"/>
      <c r="O26" s="2">
        <v>-452.6</v>
      </c>
    </row>
    <row r="27" spans="1:24" x14ac:dyDescent="0.25">
      <c r="A27" s="6" t="s">
        <v>616</v>
      </c>
      <c r="B27" s="2"/>
      <c r="C27" s="2">
        <v>-216.34</v>
      </c>
      <c r="D27" s="2"/>
      <c r="E27" s="2">
        <v>-555.33000000000004</v>
      </c>
      <c r="F27" s="2">
        <v>-97.08</v>
      </c>
      <c r="G27" s="2"/>
      <c r="H27" s="2"/>
      <c r="I27" s="2"/>
      <c r="J27" s="2"/>
      <c r="K27" s="2"/>
      <c r="L27" s="2"/>
      <c r="M27" s="2"/>
      <c r="N27" s="2"/>
      <c r="O27" s="2">
        <v>-868.75000000000011</v>
      </c>
    </row>
    <row r="28" spans="1:24" x14ac:dyDescent="0.25">
      <c r="A28" s="6" t="s">
        <v>611</v>
      </c>
      <c r="B28" s="2">
        <v>-70</v>
      </c>
      <c r="C28" s="2">
        <v>-553.96</v>
      </c>
      <c r="D28" s="2">
        <v>-25</v>
      </c>
      <c r="E28" s="2">
        <v>-381.87</v>
      </c>
      <c r="F28" s="2">
        <v>-225.38</v>
      </c>
      <c r="G28" s="2">
        <v>-213.66</v>
      </c>
      <c r="H28" s="2">
        <v>-220.38</v>
      </c>
      <c r="I28" s="2">
        <v>-253.39</v>
      </c>
      <c r="J28" s="2">
        <v>-227.71</v>
      </c>
      <c r="K28" s="2">
        <v>-566.33999999999992</v>
      </c>
      <c r="L28" s="2">
        <v>-535.18000000000006</v>
      </c>
      <c r="M28" s="2">
        <v>-1141.01</v>
      </c>
      <c r="N28" s="2">
        <v>-895.97</v>
      </c>
      <c r="O28" s="2">
        <v>-5309.85</v>
      </c>
    </row>
    <row r="29" spans="1:24" x14ac:dyDescent="0.25">
      <c r="A29" s="6" t="s">
        <v>224</v>
      </c>
      <c r="B29" s="2"/>
      <c r="C29" s="2"/>
      <c r="D29" s="2"/>
      <c r="E29" s="2">
        <v>-664.35</v>
      </c>
      <c r="F29" s="2"/>
      <c r="G29" s="2"/>
      <c r="H29" s="2"/>
      <c r="I29" s="2"/>
      <c r="J29" s="2"/>
      <c r="K29" s="2">
        <v>-1873.7700000000002</v>
      </c>
      <c r="L29" s="2">
        <v>-1254.3799999999999</v>
      </c>
      <c r="M29" s="2">
        <v>-1433.9700000000003</v>
      </c>
      <c r="N29" s="2">
        <v>-1820.1599999999999</v>
      </c>
      <c r="O29" s="2">
        <v>-7046.63</v>
      </c>
    </row>
    <row r="30" spans="1:24" x14ac:dyDescent="0.25">
      <c r="A30" s="6" t="s">
        <v>215</v>
      </c>
      <c r="B30" s="2">
        <v>-126.7</v>
      </c>
      <c r="C30" s="2">
        <v>-237.8</v>
      </c>
      <c r="D30" s="2">
        <v>-329.4</v>
      </c>
      <c r="E30" s="2"/>
      <c r="F30" s="2"/>
      <c r="G30" s="2"/>
      <c r="H30" s="2"/>
      <c r="I30" s="2">
        <v>-249.2</v>
      </c>
      <c r="J30" s="2"/>
      <c r="K30" s="2">
        <v>-129.80000000000001</v>
      </c>
      <c r="L30" s="2">
        <v>-6789.1100000000006</v>
      </c>
      <c r="M30" s="2">
        <v>-717.9</v>
      </c>
      <c r="N30" s="2">
        <v>-564.31999999999994</v>
      </c>
      <c r="O30" s="2">
        <v>-9144.23</v>
      </c>
    </row>
    <row r="31" spans="1:24" x14ac:dyDescent="0.25">
      <c r="A31" s="6" t="s">
        <v>162</v>
      </c>
      <c r="B31" s="2"/>
      <c r="C31" s="2">
        <v>-400</v>
      </c>
      <c r="D31" s="2">
        <v>-15</v>
      </c>
      <c r="E31" s="2">
        <v>-4480.9400000000005</v>
      </c>
      <c r="F31" s="2">
        <v>-300</v>
      </c>
      <c r="G31" s="2">
        <v>-581.5</v>
      </c>
      <c r="H31" s="2">
        <v>-189.98000000000002</v>
      </c>
      <c r="I31" s="2">
        <v>-925</v>
      </c>
      <c r="J31" s="2">
        <v>-925</v>
      </c>
      <c r="K31" s="2">
        <v>-925</v>
      </c>
      <c r="L31" s="2">
        <v>-925</v>
      </c>
      <c r="M31" s="2">
        <v>-1400</v>
      </c>
      <c r="N31" s="2">
        <v>-15.34</v>
      </c>
      <c r="O31" s="2">
        <v>-11082.76</v>
      </c>
    </row>
    <row r="32" spans="1:24" x14ac:dyDescent="0.25">
      <c r="A32" s="4" t="s">
        <v>77</v>
      </c>
      <c r="B32" s="2">
        <v>-198.18</v>
      </c>
      <c r="C32" s="2">
        <v>-447.97</v>
      </c>
      <c r="D32" s="2">
        <v>-21.73</v>
      </c>
      <c r="E32" s="2">
        <v>-65.19</v>
      </c>
      <c r="F32" s="2"/>
      <c r="G32" s="2"/>
      <c r="H32" s="2"/>
      <c r="I32" s="2">
        <v>-792.86</v>
      </c>
      <c r="J32" s="2"/>
      <c r="K32" s="2">
        <v>-366.98</v>
      </c>
      <c r="L32" s="2">
        <v>-1816.5700000000002</v>
      </c>
      <c r="M32" s="2"/>
      <c r="N32" s="2">
        <v>-400</v>
      </c>
      <c r="O32" s="2">
        <v>-4109.4800000000005</v>
      </c>
    </row>
    <row r="33" spans="1:15" x14ac:dyDescent="0.25">
      <c r="A33" s="6" t="s">
        <v>77</v>
      </c>
      <c r="B33" s="2">
        <v>-198.18</v>
      </c>
      <c r="C33" s="2">
        <v>-447.97</v>
      </c>
      <c r="D33" s="2">
        <v>-21.73</v>
      </c>
      <c r="E33" s="2">
        <v>-65.19</v>
      </c>
      <c r="F33" s="2"/>
      <c r="G33" s="2"/>
      <c r="H33" s="2"/>
      <c r="I33" s="2">
        <v>-792.86</v>
      </c>
      <c r="J33" s="2"/>
      <c r="K33" s="2">
        <v>-366.98</v>
      </c>
      <c r="L33" s="2">
        <v>-1816.5700000000002</v>
      </c>
      <c r="M33" s="2"/>
      <c r="N33" s="2">
        <v>-400</v>
      </c>
      <c r="O33" s="2">
        <v>-4109.4800000000005</v>
      </c>
    </row>
    <row r="34" spans="1:15" x14ac:dyDescent="0.25">
      <c r="A34" s="4" t="s">
        <v>276</v>
      </c>
      <c r="B34" s="2">
        <v>-12500</v>
      </c>
      <c r="C34" s="2">
        <v>-12500</v>
      </c>
      <c r="D34" s="2">
        <v>-12500</v>
      </c>
      <c r="E34" s="2">
        <v>-20500</v>
      </c>
      <c r="F34" s="2">
        <v>-12500</v>
      </c>
      <c r="G34" s="2">
        <v>-12499.999999999998</v>
      </c>
      <c r="H34" s="2">
        <v>-12500</v>
      </c>
      <c r="I34" s="2">
        <v>-12500</v>
      </c>
      <c r="J34" s="2">
        <v>-74500</v>
      </c>
      <c r="K34" s="2">
        <v>-19500</v>
      </c>
      <c r="L34" s="2">
        <v>-12500</v>
      </c>
      <c r="M34" s="2">
        <v>-52702.04</v>
      </c>
      <c r="N34" s="2">
        <v>-14000</v>
      </c>
      <c r="O34" s="2">
        <v>-281202.03999999998</v>
      </c>
    </row>
    <row r="35" spans="1:15" x14ac:dyDescent="0.25">
      <c r="A35" s="6" t="s">
        <v>207</v>
      </c>
      <c r="B35" s="2">
        <v>-2702.04</v>
      </c>
      <c r="C35" s="2">
        <v>-2702.04</v>
      </c>
      <c r="D35" s="2">
        <v>-2702.04</v>
      </c>
      <c r="E35" s="2">
        <v>-2702.04</v>
      </c>
      <c r="F35" s="2">
        <v>-2702.04</v>
      </c>
      <c r="G35" s="2">
        <v>-1756.33</v>
      </c>
      <c r="H35" s="2">
        <v>-1351.02</v>
      </c>
      <c r="I35" s="2">
        <v>-1351.02</v>
      </c>
      <c r="J35" s="2">
        <v>-1351.02</v>
      </c>
      <c r="K35" s="2">
        <v>-2386.81</v>
      </c>
      <c r="L35" s="2">
        <v>-2702.04</v>
      </c>
      <c r="M35" s="2">
        <v>-2702.04</v>
      </c>
      <c r="N35" s="2">
        <v>-2885.38</v>
      </c>
      <c r="O35" s="2">
        <v>-29995.860000000004</v>
      </c>
    </row>
    <row r="36" spans="1:15" x14ac:dyDescent="0.25">
      <c r="A36" s="6" t="s">
        <v>201</v>
      </c>
      <c r="B36" s="2">
        <v>-9797.9599999999991</v>
      </c>
      <c r="C36" s="2">
        <v>-9797.9599999999991</v>
      </c>
      <c r="D36" s="2">
        <v>-9797.9599999999991</v>
      </c>
      <c r="E36" s="2">
        <v>-17797.96</v>
      </c>
      <c r="F36" s="2">
        <v>-9797.9599999999991</v>
      </c>
      <c r="G36" s="2">
        <v>-10743.669999999998</v>
      </c>
      <c r="H36" s="2">
        <v>-11148.98</v>
      </c>
      <c r="I36" s="2">
        <v>-11148.98</v>
      </c>
      <c r="J36" s="2">
        <v>-73148.98</v>
      </c>
      <c r="K36" s="2">
        <v>-17113.189999999999</v>
      </c>
      <c r="L36" s="2">
        <v>-9797.9599999999991</v>
      </c>
      <c r="M36" s="2">
        <v>-50000</v>
      </c>
      <c r="N36" s="2">
        <v>-11114.62</v>
      </c>
      <c r="O36" s="2">
        <v>-251206.17999999996</v>
      </c>
    </row>
    <row r="37" spans="1:15" x14ac:dyDescent="0.25">
      <c r="A37" s="4" t="s">
        <v>277</v>
      </c>
      <c r="B37" s="2">
        <v>-276.3</v>
      </c>
      <c r="C37" s="2">
        <v>-84.05</v>
      </c>
      <c r="D37" s="2">
        <v>-94.5</v>
      </c>
      <c r="E37" s="2">
        <v>-94.5</v>
      </c>
      <c r="F37" s="2">
        <v>-182.08999999999995</v>
      </c>
      <c r="G37" s="2"/>
      <c r="H37" s="2">
        <v>-15</v>
      </c>
      <c r="I37" s="2">
        <v>-77.900000000000006</v>
      </c>
      <c r="J37" s="2">
        <v>-28.6</v>
      </c>
      <c r="K37" s="2">
        <v>-111.8</v>
      </c>
      <c r="L37" s="2">
        <v>-15.9</v>
      </c>
      <c r="M37" s="2">
        <v>-53.4</v>
      </c>
      <c r="N37" s="2">
        <v>-117.33000000000001</v>
      </c>
      <c r="O37" s="2">
        <v>-1151.3699999999999</v>
      </c>
    </row>
    <row r="38" spans="1:15" x14ac:dyDescent="0.25">
      <c r="A38" s="6" t="s">
        <v>72</v>
      </c>
      <c r="B38" s="2">
        <v>-276.3</v>
      </c>
      <c r="C38" s="2">
        <v>-84.05</v>
      </c>
      <c r="D38" s="2">
        <v>-94.5</v>
      </c>
      <c r="E38" s="2">
        <v>-94.5</v>
      </c>
      <c r="F38" s="2">
        <v>-182.08999999999995</v>
      </c>
      <c r="G38" s="2"/>
      <c r="H38" s="2">
        <v>-15</v>
      </c>
      <c r="I38" s="2">
        <v>-77.900000000000006</v>
      </c>
      <c r="J38" s="2">
        <v>-28.6</v>
      </c>
      <c r="K38" s="2">
        <v>-111.8</v>
      </c>
      <c r="L38" s="2">
        <v>-15.9</v>
      </c>
      <c r="M38" s="2">
        <v>-53.4</v>
      </c>
      <c r="N38" s="2">
        <v>-117.33000000000001</v>
      </c>
      <c r="O38" s="2">
        <v>-1151.3699999999999</v>
      </c>
    </row>
    <row r="39" spans="1:15" x14ac:dyDescent="0.25">
      <c r="A39" s="4" t="s">
        <v>56</v>
      </c>
      <c r="B39" s="2">
        <v>66901.980000000025</v>
      </c>
      <c r="C39" s="2">
        <v>43865.35</v>
      </c>
      <c r="D39" s="2">
        <v>89619.59</v>
      </c>
      <c r="E39" s="2">
        <v>125636.49999999999</v>
      </c>
      <c r="F39" s="2">
        <v>161035.5</v>
      </c>
      <c r="G39" s="2">
        <v>22492.65</v>
      </c>
      <c r="H39" s="2">
        <v>55710.550000000017</v>
      </c>
      <c r="I39" s="2">
        <v>174020.55</v>
      </c>
      <c r="J39" s="2">
        <v>666297.61999999988</v>
      </c>
      <c r="K39" s="2">
        <v>146196.75</v>
      </c>
      <c r="L39" s="2">
        <v>111146.17</v>
      </c>
      <c r="M39" s="2">
        <v>639449.93999999994</v>
      </c>
      <c r="N39" s="2">
        <v>36986.740000000005</v>
      </c>
      <c r="O39" s="2">
        <v>2339359.8899999997</v>
      </c>
    </row>
    <row r="40" spans="1:15" x14ac:dyDescent="0.25">
      <c r="A40" s="6" t="s">
        <v>56</v>
      </c>
      <c r="B40" s="2">
        <v>66901.980000000025</v>
      </c>
      <c r="C40" s="2">
        <v>43865.35</v>
      </c>
      <c r="D40" s="2">
        <v>89619.59</v>
      </c>
      <c r="E40" s="2">
        <v>125636.49999999999</v>
      </c>
      <c r="F40" s="2">
        <v>161035.5</v>
      </c>
      <c r="G40" s="2">
        <v>22492.65</v>
      </c>
      <c r="H40" s="2">
        <v>55710.550000000017</v>
      </c>
      <c r="I40" s="2">
        <v>174020.55</v>
      </c>
      <c r="J40" s="2">
        <v>666297.61999999988</v>
      </c>
      <c r="K40" s="2">
        <v>146196.75</v>
      </c>
      <c r="L40" s="2">
        <v>111146.17</v>
      </c>
      <c r="M40" s="2">
        <v>639449.93999999994</v>
      </c>
      <c r="N40" s="2">
        <v>36986.740000000005</v>
      </c>
      <c r="O40" s="2">
        <v>2339359.8899999997</v>
      </c>
    </row>
    <row r="41" spans="1:15" x14ac:dyDescent="0.25">
      <c r="A41" s="4" t="s">
        <v>278</v>
      </c>
      <c r="B41" s="2">
        <v>-2584.29</v>
      </c>
      <c r="C41" s="2">
        <v>-2083.2399999999998</v>
      </c>
      <c r="D41" s="2">
        <v>-2083.2399999999998</v>
      </c>
      <c r="E41" s="2">
        <v>-2083.2399999999998</v>
      </c>
      <c r="F41" s="2">
        <v>-2083.2399999999998</v>
      </c>
      <c r="G41" s="2">
        <v>-2130.02</v>
      </c>
      <c r="H41" s="2">
        <v>-2064.33</v>
      </c>
      <c r="I41" s="2">
        <v>-2501.0700000000002</v>
      </c>
      <c r="J41" s="2">
        <v>-2083.2399999999998</v>
      </c>
      <c r="K41" s="2">
        <v>-2083.2399999999998</v>
      </c>
      <c r="L41" s="2">
        <v>-2083.2399999999998</v>
      </c>
      <c r="M41" s="2">
        <v>-11129.259999999998</v>
      </c>
      <c r="N41" s="2">
        <v>-19913.060000000001</v>
      </c>
      <c r="O41" s="2">
        <v>-54904.71</v>
      </c>
    </row>
    <row r="42" spans="1:15" x14ac:dyDescent="0.25">
      <c r="A42" s="6" t="s">
        <v>658</v>
      </c>
      <c r="B42" s="2"/>
      <c r="C42" s="2"/>
      <c r="D42" s="2"/>
      <c r="E42" s="2"/>
      <c r="F42" s="2"/>
      <c r="G42" s="2">
        <v>4.22</v>
      </c>
      <c r="H42" s="2">
        <v>18.91</v>
      </c>
      <c r="I42" s="2"/>
      <c r="J42" s="2"/>
      <c r="K42" s="2"/>
      <c r="L42" s="2"/>
      <c r="M42" s="2">
        <v>240.02</v>
      </c>
      <c r="N42" s="2"/>
      <c r="O42" s="2">
        <v>263.15000000000003</v>
      </c>
    </row>
    <row r="43" spans="1:15" x14ac:dyDescent="0.25">
      <c r="A43" s="6" t="s">
        <v>22</v>
      </c>
      <c r="B43" s="2">
        <v>-541.4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>
        <v>-541.4</v>
      </c>
    </row>
    <row r="44" spans="1:15" x14ac:dyDescent="0.25">
      <c r="A44" s="6" t="s">
        <v>39</v>
      </c>
      <c r="B44" s="2">
        <v>-292.89</v>
      </c>
      <c r="C44" s="2">
        <v>-333.24</v>
      </c>
      <c r="D44" s="2">
        <v>-333.24</v>
      </c>
      <c r="E44" s="2">
        <v>-333.24</v>
      </c>
      <c r="F44" s="2">
        <v>-333.24</v>
      </c>
      <c r="G44" s="2">
        <v>-384.24</v>
      </c>
      <c r="H44" s="2">
        <v>-333.24</v>
      </c>
      <c r="I44" s="2">
        <v>-751.07</v>
      </c>
      <c r="J44" s="2">
        <v>-333.24</v>
      </c>
      <c r="K44" s="2">
        <v>-333.24</v>
      </c>
      <c r="L44" s="2">
        <v>-333.24</v>
      </c>
      <c r="M44" s="2">
        <v>-9619.2799999999988</v>
      </c>
      <c r="N44" s="2">
        <v>-1813.0500000000002</v>
      </c>
      <c r="O44" s="2">
        <v>-15526.449999999997</v>
      </c>
    </row>
    <row r="45" spans="1:15" x14ac:dyDescent="0.25">
      <c r="A45" s="6" t="s">
        <v>1487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v>-16350.01</v>
      </c>
      <c r="O45" s="2">
        <v>-16350.01</v>
      </c>
    </row>
    <row r="46" spans="1:15" x14ac:dyDescent="0.25">
      <c r="A46" s="6" t="s">
        <v>62</v>
      </c>
      <c r="B46" s="2">
        <v>-1750</v>
      </c>
      <c r="C46" s="2">
        <v>-1750</v>
      </c>
      <c r="D46" s="2">
        <v>-1750</v>
      </c>
      <c r="E46" s="2">
        <v>-1750</v>
      </c>
      <c r="F46" s="2">
        <v>-1750</v>
      </c>
      <c r="G46" s="2">
        <v>-1750</v>
      </c>
      <c r="H46" s="2">
        <v>-1750</v>
      </c>
      <c r="I46" s="2">
        <v>-1750</v>
      </c>
      <c r="J46" s="2">
        <v>-1750</v>
      </c>
      <c r="K46" s="2">
        <v>-1750</v>
      </c>
      <c r="L46" s="2">
        <v>-1750</v>
      </c>
      <c r="M46" s="2">
        <v>-1750</v>
      </c>
      <c r="N46" s="2">
        <v>-1750</v>
      </c>
      <c r="O46" s="2">
        <v>-22750</v>
      </c>
    </row>
    <row r="47" spans="1:15" x14ac:dyDescent="0.25">
      <c r="A47" s="4" t="s">
        <v>279</v>
      </c>
      <c r="B47" s="2">
        <v>-11522.76</v>
      </c>
      <c r="C47" s="2">
        <v>-11940.75</v>
      </c>
      <c r="D47" s="2">
        <v>-12586.59</v>
      </c>
      <c r="E47" s="2">
        <v>-16173.72</v>
      </c>
      <c r="F47" s="2">
        <v>-14313.89</v>
      </c>
      <c r="G47" s="2">
        <v>-17739.46</v>
      </c>
      <c r="H47" s="2">
        <v>-15315.059999999998</v>
      </c>
      <c r="I47" s="2">
        <v>-14577.559999999998</v>
      </c>
      <c r="J47" s="2">
        <v>-21924.44</v>
      </c>
      <c r="K47" s="2">
        <v>-28001.910000000003</v>
      </c>
      <c r="L47" s="2">
        <v>-29850.050000000003</v>
      </c>
      <c r="M47" s="2">
        <v>-31074.130000000005</v>
      </c>
      <c r="N47" s="2">
        <v>-30450.5</v>
      </c>
      <c r="O47" s="2">
        <v>-255470.81999999998</v>
      </c>
    </row>
    <row r="48" spans="1:15" x14ac:dyDescent="0.25">
      <c r="A48" s="6" t="s">
        <v>1488</v>
      </c>
      <c r="B48" s="2"/>
      <c r="C48" s="2"/>
      <c r="D48" s="2">
        <v>-30</v>
      </c>
      <c r="E48" s="2"/>
      <c r="F48" s="2">
        <v>-48</v>
      </c>
      <c r="G48" s="2"/>
      <c r="H48" s="2"/>
      <c r="I48" s="2">
        <v>-48</v>
      </c>
      <c r="J48" s="2"/>
      <c r="K48" s="2">
        <v>-48</v>
      </c>
      <c r="L48" s="2"/>
      <c r="M48" s="2">
        <v>-95</v>
      </c>
      <c r="N48" s="2"/>
      <c r="O48" s="2">
        <v>-269</v>
      </c>
    </row>
    <row r="49" spans="1:15" x14ac:dyDescent="0.25">
      <c r="A49" s="6" t="s">
        <v>1456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>
        <v>-300</v>
      </c>
      <c r="O49" s="2">
        <v>-300</v>
      </c>
    </row>
    <row r="50" spans="1:15" x14ac:dyDescent="0.25">
      <c r="A50" s="6" t="s">
        <v>382</v>
      </c>
      <c r="B50" s="2"/>
      <c r="C50" s="2"/>
      <c r="D50" s="2">
        <v>-309.11</v>
      </c>
      <c r="E50" s="2"/>
      <c r="F50" s="2">
        <v>-59.9</v>
      </c>
      <c r="G50" s="2">
        <v>-497</v>
      </c>
      <c r="H50" s="2">
        <v>-59.9</v>
      </c>
      <c r="I50" s="2">
        <v>-59.9</v>
      </c>
      <c r="J50" s="2">
        <v>-778.2</v>
      </c>
      <c r="K50" s="2">
        <v>-485.9</v>
      </c>
      <c r="L50" s="2">
        <v>-288.89999999999998</v>
      </c>
      <c r="M50" s="2">
        <v>-288.89999999999998</v>
      </c>
      <c r="N50" s="2">
        <v>-229</v>
      </c>
      <c r="O50" s="2">
        <v>-3056.71</v>
      </c>
    </row>
    <row r="51" spans="1:15" x14ac:dyDescent="0.25">
      <c r="A51" s="6" t="s">
        <v>900</v>
      </c>
      <c r="B51" s="2"/>
      <c r="C51" s="2"/>
      <c r="D51" s="2"/>
      <c r="E51" s="2"/>
      <c r="F51" s="2"/>
      <c r="G51" s="2"/>
      <c r="H51" s="2"/>
      <c r="I51" s="2"/>
      <c r="J51" s="2">
        <v>-1660</v>
      </c>
      <c r="K51" s="2">
        <v>-1450</v>
      </c>
      <c r="L51" s="2">
        <v>-1400</v>
      </c>
      <c r="M51" s="2">
        <v>-1200</v>
      </c>
      <c r="N51" s="2">
        <v>-1700</v>
      </c>
      <c r="O51" s="2">
        <v>-7410</v>
      </c>
    </row>
    <row r="52" spans="1:15" x14ac:dyDescent="0.25">
      <c r="A52" s="6" t="s">
        <v>1070</v>
      </c>
      <c r="B52" s="2"/>
      <c r="C52" s="2"/>
      <c r="D52" s="2"/>
      <c r="E52" s="2"/>
      <c r="F52" s="2">
        <v>-120.87</v>
      </c>
      <c r="G52" s="2"/>
      <c r="H52" s="2"/>
      <c r="I52" s="2"/>
      <c r="J52" s="2"/>
      <c r="K52" s="2">
        <v>-2699.9</v>
      </c>
      <c r="L52" s="2">
        <v>-1334</v>
      </c>
      <c r="M52" s="2">
        <v>-1368.4</v>
      </c>
      <c r="N52" s="2">
        <v>-2536.5</v>
      </c>
      <c r="O52" s="2">
        <v>-8059.67</v>
      </c>
    </row>
    <row r="53" spans="1:15" x14ac:dyDescent="0.25">
      <c r="A53" s="6" t="s">
        <v>159</v>
      </c>
      <c r="B53" s="2">
        <v>-415.96</v>
      </c>
      <c r="C53" s="2">
        <v>-285.23</v>
      </c>
      <c r="D53" s="2">
        <v>-285.23</v>
      </c>
      <c r="E53" s="2">
        <v>-733.84999999999991</v>
      </c>
      <c r="F53" s="2">
        <v>-509.23</v>
      </c>
      <c r="G53" s="2">
        <v>-734.83</v>
      </c>
      <c r="H53" s="2">
        <v>-485.23</v>
      </c>
      <c r="I53" s="2">
        <v>-507.43</v>
      </c>
      <c r="J53" s="2">
        <v>-789.17</v>
      </c>
      <c r="K53" s="2">
        <v>-858.17</v>
      </c>
      <c r="L53" s="2">
        <v>-997.52</v>
      </c>
      <c r="M53" s="2">
        <v>-2963.1</v>
      </c>
      <c r="N53" s="2">
        <v>-1638.6599999999999</v>
      </c>
      <c r="O53" s="2">
        <v>-11203.61</v>
      </c>
    </row>
    <row r="54" spans="1:15" x14ac:dyDescent="0.25">
      <c r="A54" s="6" t="s">
        <v>128</v>
      </c>
      <c r="B54" s="2">
        <v>-2800</v>
      </c>
      <c r="C54" s="2">
        <v>-2700</v>
      </c>
      <c r="D54" s="2">
        <v>-2706.73</v>
      </c>
      <c r="E54" s="2">
        <v>-1406.73</v>
      </c>
      <c r="F54" s="2">
        <v>-1406.73</v>
      </c>
      <c r="G54" s="2">
        <v>-1726.92</v>
      </c>
      <c r="H54" s="2">
        <v>-1406.73</v>
      </c>
      <c r="I54" s="2">
        <v>-106.73</v>
      </c>
      <c r="J54" s="2">
        <v>-106.73</v>
      </c>
      <c r="K54" s="2">
        <v>-106.73</v>
      </c>
      <c r="L54" s="2"/>
      <c r="M54" s="2"/>
      <c r="N54" s="2"/>
      <c r="O54" s="2">
        <v>-14474.029999999997</v>
      </c>
    </row>
    <row r="55" spans="1:15" x14ac:dyDescent="0.25">
      <c r="A55" s="6" t="s">
        <v>166</v>
      </c>
      <c r="B55" s="2">
        <v>-1980.52</v>
      </c>
      <c r="C55" s="2">
        <v>-2041.63</v>
      </c>
      <c r="D55" s="2">
        <v>-2041.63</v>
      </c>
      <c r="E55" s="2">
        <v>-2479.9499999999998</v>
      </c>
      <c r="F55" s="2">
        <v>-3957.59</v>
      </c>
      <c r="G55" s="2">
        <v>-3219.5</v>
      </c>
      <c r="H55" s="2">
        <v>-2923.83</v>
      </c>
      <c r="I55" s="2">
        <v>-2392.46</v>
      </c>
      <c r="J55" s="2">
        <v>-2885.94</v>
      </c>
      <c r="K55" s="2">
        <v>-3107.19</v>
      </c>
      <c r="L55" s="2">
        <v>-3959.05</v>
      </c>
      <c r="M55" s="2">
        <v>-4086</v>
      </c>
      <c r="N55" s="2">
        <v>-4710.82</v>
      </c>
      <c r="O55" s="2">
        <v>-39786.109999999993</v>
      </c>
    </row>
    <row r="56" spans="1:15" x14ac:dyDescent="0.25">
      <c r="A56" s="6" t="s">
        <v>198</v>
      </c>
      <c r="B56" s="2">
        <v>-6326.28</v>
      </c>
      <c r="C56" s="2">
        <v>-6913.8899999999994</v>
      </c>
      <c r="D56" s="2">
        <v>-7213.8899999999994</v>
      </c>
      <c r="E56" s="2">
        <v>-11553.19</v>
      </c>
      <c r="F56" s="2">
        <v>-8211.57</v>
      </c>
      <c r="G56" s="2">
        <v>-11561.210000000001</v>
      </c>
      <c r="H56" s="2">
        <v>-10439.369999999999</v>
      </c>
      <c r="I56" s="2">
        <v>-11463.039999999999</v>
      </c>
      <c r="J56" s="2">
        <v>-15704.4</v>
      </c>
      <c r="K56" s="2">
        <v>-19246.02</v>
      </c>
      <c r="L56" s="2">
        <v>-21870.58</v>
      </c>
      <c r="M56" s="2">
        <v>-21072.73</v>
      </c>
      <c r="N56" s="2">
        <v>-19335.52</v>
      </c>
      <c r="O56" s="2">
        <v>-170911.68999999997</v>
      </c>
    </row>
    <row r="57" spans="1:15" x14ac:dyDescent="0.25">
      <c r="A57" s="4" t="s">
        <v>626</v>
      </c>
      <c r="B57" s="2"/>
      <c r="C57" s="2"/>
      <c r="D57" s="2"/>
      <c r="E57" s="2"/>
      <c r="F57" s="2">
        <v>65.19</v>
      </c>
      <c r="G57" s="2">
        <v>308.25</v>
      </c>
      <c r="H57" s="2">
        <v>-255.7</v>
      </c>
      <c r="I57" s="2">
        <v>-108.62</v>
      </c>
      <c r="J57" s="2">
        <v>-139.04</v>
      </c>
      <c r="K57" s="2">
        <v>-34.799999999999997</v>
      </c>
      <c r="L57" s="2"/>
      <c r="M57" s="2"/>
      <c r="N57" s="2"/>
      <c r="O57" s="2">
        <v>-164.71999999999997</v>
      </c>
    </row>
    <row r="58" spans="1:15" x14ac:dyDescent="0.25">
      <c r="A58" s="6" t="s">
        <v>626</v>
      </c>
      <c r="B58" s="2"/>
      <c r="C58" s="2"/>
      <c r="D58" s="2"/>
      <c r="E58" s="2"/>
      <c r="F58" s="2">
        <v>65.19</v>
      </c>
      <c r="G58" s="2">
        <v>308.25</v>
      </c>
      <c r="H58" s="2">
        <v>-255.7</v>
      </c>
      <c r="I58" s="2">
        <v>-108.62</v>
      </c>
      <c r="J58" s="2">
        <v>-139.04</v>
      </c>
      <c r="K58" s="2">
        <v>-34.799999999999997</v>
      </c>
      <c r="L58" s="2"/>
      <c r="M58" s="2"/>
      <c r="N58" s="2"/>
      <c r="O58" s="2">
        <v>-164.71999999999997</v>
      </c>
    </row>
    <row r="59" spans="1:15" x14ac:dyDescent="0.25">
      <c r="A59" s="4" t="s">
        <v>1175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>
        <v>0</v>
      </c>
      <c r="M59" s="2"/>
      <c r="N59" s="2"/>
      <c r="O59" s="2">
        <v>0</v>
      </c>
    </row>
    <row r="60" spans="1:15" x14ac:dyDescent="0.25">
      <c r="A60" s="6" t="s">
        <v>1175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>
        <v>0</v>
      </c>
      <c r="M60" s="2"/>
      <c r="N60" s="2"/>
      <c r="O60" s="2">
        <v>0</v>
      </c>
    </row>
    <row r="61" spans="1:15" x14ac:dyDescent="0.25">
      <c r="A61" s="4" t="s">
        <v>418</v>
      </c>
      <c r="B61" s="2"/>
      <c r="C61" s="2">
        <v>-2052.5699999999997</v>
      </c>
      <c r="D61" s="2">
        <v>-15000</v>
      </c>
      <c r="E61" s="2">
        <v>-50.8</v>
      </c>
      <c r="F61" s="2">
        <v>-6756.32</v>
      </c>
      <c r="G61" s="2">
        <v>-147</v>
      </c>
      <c r="H61" s="2">
        <v>-223.9</v>
      </c>
      <c r="I61" s="2">
        <v>-829.7</v>
      </c>
      <c r="J61" s="2"/>
      <c r="K61" s="2">
        <v>-2.5</v>
      </c>
      <c r="L61" s="2"/>
      <c r="M61" s="2"/>
      <c r="N61" s="2">
        <v>-2548</v>
      </c>
      <c r="O61" s="2">
        <v>-27610.79</v>
      </c>
    </row>
    <row r="62" spans="1:15" x14ac:dyDescent="0.25">
      <c r="A62" s="6" t="s">
        <v>1475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>
        <v>-2548</v>
      </c>
      <c r="O62" s="2">
        <v>-2548</v>
      </c>
    </row>
    <row r="63" spans="1:15" x14ac:dyDescent="0.25">
      <c r="A63" s="6" t="s">
        <v>308</v>
      </c>
      <c r="B63" s="2"/>
      <c r="C63" s="2">
        <v>-2052.5699999999997</v>
      </c>
      <c r="D63" s="2">
        <v>-15000</v>
      </c>
      <c r="E63" s="2">
        <v>-50.8</v>
      </c>
      <c r="F63" s="2">
        <v>-6756.32</v>
      </c>
      <c r="G63" s="2">
        <v>-147</v>
      </c>
      <c r="H63" s="2">
        <v>-223.9</v>
      </c>
      <c r="I63" s="2">
        <v>-829.7</v>
      </c>
      <c r="J63" s="2"/>
      <c r="K63" s="2">
        <v>-2.5</v>
      </c>
      <c r="L63" s="2"/>
      <c r="M63" s="2"/>
      <c r="N63" s="2"/>
      <c r="O63" s="2">
        <v>-25062.79</v>
      </c>
    </row>
    <row r="64" spans="1:15" x14ac:dyDescent="0.25">
      <c r="A64" s="4" t="s">
        <v>815</v>
      </c>
      <c r="B64" s="2"/>
      <c r="C64" s="2"/>
      <c r="D64" s="2"/>
      <c r="E64" s="2"/>
      <c r="F64" s="2"/>
      <c r="G64" s="2"/>
      <c r="H64" s="2"/>
      <c r="I64" s="2">
        <v>0</v>
      </c>
      <c r="J64" s="2">
        <v>0</v>
      </c>
      <c r="K64" s="2">
        <v>0</v>
      </c>
      <c r="L64" s="2">
        <v>0</v>
      </c>
      <c r="M64" s="2"/>
      <c r="N64" s="2">
        <v>0</v>
      </c>
      <c r="O64" s="2">
        <v>0</v>
      </c>
    </row>
    <row r="65" spans="1:15" x14ac:dyDescent="0.25">
      <c r="A65" s="6" t="s">
        <v>815</v>
      </c>
      <c r="B65" s="2"/>
      <c r="C65" s="2"/>
      <c r="D65" s="2"/>
      <c r="E65" s="2"/>
      <c r="F65" s="2"/>
      <c r="G65" s="2"/>
      <c r="H65" s="2"/>
      <c r="I65" s="2">
        <v>0</v>
      </c>
      <c r="J65" s="2">
        <v>0</v>
      </c>
      <c r="K65" s="2">
        <v>0</v>
      </c>
      <c r="L65" s="2">
        <v>0</v>
      </c>
      <c r="M65" s="2"/>
      <c r="N65" s="2">
        <v>0</v>
      </c>
      <c r="O65" s="2">
        <v>0</v>
      </c>
    </row>
    <row r="66" spans="1:15" x14ac:dyDescent="0.25">
      <c r="A66" s="4" t="s">
        <v>280</v>
      </c>
      <c r="B66" s="2">
        <v>-3049.39</v>
      </c>
      <c r="C66" s="2">
        <v>-28408.15</v>
      </c>
      <c r="D66" s="2">
        <v>-30700.54</v>
      </c>
      <c r="E66" s="2">
        <v>-63982.02</v>
      </c>
      <c r="F66" s="2">
        <v>-29688.480000000003</v>
      </c>
      <c r="G66" s="2">
        <v>-34459.93</v>
      </c>
      <c r="H66" s="2">
        <v>-8138.98</v>
      </c>
      <c r="I66" s="2">
        <v>-16422.59</v>
      </c>
      <c r="J66" s="2">
        <v>-330699.2</v>
      </c>
      <c r="K66" s="2">
        <v>-113344.31</v>
      </c>
      <c r="L66" s="2">
        <v>-45256.2</v>
      </c>
      <c r="M66" s="2">
        <v>-396622.68</v>
      </c>
      <c r="N66" s="2">
        <v>-1450</v>
      </c>
      <c r="O66" s="2">
        <v>-1102222.47</v>
      </c>
    </row>
    <row r="67" spans="1:15" x14ac:dyDescent="0.25">
      <c r="A67" s="6" t="s">
        <v>152</v>
      </c>
      <c r="B67" s="2">
        <v>-3049.39</v>
      </c>
      <c r="C67" s="2">
        <v>-6435.84</v>
      </c>
      <c r="D67" s="2">
        <v>-1722.45</v>
      </c>
      <c r="E67" s="2">
        <v>-7878.75</v>
      </c>
      <c r="F67" s="2">
        <v>-8811.99</v>
      </c>
      <c r="G67" s="2">
        <v>-16067.33</v>
      </c>
      <c r="H67" s="2">
        <v>-788.63</v>
      </c>
      <c r="I67" s="2">
        <v>-1414.05</v>
      </c>
      <c r="J67" s="2">
        <v>-2836.64</v>
      </c>
      <c r="K67" s="2">
        <v>-61350.26</v>
      </c>
      <c r="L67" s="2">
        <v>-13727.09</v>
      </c>
      <c r="M67" s="2">
        <v>-11240.92</v>
      </c>
      <c r="N67" s="2"/>
      <c r="O67" s="2">
        <v>-135323.34</v>
      </c>
    </row>
    <row r="68" spans="1:15" x14ac:dyDescent="0.25">
      <c r="A68" s="6" t="s">
        <v>300</v>
      </c>
      <c r="B68" s="2"/>
      <c r="C68" s="2">
        <v>-21972.31</v>
      </c>
      <c r="D68" s="2">
        <v>-28978.09</v>
      </c>
      <c r="E68" s="2">
        <v>-56103.27</v>
      </c>
      <c r="F68" s="2">
        <v>-20876.490000000002</v>
      </c>
      <c r="G68" s="2">
        <v>-18392.600000000002</v>
      </c>
      <c r="H68" s="2">
        <v>-7350.3499999999995</v>
      </c>
      <c r="I68" s="2">
        <v>-15008.54</v>
      </c>
      <c r="J68" s="2">
        <v>-327862.56</v>
      </c>
      <c r="K68" s="2">
        <v>-51994.05</v>
      </c>
      <c r="L68" s="2">
        <v>-31529.109999999997</v>
      </c>
      <c r="M68" s="2">
        <v>-385381.76</v>
      </c>
      <c r="N68" s="2">
        <v>-1450</v>
      </c>
      <c r="O68" s="2">
        <v>-966899.13</v>
      </c>
    </row>
    <row r="69" spans="1:15" x14ac:dyDescent="0.25">
      <c r="A69" s="4" t="s">
        <v>212</v>
      </c>
      <c r="B69" s="2">
        <v>24173.280000000035</v>
      </c>
      <c r="C69" s="2">
        <v>-28616.599999999995</v>
      </c>
      <c r="D69" s="2">
        <v>5229.0400000000045</v>
      </c>
      <c r="E69" s="2">
        <v>2490.7199999999793</v>
      </c>
      <c r="F69" s="2">
        <v>83492.140000000014</v>
      </c>
      <c r="G69" s="2">
        <v>-56533.319999999992</v>
      </c>
      <c r="H69" s="2">
        <v>2854.1200000000217</v>
      </c>
      <c r="I69" s="2">
        <v>102869.09000000003</v>
      </c>
      <c r="J69" s="2">
        <v>212449.26999999984</v>
      </c>
      <c r="K69" s="2">
        <v>-40295.54</v>
      </c>
      <c r="L69" s="2">
        <v>-3089.3000000000102</v>
      </c>
      <c r="M69" s="2">
        <v>123975.63999999996</v>
      </c>
      <c r="N69" s="2">
        <v>-61474.91</v>
      </c>
      <c r="O69" s="2">
        <v>367523.62999999954</v>
      </c>
    </row>
  </sheetData>
  <autoFilter ref="T4:X14" xr:uid="{2AA9A2E4-B9E9-458A-97E7-3A5983813D41}">
    <sortState xmlns:xlrd2="http://schemas.microsoft.com/office/spreadsheetml/2017/richdata2" ref="T5:X20">
      <sortCondition descending="1" ref="X4:X14"/>
    </sortState>
  </autoFilter>
  <sortState xmlns:xlrd2="http://schemas.microsoft.com/office/spreadsheetml/2017/richdata2" ref="T5:X20">
    <sortCondition descending="1" ref="X12:X20"/>
  </sortState>
  <phoneticPr fontId="4" type="noConversion"/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BF6E-2C84-4C04-ACBC-F43894A88FDE}">
  <dimension ref="A1:V66"/>
  <sheetViews>
    <sheetView zoomScale="85" zoomScaleNormal="85" workbookViewId="0"/>
  </sheetViews>
  <sheetFormatPr defaultRowHeight="15.75" x14ac:dyDescent="0.25"/>
  <cols>
    <col min="1" max="1" width="44" bestFit="1" customWidth="1"/>
    <col min="2" max="2" width="16.75" bestFit="1" customWidth="1"/>
    <col min="3" max="4" width="10" bestFit="1" customWidth="1"/>
    <col min="5" max="6" width="10.375" bestFit="1" customWidth="1"/>
    <col min="7" max="8" width="10" bestFit="1" customWidth="1"/>
    <col min="9" max="9" width="10.375" bestFit="1" customWidth="1"/>
    <col min="10" max="11" width="11" bestFit="1" customWidth="1"/>
    <col min="12" max="12" width="10.375" bestFit="1" customWidth="1"/>
    <col min="13" max="13" width="12" bestFit="1" customWidth="1"/>
    <col min="18" max="18" width="16.5" bestFit="1" customWidth="1"/>
    <col min="19" max="21" width="9.5" bestFit="1" customWidth="1"/>
    <col min="22" max="22" width="9.875" bestFit="1" customWidth="1"/>
  </cols>
  <sheetData>
    <row r="1" spans="1:22" x14ac:dyDescent="0.25">
      <c r="A1" t="s">
        <v>12</v>
      </c>
      <c r="B1" t="s">
        <v>214</v>
      </c>
      <c r="S1">
        <v>-1</v>
      </c>
    </row>
    <row r="2" spans="1:22" x14ac:dyDescent="0.25">
      <c r="N2" t="s">
        <v>83</v>
      </c>
      <c r="O2" s="2">
        <v>3876.67</v>
      </c>
    </row>
    <row r="3" spans="1:22" x14ac:dyDescent="0.25">
      <c r="A3" t="s">
        <v>213</v>
      </c>
      <c r="B3" t="s">
        <v>283</v>
      </c>
      <c r="N3" t="s">
        <v>210</v>
      </c>
      <c r="O3" s="2">
        <v>4700.28</v>
      </c>
      <c r="S3" s="17">
        <v>10</v>
      </c>
      <c r="T3">
        <f>S3+1</f>
        <v>11</v>
      </c>
      <c r="U3">
        <f>T3+1</f>
        <v>12</v>
      </c>
    </row>
    <row r="4" spans="1:22" x14ac:dyDescent="0.25">
      <c r="B4" t="s">
        <v>282</v>
      </c>
      <c r="M4" t="s">
        <v>212</v>
      </c>
      <c r="R4" s="8" t="s">
        <v>211</v>
      </c>
      <c r="S4" s="19" t="str">
        <f>VLOOKUP($R4,$A:$M,S$3,0)</f>
        <v>set</v>
      </c>
      <c r="T4" s="19" t="str">
        <f>VLOOKUP($R4,$A:$M,T$3,0)</f>
        <v>out</v>
      </c>
      <c r="U4" s="19" t="str">
        <f>VLOOKUP($R4,$A:$M,U$3,0)</f>
        <v>nov</v>
      </c>
      <c r="V4" s="9" t="s">
        <v>423</v>
      </c>
    </row>
    <row r="5" spans="1:22" x14ac:dyDescent="0.25">
      <c r="A5" t="s">
        <v>211</v>
      </c>
      <c r="B5" t="s">
        <v>419</v>
      </c>
      <c r="C5" t="s">
        <v>420</v>
      </c>
      <c r="D5" t="s">
        <v>421</v>
      </c>
      <c r="E5" t="s">
        <v>566</v>
      </c>
      <c r="F5" t="s">
        <v>647</v>
      </c>
      <c r="G5" t="s">
        <v>714</v>
      </c>
      <c r="H5" t="s">
        <v>791</v>
      </c>
      <c r="I5" t="s">
        <v>896</v>
      </c>
      <c r="J5" t="s">
        <v>1021</v>
      </c>
      <c r="K5" t="s">
        <v>1145</v>
      </c>
      <c r="L5" t="s">
        <v>1243</v>
      </c>
      <c r="R5" t="s">
        <v>1250</v>
      </c>
      <c r="S5" s="11">
        <f t="shared" ref="S5:U11" si="0">-VLOOKUP("COM - "&amp;$R5,$A:$M,S$3,0)</f>
        <v>925</v>
      </c>
      <c r="T5" s="11">
        <f t="shared" si="0"/>
        <v>1067.5999999999999</v>
      </c>
      <c r="U5" s="11">
        <f t="shared" si="0"/>
        <v>5367</v>
      </c>
      <c r="V5" s="12">
        <f t="shared" ref="V5:V11" si="1">SUM(S5:U5)</f>
        <v>7359.6</v>
      </c>
    </row>
    <row r="6" spans="1:22" x14ac:dyDescent="0.25">
      <c r="A6" s="4" t="s">
        <v>274</v>
      </c>
      <c r="B6" s="2">
        <v>-12371.08</v>
      </c>
      <c r="C6" s="2">
        <v>-13457.219999999998</v>
      </c>
      <c r="D6" s="2">
        <v>-11010.55</v>
      </c>
      <c r="E6" s="2">
        <v>-13698.82</v>
      </c>
      <c r="F6" s="2">
        <v>-11212.070000000002</v>
      </c>
      <c r="G6" s="2">
        <v>-11482.699999999999</v>
      </c>
      <c r="H6" s="2">
        <v>-13933.1</v>
      </c>
      <c r="I6" s="2">
        <v>-22331.399999999998</v>
      </c>
      <c r="J6" s="2">
        <v>-23321.120000000003</v>
      </c>
      <c r="K6" s="2">
        <v>-19409.239999999998</v>
      </c>
      <c r="L6" s="2">
        <v>-13209.84</v>
      </c>
      <c r="M6" s="2">
        <v>-165437.13999999998</v>
      </c>
      <c r="R6" t="s">
        <v>1249</v>
      </c>
      <c r="S6" s="11">
        <f t="shared" si="0"/>
        <v>0</v>
      </c>
      <c r="T6" s="11">
        <f t="shared" si="0"/>
        <v>1873.7700000000002</v>
      </c>
      <c r="U6" s="11">
        <f t="shared" si="0"/>
        <v>1254.3799999999999</v>
      </c>
      <c r="V6" s="12">
        <f t="shared" si="1"/>
        <v>3128.15</v>
      </c>
    </row>
    <row r="7" spans="1:22" x14ac:dyDescent="0.25">
      <c r="A7" s="6" t="s">
        <v>660</v>
      </c>
      <c r="B7" s="2"/>
      <c r="C7" s="2"/>
      <c r="D7" s="2"/>
      <c r="E7" s="2"/>
      <c r="F7" s="2"/>
      <c r="G7" s="2">
        <v>-26</v>
      </c>
      <c r="H7" s="2"/>
      <c r="I7" s="2"/>
      <c r="J7" s="2"/>
      <c r="K7" s="2"/>
      <c r="L7" s="2"/>
      <c r="M7" s="2">
        <v>-26</v>
      </c>
      <c r="R7" t="s">
        <v>1248</v>
      </c>
      <c r="S7" s="11">
        <f t="shared" si="0"/>
        <v>0</v>
      </c>
      <c r="T7" s="11">
        <f t="shared" si="0"/>
        <v>129.80000000000001</v>
      </c>
      <c r="U7" s="11">
        <f t="shared" si="0"/>
        <v>2347.11</v>
      </c>
      <c r="V7" s="12">
        <f t="shared" si="1"/>
        <v>2476.9100000000003</v>
      </c>
    </row>
    <row r="8" spans="1:22" x14ac:dyDescent="0.25">
      <c r="A8" s="6" t="s">
        <v>849</v>
      </c>
      <c r="B8" s="2"/>
      <c r="C8" s="2"/>
      <c r="D8" s="2"/>
      <c r="E8" s="2"/>
      <c r="F8" s="2"/>
      <c r="G8" s="2"/>
      <c r="H8" s="2"/>
      <c r="I8" s="2">
        <v>-1105.68</v>
      </c>
      <c r="J8" s="2"/>
      <c r="K8" s="2"/>
      <c r="L8" s="2"/>
      <c r="M8" s="2">
        <v>-1105.68</v>
      </c>
      <c r="R8" t="s">
        <v>1247</v>
      </c>
      <c r="S8" s="11">
        <f t="shared" si="0"/>
        <v>227.71</v>
      </c>
      <c r="T8" s="11">
        <f t="shared" si="0"/>
        <v>566.33999999999992</v>
      </c>
      <c r="U8" s="11">
        <f t="shared" si="0"/>
        <v>535.18000000000006</v>
      </c>
      <c r="V8" s="12">
        <f t="shared" si="1"/>
        <v>1329.23</v>
      </c>
    </row>
    <row r="9" spans="1:22" x14ac:dyDescent="0.25">
      <c r="A9" s="6" t="s">
        <v>154</v>
      </c>
      <c r="B9" s="2">
        <v>-61.14</v>
      </c>
      <c r="C9" s="2">
        <v>-128.88</v>
      </c>
      <c r="D9" s="2">
        <v>-106.3</v>
      </c>
      <c r="E9" s="2">
        <v>-134.25</v>
      </c>
      <c r="F9" s="2">
        <v>-110.73</v>
      </c>
      <c r="G9" s="2">
        <v>-134.25</v>
      </c>
      <c r="H9" s="2">
        <v>-108.71</v>
      </c>
      <c r="I9" s="2">
        <v>-132.22999999999999</v>
      </c>
      <c r="J9" s="2">
        <v>-155.75</v>
      </c>
      <c r="K9" s="2">
        <v>-155.75</v>
      </c>
      <c r="L9" s="2">
        <v>-179.27</v>
      </c>
      <c r="M9" s="2">
        <v>-1407.26</v>
      </c>
      <c r="R9" t="s">
        <v>1244</v>
      </c>
      <c r="S9" s="11">
        <f t="shared" si="0"/>
        <v>0</v>
      </c>
      <c r="T9" s="11">
        <f t="shared" si="0"/>
        <v>0</v>
      </c>
      <c r="U9" s="11">
        <f t="shared" si="0"/>
        <v>0</v>
      </c>
      <c r="V9" s="12">
        <f t="shared" si="1"/>
        <v>0</v>
      </c>
    </row>
    <row r="10" spans="1:22" x14ac:dyDescent="0.25">
      <c r="A10" s="6" t="s">
        <v>15</v>
      </c>
      <c r="B10" s="2"/>
      <c r="C10" s="2">
        <v>0</v>
      </c>
      <c r="D10" s="2">
        <v>0</v>
      </c>
      <c r="E10" s="2">
        <v>0</v>
      </c>
      <c r="F10" s="2">
        <v>0</v>
      </c>
      <c r="G10" s="2">
        <v>-224.99</v>
      </c>
      <c r="H10" s="2">
        <v>-224.10999999999979</v>
      </c>
      <c r="I10" s="2">
        <v>-618.99</v>
      </c>
      <c r="J10" s="2">
        <v>-224.99000000000024</v>
      </c>
      <c r="K10" s="2">
        <v>-224.98999999999978</v>
      </c>
      <c r="L10" s="2">
        <v>-224.99</v>
      </c>
      <c r="M10" s="2">
        <v>-1743.0599999999997</v>
      </c>
      <c r="R10" t="s">
        <v>1245</v>
      </c>
      <c r="S10" s="11">
        <f t="shared" si="0"/>
        <v>0</v>
      </c>
      <c r="T10" s="11">
        <f t="shared" si="0"/>
        <v>0</v>
      </c>
      <c r="U10" s="11">
        <f t="shared" si="0"/>
        <v>0</v>
      </c>
      <c r="V10" s="12">
        <f t="shared" si="1"/>
        <v>0</v>
      </c>
    </row>
    <row r="11" spans="1:22" x14ac:dyDescent="0.25">
      <c r="A11" s="6" t="s">
        <v>998</v>
      </c>
      <c r="B11" s="2"/>
      <c r="C11" s="2"/>
      <c r="D11" s="2"/>
      <c r="E11" s="2"/>
      <c r="F11" s="2"/>
      <c r="G11" s="2"/>
      <c r="H11" s="2"/>
      <c r="I11" s="2"/>
      <c r="J11" s="2">
        <v>-500</v>
      </c>
      <c r="K11" s="2">
        <v>-500</v>
      </c>
      <c r="L11" s="2">
        <v>-1000</v>
      </c>
      <c r="M11" s="2">
        <v>-2000</v>
      </c>
      <c r="R11" t="s">
        <v>1246</v>
      </c>
      <c r="S11" s="11">
        <f t="shared" si="0"/>
        <v>0</v>
      </c>
      <c r="T11" s="11">
        <f t="shared" si="0"/>
        <v>0</v>
      </c>
      <c r="U11" s="11">
        <f t="shared" si="0"/>
        <v>0</v>
      </c>
      <c r="V11" s="12">
        <f t="shared" si="1"/>
        <v>0</v>
      </c>
    </row>
    <row r="12" spans="1:22" x14ac:dyDescent="0.25">
      <c r="A12" s="6" t="s">
        <v>1045</v>
      </c>
      <c r="B12" s="2"/>
      <c r="C12" s="2"/>
      <c r="D12" s="2"/>
      <c r="E12" s="2"/>
      <c r="F12" s="2"/>
      <c r="G12" s="2"/>
      <c r="H12" s="2"/>
      <c r="I12" s="2"/>
      <c r="J12" s="2"/>
      <c r="K12" s="2">
        <v>-1500</v>
      </c>
      <c r="L12" s="2">
        <v>-700</v>
      </c>
      <c r="M12" s="2">
        <v>-2200</v>
      </c>
      <c r="S12" s="11"/>
      <c r="T12" s="11"/>
      <c r="U12" s="11"/>
      <c r="V12" s="12"/>
    </row>
    <row r="13" spans="1:22" x14ac:dyDescent="0.25">
      <c r="A13" s="6" t="s">
        <v>103</v>
      </c>
      <c r="B13" s="2">
        <v>-30</v>
      </c>
      <c r="C13" s="2">
        <v>-460</v>
      </c>
      <c r="D13" s="2">
        <v>-577</v>
      </c>
      <c r="E13" s="2">
        <v>-290</v>
      </c>
      <c r="F13" s="2">
        <v>-200</v>
      </c>
      <c r="G13" s="2">
        <v>-310</v>
      </c>
      <c r="H13" s="2"/>
      <c r="I13" s="2">
        <v>-280</v>
      </c>
      <c r="J13" s="2">
        <v>-240</v>
      </c>
      <c r="K13" s="2"/>
      <c r="L13" s="2"/>
      <c r="M13" s="2">
        <v>-2387</v>
      </c>
      <c r="S13" s="11"/>
      <c r="T13" s="11"/>
      <c r="U13" s="11"/>
      <c r="V13" s="12"/>
    </row>
    <row r="14" spans="1:22" x14ac:dyDescent="0.25">
      <c r="A14" s="6" t="s">
        <v>302</v>
      </c>
      <c r="B14" s="2"/>
      <c r="C14" s="2">
        <v>-1581.97</v>
      </c>
      <c r="D14" s="2">
        <v>-339.22</v>
      </c>
      <c r="E14" s="2">
        <v>-339.22</v>
      </c>
      <c r="F14" s="2">
        <v>-339.27</v>
      </c>
      <c r="G14" s="2">
        <v>-339.27</v>
      </c>
      <c r="H14" s="2">
        <v>-125.52</v>
      </c>
      <c r="I14" s="2">
        <v>-125.57</v>
      </c>
      <c r="J14" s="2">
        <v>-125.57</v>
      </c>
      <c r="K14" s="2">
        <v>-125.52</v>
      </c>
      <c r="L14" s="2">
        <v>-125.52</v>
      </c>
      <c r="M14" s="2">
        <v>-3566.65</v>
      </c>
      <c r="S14" s="11"/>
      <c r="T14" s="11"/>
      <c r="U14" s="11"/>
      <c r="V14" s="12"/>
    </row>
    <row r="15" spans="1:22" x14ac:dyDescent="0.25">
      <c r="A15" s="6" t="s">
        <v>508</v>
      </c>
      <c r="B15" s="2"/>
      <c r="C15" s="2"/>
      <c r="D15" s="2"/>
      <c r="E15" s="2">
        <v>-2000</v>
      </c>
      <c r="F15" s="2"/>
      <c r="G15" s="2">
        <v>-59.9</v>
      </c>
      <c r="H15" s="2"/>
      <c r="I15" s="2">
        <v>-300.05</v>
      </c>
      <c r="J15" s="2">
        <v>-999.17000000000007</v>
      </c>
      <c r="K15" s="2">
        <v>-418.35</v>
      </c>
      <c r="L15" s="2">
        <v>-300.05</v>
      </c>
      <c r="M15" s="2">
        <v>-4077.5200000000004</v>
      </c>
      <c r="S15" s="11"/>
      <c r="T15" s="11"/>
      <c r="U15" s="11"/>
      <c r="V15" s="12"/>
    </row>
    <row r="16" spans="1:22" x14ac:dyDescent="0.25">
      <c r="A16" s="6" t="s">
        <v>113</v>
      </c>
      <c r="B16" s="2">
        <v>-498.21</v>
      </c>
      <c r="C16" s="2">
        <v>-501.94</v>
      </c>
      <c r="D16" s="2">
        <v>-501.94000000000005</v>
      </c>
      <c r="E16" s="2">
        <v>-508.94000000000005</v>
      </c>
      <c r="F16" s="2">
        <v>-523.72</v>
      </c>
      <c r="G16" s="2">
        <v>-399.27</v>
      </c>
      <c r="H16" s="2">
        <v>-630.81000000000006</v>
      </c>
      <c r="I16" s="2">
        <v>-528.48</v>
      </c>
      <c r="J16" s="2">
        <v>-486.89</v>
      </c>
      <c r="K16" s="2">
        <v>-397.95</v>
      </c>
      <c r="L16" s="2">
        <v>-397.95</v>
      </c>
      <c r="M16" s="2">
        <v>-5376.0999999999995</v>
      </c>
      <c r="S16" s="11"/>
      <c r="T16" s="11"/>
      <c r="U16" s="11"/>
      <c r="V16" s="12"/>
    </row>
    <row r="17" spans="1:22" x14ac:dyDescent="0.25">
      <c r="A17" s="6" t="s">
        <v>89</v>
      </c>
      <c r="B17" s="2">
        <v>-410.82000000000005</v>
      </c>
      <c r="C17" s="2">
        <v>-964.39</v>
      </c>
      <c r="D17" s="2">
        <v>-65.14</v>
      </c>
      <c r="E17" s="2">
        <v>-613.37</v>
      </c>
      <c r="F17" s="2">
        <v>-206.5</v>
      </c>
      <c r="G17" s="2">
        <v>-1069.93</v>
      </c>
      <c r="H17" s="2">
        <v>-280.52999999999997</v>
      </c>
      <c r="I17" s="2">
        <v>-1823.2099999999998</v>
      </c>
      <c r="J17" s="2">
        <v>-300</v>
      </c>
      <c r="K17" s="2">
        <v>-1481.76</v>
      </c>
      <c r="L17" s="2">
        <v>-1009.88</v>
      </c>
      <c r="M17" s="2">
        <v>-8225.5300000000007</v>
      </c>
      <c r="S17" s="11"/>
      <c r="T17" s="11"/>
      <c r="U17" s="11"/>
      <c r="V17" s="12"/>
    </row>
    <row r="18" spans="1:22" x14ac:dyDescent="0.25">
      <c r="A18" s="6" t="s">
        <v>191</v>
      </c>
      <c r="B18" s="2">
        <v>-720.51</v>
      </c>
      <c r="C18" s="2">
        <v>-1060.24</v>
      </c>
      <c r="D18" s="2">
        <v>-1007.97</v>
      </c>
      <c r="E18" s="2">
        <v>-1181.42</v>
      </c>
      <c r="F18" s="2">
        <v>-922.85</v>
      </c>
      <c r="G18" s="2">
        <v>-846.82999999999993</v>
      </c>
      <c r="H18" s="2">
        <v>-662.83999999999992</v>
      </c>
      <c r="I18" s="2">
        <v>-682.81999999999994</v>
      </c>
      <c r="J18" s="2">
        <v>-882.34</v>
      </c>
      <c r="K18" s="2">
        <v>-1303.51</v>
      </c>
      <c r="L18" s="2">
        <v>-1007.97</v>
      </c>
      <c r="M18" s="2">
        <v>-10279.299999999999</v>
      </c>
      <c r="S18" s="11"/>
      <c r="T18" s="11"/>
      <c r="U18" s="11"/>
      <c r="V18" s="12"/>
    </row>
    <row r="19" spans="1:22" x14ac:dyDescent="0.25">
      <c r="A19" s="6" t="s">
        <v>28</v>
      </c>
      <c r="B19" s="2">
        <v>-2357.6499999999996</v>
      </c>
      <c r="C19" s="2">
        <v>-807.18000000000006</v>
      </c>
      <c r="D19" s="2">
        <v>-1336.1000000000001</v>
      </c>
      <c r="E19" s="2">
        <v>-1496.7499999999998</v>
      </c>
      <c r="F19" s="2">
        <v>-1089.75</v>
      </c>
      <c r="G19" s="2">
        <v>-588.32999999999993</v>
      </c>
      <c r="H19" s="2">
        <v>-1072.21</v>
      </c>
      <c r="I19" s="2">
        <v>-725.09</v>
      </c>
      <c r="J19" s="2">
        <v>-928.32</v>
      </c>
      <c r="K19" s="2">
        <v>-321.56000000000006</v>
      </c>
      <c r="L19" s="2">
        <v>-1075.0899999999999</v>
      </c>
      <c r="M19" s="2">
        <v>-11798.03</v>
      </c>
      <c r="S19" s="11"/>
      <c r="T19" s="11"/>
      <c r="U19" s="11"/>
      <c r="V19" s="12"/>
    </row>
    <row r="20" spans="1:22" x14ac:dyDescent="0.25">
      <c r="A20" s="6" t="s">
        <v>99</v>
      </c>
      <c r="B20" s="2">
        <v>-1530</v>
      </c>
      <c r="C20" s="2">
        <v>-1360</v>
      </c>
      <c r="D20" s="2">
        <v>-1190</v>
      </c>
      <c r="E20" s="2">
        <v>-1190</v>
      </c>
      <c r="F20" s="2">
        <v>-1700</v>
      </c>
      <c r="G20" s="2">
        <v>-1190</v>
      </c>
      <c r="H20" s="2">
        <v>-1360</v>
      </c>
      <c r="I20" s="2">
        <v>-1840</v>
      </c>
      <c r="J20" s="2">
        <v>-1240</v>
      </c>
      <c r="K20" s="2">
        <v>-1700</v>
      </c>
      <c r="L20" s="2">
        <v>-1190</v>
      </c>
      <c r="M20" s="2">
        <v>-15490</v>
      </c>
      <c r="S20" s="11"/>
      <c r="T20" s="11"/>
      <c r="U20" s="11"/>
      <c r="V20" s="12"/>
    </row>
    <row r="21" spans="1:22" x14ac:dyDescent="0.25">
      <c r="A21" s="6" t="s">
        <v>30</v>
      </c>
      <c r="B21" s="2">
        <v>-1988.9399999999998</v>
      </c>
      <c r="C21" s="2">
        <v>-1988.9400000000003</v>
      </c>
      <c r="D21" s="2">
        <v>-1599.8300000000002</v>
      </c>
      <c r="E21" s="2">
        <v>-1341.74</v>
      </c>
      <c r="F21" s="2">
        <v>-1355.74</v>
      </c>
      <c r="G21" s="2">
        <v>-1149.79</v>
      </c>
      <c r="H21" s="2">
        <v>-1274.0400000000002</v>
      </c>
      <c r="I21" s="2">
        <v>-1925.82</v>
      </c>
      <c r="J21" s="2">
        <v>-1426.29</v>
      </c>
      <c r="K21" s="2">
        <v>-1172.26</v>
      </c>
      <c r="L21" s="2">
        <v>-1411.1300000000003</v>
      </c>
      <c r="M21" s="2">
        <v>-16634.52</v>
      </c>
    </row>
    <row r="22" spans="1:22" x14ac:dyDescent="0.25">
      <c r="A22" s="6" t="s">
        <v>52</v>
      </c>
      <c r="B22" s="2">
        <v>-1412</v>
      </c>
      <c r="C22" s="2">
        <v>-1518</v>
      </c>
      <c r="D22" s="2">
        <v>-1518</v>
      </c>
      <c r="E22" s="2">
        <v>-1518</v>
      </c>
      <c r="F22" s="2">
        <v>-1668</v>
      </c>
      <c r="G22" s="2">
        <v>-1518</v>
      </c>
      <c r="H22" s="2">
        <v>-1518</v>
      </c>
      <c r="I22" s="2">
        <v>-1518</v>
      </c>
      <c r="J22" s="2">
        <v>-1518</v>
      </c>
      <c r="K22" s="2">
        <v>-2277</v>
      </c>
      <c r="L22" s="2">
        <v>-1518</v>
      </c>
      <c r="M22" s="2">
        <v>-17501</v>
      </c>
      <c r="S22" s="11">
        <f>SUM(S5:S21)</f>
        <v>1152.71</v>
      </c>
      <c r="T22" s="11">
        <f>SUM(T5:T21)</f>
        <v>3637.51</v>
      </c>
      <c r="U22" s="11">
        <f>SUM(U5:U21)</f>
        <v>9503.67</v>
      </c>
    </row>
    <row r="23" spans="1:22" x14ac:dyDescent="0.25">
      <c r="A23" s="6" t="s">
        <v>149</v>
      </c>
      <c r="B23" s="2">
        <v>-394.32</v>
      </c>
      <c r="C23" s="2">
        <v>-70</v>
      </c>
      <c r="D23" s="2">
        <v>-26.8</v>
      </c>
      <c r="E23" s="2">
        <v>-280</v>
      </c>
      <c r="F23" s="2"/>
      <c r="G23" s="2">
        <v>-711.68000000000006</v>
      </c>
      <c r="H23" s="2">
        <v>-3473.64</v>
      </c>
      <c r="I23" s="2">
        <v>-7500</v>
      </c>
      <c r="J23" s="2">
        <v>-11474.48</v>
      </c>
      <c r="K23" s="2">
        <v>-5053.0599999999995</v>
      </c>
      <c r="L23" s="2">
        <v>-177.97</v>
      </c>
      <c r="M23" s="2">
        <v>-29161.949999999997</v>
      </c>
    </row>
    <row r="24" spans="1:22" x14ac:dyDescent="0.25">
      <c r="A24" s="6" t="s">
        <v>96</v>
      </c>
      <c r="B24" s="2">
        <v>-2967.49</v>
      </c>
      <c r="C24" s="2">
        <v>-3015.68</v>
      </c>
      <c r="D24" s="2">
        <v>-2742.25</v>
      </c>
      <c r="E24" s="2">
        <v>-2805.1299999999992</v>
      </c>
      <c r="F24" s="2">
        <v>-3095.5099999999998</v>
      </c>
      <c r="G24" s="2">
        <v>-2914.4599999999996</v>
      </c>
      <c r="H24" s="2">
        <v>-3202.6899999999996</v>
      </c>
      <c r="I24" s="2">
        <v>-3225.46</v>
      </c>
      <c r="J24" s="2">
        <v>-2819.3199999999997</v>
      </c>
      <c r="K24" s="2">
        <v>-2777.5299999999993</v>
      </c>
      <c r="L24" s="2">
        <v>-2892.0200000000004</v>
      </c>
      <c r="M24" s="2">
        <v>-32457.539999999997</v>
      </c>
    </row>
    <row r="25" spans="1:22" x14ac:dyDescent="0.25">
      <c r="A25" s="4" t="s">
        <v>275</v>
      </c>
      <c r="B25" s="2">
        <v>-226.7</v>
      </c>
      <c r="C25" s="2">
        <v>-1508</v>
      </c>
      <c r="D25" s="2">
        <v>-423.4</v>
      </c>
      <c r="E25" s="2">
        <v>-6497.4900000000007</v>
      </c>
      <c r="F25" s="2">
        <v>-1391.33</v>
      </c>
      <c r="G25" s="2">
        <v>-875.11</v>
      </c>
      <c r="H25" s="2">
        <v>-410.36</v>
      </c>
      <c r="I25" s="2">
        <v>-1427.5900000000001</v>
      </c>
      <c r="J25" s="2">
        <v>-1152.71</v>
      </c>
      <c r="K25" s="2">
        <v>-3637.51</v>
      </c>
      <c r="L25" s="2">
        <v>-9503.67</v>
      </c>
      <c r="M25" s="2">
        <v>-27053.870000000006</v>
      </c>
    </row>
    <row r="26" spans="1:22" x14ac:dyDescent="0.25">
      <c r="A26" s="6" t="s">
        <v>448</v>
      </c>
      <c r="B26" s="2"/>
      <c r="C26" s="2"/>
      <c r="D26" s="2">
        <v>-20</v>
      </c>
      <c r="E26" s="2"/>
      <c r="F26" s="2"/>
      <c r="G26" s="2"/>
      <c r="H26" s="2"/>
      <c r="I26" s="2"/>
      <c r="J26" s="2"/>
      <c r="K26" s="2"/>
      <c r="L26" s="2"/>
      <c r="M26" s="2">
        <v>-20</v>
      </c>
    </row>
    <row r="27" spans="1:22" x14ac:dyDescent="0.25">
      <c r="A27" s="6" t="s">
        <v>616</v>
      </c>
      <c r="B27" s="2"/>
      <c r="C27" s="2"/>
      <c r="D27" s="2"/>
      <c r="E27" s="2"/>
      <c r="F27" s="2">
        <v>-97.08</v>
      </c>
      <c r="G27" s="2"/>
      <c r="H27" s="2"/>
      <c r="I27" s="2"/>
      <c r="J27" s="2"/>
      <c r="K27" s="2"/>
      <c r="L27" s="2"/>
      <c r="M27" s="2">
        <v>-97.08</v>
      </c>
    </row>
    <row r="28" spans="1:22" x14ac:dyDescent="0.25">
      <c r="A28" s="6" t="s">
        <v>344</v>
      </c>
      <c r="B28" s="2"/>
      <c r="C28" s="2">
        <v>-331.5</v>
      </c>
      <c r="D28" s="2"/>
      <c r="E28" s="2">
        <v>-271.87</v>
      </c>
      <c r="F28" s="2"/>
      <c r="G28" s="2"/>
      <c r="H28" s="2"/>
      <c r="I28" s="2"/>
      <c r="J28" s="2"/>
      <c r="K28" s="2"/>
      <c r="L28" s="2"/>
      <c r="M28" s="2">
        <v>-603.37</v>
      </c>
    </row>
    <row r="29" spans="1:22" x14ac:dyDescent="0.25">
      <c r="A29" s="6" t="s">
        <v>611</v>
      </c>
      <c r="B29" s="2"/>
      <c r="C29" s="2"/>
      <c r="D29" s="2"/>
      <c r="E29" s="2"/>
      <c r="F29" s="2">
        <v>-225.38</v>
      </c>
      <c r="G29" s="2">
        <v>-213.66</v>
      </c>
      <c r="H29" s="2">
        <v>-220.38</v>
      </c>
      <c r="I29" s="2">
        <v>-253.39</v>
      </c>
      <c r="J29" s="2">
        <v>-227.71</v>
      </c>
      <c r="K29" s="2">
        <v>-566.33999999999992</v>
      </c>
      <c r="L29" s="2">
        <v>-535.18000000000006</v>
      </c>
      <c r="M29" s="2">
        <v>-2242.04</v>
      </c>
    </row>
    <row r="30" spans="1:22" x14ac:dyDescent="0.25">
      <c r="A30" s="6" t="s">
        <v>215</v>
      </c>
      <c r="B30" s="2">
        <v>-126.7</v>
      </c>
      <c r="C30" s="2">
        <v>-237.8</v>
      </c>
      <c r="D30" s="2">
        <v>-329.4</v>
      </c>
      <c r="E30" s="2"/>
      <c r="F30" s="2"/>
      <c r="G30" s="2"/>
      <c r="H30" s="2"/>
      <c r="I30" s="2">
        <v>-249.2</v>
      </c>
      <c r="J30" s="2"/>
      <c r="K30" s="2">
        <v>-129.80000000000001</v>
      </c>
      <c r="L30" s="2">
        <v>-2347.11</v>
      </c>
      <c r="M30" s="2">
        <v>-3420.01</v>
      </c>
    </row>
    <row r="31" spans="1:22" x14ac:dyDescent="0.25">
      <c r="A31" s="6" t="s">
        <v>224</v>
      </c>
      <c r="B31" s="2"/>
      <c r="C31" s="2"/>
      <c r="D31" s="2"/>
      <c r="E31" s="2">
        <v>-664.35</v>
      </c>
      <c r="F31" s="2"/>
      <c r="G31" s="2"/>
      <c r="H31" s="2"/>
      <c r="I31" s="2"/>
      <c r="J31" s="2"/>
      <c r="K31" s="2">
        <v>-1873.7700000000002</v>
      </c>
      <c r="L31" s="2">
        <v>-1254.3799999999999</v>
      </c>
      <c r="M31" s="2">
        <v>-3792.5</v>
      </c>
    </row>
    <row r="32" spans="1:22" x14ac:dyDescent="0.25">
      <c r="A32" s="6" t="s">
        <v>162</v>
      </c>
      <c r="B32" s="2">
        <v>-100</v>
      </c>
      <c r="C32" s="2">
        <v>-938.7</v>
      </c>
      <c r="D32" s="2">
        <v>-74</v>
      </c>
      <c r="E32" s="2">
        <v>-5561.27</v>
      </c>
      <c r="F32" s="2">
        <v>-1068.8699999999999</v>
      </c>
      <c r="G32" s="2">
        <v>-661.45</v>
      </c>
      <c r="H32" s="2">
        <v>-189.98000000000002</v>
      </c>
      <c r="I32" s="2">
        <v>-925</v>
      </c>
      <c r="J32" s="2">
        <v>-925</v>
      </c>
      <c r="K32" s="2">
        <v>-1067.5999999999999</v>
      </c>
      <c r="L32" s="2">
        <v>-5367</v>
      </c>
      <c r="M32" s="2">
        <v>-16878.870000000003</v>
      </c>
    </row>
    <row r="33" spans="1:13" x14ac:dyDescent="0.25">
      <c r="A33" s="4" t="s">
        <v>77</v>
      </c>
      <c r="B33" s="2">
        <v>-198.18</v>
      </c>
      <c r="C33" s="2">
        <v>-447.97</v>
      </c>
      <c r="D33" s="2">
        <v>-21.73</v>
      </c>
      <c r="E33" s="2">
        <v>-65.19</v>
      </c>
      <c r="F33" s="2"/>
      <c r="G33" s="2"/>
      <c r="H33" s="2"/>
      <c r="I33" s="2">
        <v>-792.86</v>
      </c>
      <c r="J33" s="2"/>
      <c r="K33" s="2">
        <v>-366.98</v>
      </c>
      <c r="L33" s="2">
        <v>-1816.5700000000002</v>
      </c>
      <c r="M33" s="2">
        <v>-3709.4800000000005</v>
      </c>
    </row>
    <row r="34" spans="1:13" x14ac:dyDescent="0.25">
      <c r="A34" s="6" t="s">
        <v>77</v>
      </c>
      <c r="B34" s="2">
        <v>-198.18</v>
      </c>
      <c r="C34" s="2">
        <v>-447.97</v>
      </c>
      <c r="D34" s="2">
        <v>-21.73</v>
      </c>
      <c r="E34" s="2">
        <v>-65.19</v>
      </c>
      <c r="F34" s="2"/>
      <c r="G34" s="2"/>
      <c r="H34" s="2"/>
      <c r="I34" s="2">
        <v>-792.86</v>
      </c>
      <c r="J34" s="2"/>
      <c r="K34" s="2">
        <v>-366.98</v>
      </c>
      <c r="L34" s="2">
        <v>-1816.5700000000002</v>
      </c>
      <c r="M34" s="2">
        <v>-3709.4800000000005</v>
      </c>
    </row>
    <row r="35" spans="1:13" x14ac:dyDescent="0.25">
      <c r="A35" s="4" t="s">
        <v>276</v>
      </c>
      <c r="B35" s="2">
        <v>-12500</v>
      </c>
      <c r="C35" s="2">
        <v>-12500</v>
      </c>
      <c r="D35" s="2">
        <v>-12500</v>
      </c>
      <c r="E35" s="2">
        <v>-20500</v>
      </c>
      <c r="F35" s="2">
        <v>-12500</v>
      </c>
      <c r="G35" s="2">
        <v>-12499.999999999998</v>
      </c>
      <c r="H35" s="2">
        <v>-12500</v>
      </c>
      <c r="I35" s="2">
        <v>-12500</v>
      </c>
      <c r="J35" s="2">
        <v>-74500</v>
      </c>
      <c r="K35" s="2">
        <v>-19500</v>
      </c>
      <c r="L35" s="2">
        <v>-12500</v>
      </c>
      <c r="M35" s="2">
        <v>-214499.99999999997</v>
      </c>
    </row>
    <row r="36" spans="1:13" x14ac:dyDescent="0.25">
      <c r="A36" s="6" t="s">
        <v>207</v>
      </c>
      <c r="B36" s="2">
        <v>-2702.04</v>
      </c>
      <c r="C36" s="2">
        <v>-2702.04</v>
      </c>
      <c r="D36" s="2">
        <v>-2702.04</v>
      </c>
      <c r="E36" s="2">
        <v>-2702.04</v>
      </c>
      <c r="F36" s="2">
        <v>-2702.04</v>
      </c>
      <c r="G36" s="2">
        <v>-1756.33</v>
      </c>
      <c r="H36" s="2">
        <v>-1351.02</v>
      </c>
      <c r="I36" s="2">
        <v>-1351.02</v>
      </c>
      <c r="J36" s="2">
        <v>-1351.02</v>
      </c>
      <c r="K36" s="2">
        <v>-2386.81</v>
      </c>
      <c r="L36" s="2">
        <v>-2702.04</v>
      </c>
      <c r="M36" s="2">
        <v>-24408.440000000002</v>
      </c>
    </row>
    <row r="37" spans="1:13" x14ac:dyDescent="0.25">
      <c r="A37" s="6" t="s">
        <v>201</v>
      </c>
      <c r="B37" s="2">
        <v>-9797.9599999999991</v>
      </c>
      <c r="C37" s="2">
        <v>-9797.9599999999991</v>
      </c>
      <c r="D37" s="2">
        <v>-9797.9599999999991</v>
      </c>
      <c r="E37" s="2">
        <v>-17797.96</v>
      </c>
      <c r="F37" s="2">
        <v>-9797.9599999999991</v>
      </c>
      <c r="G37" s="2">
        <v>-10743.669999999998</v>
      </c>
      <c r="H37" s="2">
        <v>-11148.98</v>
      </c>
      <c r="I37" s="2">
        <v>-11148.98</v>
      </c>
      <c r="J37" s="2">
        <v>-73148.98</v>
      </c>
      <c r="K37" s="2">
        <v>-17113.189999999999</v>
      </c>
      <c r="L37" s="2">
        <v>-9797.9599999999991</v>
      </c>
      <c r="M37" s="2">
        <v>-190091.55999999997</v>
      </c>
    </row>
    <row r="38" spans="1:13" x14ac:dyDescent="0.25">
      <c r="A38" s="4" t="s">
        <v>277</v>
      </c>
      <c r="B38" s="2">
        <v>-276.3</v>
      </c>
      <c r="C38" s="2">
        <v>-84.05</v>
      </c>
      <c r="D38" s="2">
        <v>-94.5</v>
      </c>
      <c r="E38" s="2">
        <v>-94.5</v>
      </c>
      <c r="F38" s="2">
        <v>-182.08999999999995</v>
      </c>
      <c r="G38" s="2"/>
      <c r="H38" s="2">
        <v>-15</v>
      </c>
      <c r="I38" s="2">
        <v>-77.900000000000006</v>
      </c>
      <c r="J38" s="2">
        <v>-28.6</v>
      </c>
      <c r="K38" s="2">
        <v>-111.8</v>
      </c>
      <c r="L38" s="2">
        <v>-15.9</v>
      </c>
      <c r="M38" s="2">
        <v>-980.63999999999987</v>
      </c>
    </row>
    <row r="39" spans="1:13" x14ac:dyDescent="0.25">
      <c r="A39" s="6" t="s">
        <v>72</v>
      </c>
      <c r="B39" s="2">
        <v>-276.3</v>
      </c>
      <c r="C39" s="2">
        <v>-84.05</v>
      </c>
      <c r="D39" s="2">
        <v>-94.5</v>
      </c>
      <c r="E39" s="2">
        <v>-94.5</v>
      </c>
      <c r="F39" s="2">
        <v>-182.08999999999995</v>
      </c>
      <c r="G39" s="2"/>
      <c r="H39" s="2">
        <v>-15</v>
      </c>
      <c r="I39" s="2">
        <v>-77.900000000000006</v>
      </c>
      <c r="J39" s="2">
        <v>-28.6</v>
      </c>
      <c r="K39" s="2">
        <v>-111.8</v>
      </c>
      <c r="L39" s="2">
        <v>-15.9</v>
      </c>
      <c r="M39" s="2">
        <v>-980.63999999999987</v>
      </c>
    </row>
    <row r="40" spans="1:13" x14ac:dyDescent="0.25">
      <c r="A40" s="4" t="s">
        <v>56</v>
      </c>
      <c r="B40" s="2">
        <v>66901.980000000025</v>
      </c>
      <c r="C40" s="2">
        <v>43865.35</v>
      </c>
      <c r="D40" s="2">
        <v>89619.59</v>
      </c>
      <c r="E40" s="2">
        <v>125636.49999999999</v>
      </c>
      <c r="F40" s="2">
        <v>161035.5</v>
      </c>
      <c r="G40" s="2">
        <v>22492.65</v>
      </c>
      <c r="H40" s="2">
        <v>55710.550000000017</v>
      </c>
      <c r="I40" s="2">
        <v>174020.55</v>
      </c>
      <c r="J40" s="2">
        <v>666297.61999999976</v>
      </c>
      <c r="K40" s="2">
        <v>146196.75</v>
      </c>
      <c r="L40" s="2">
        <v>111146.17</v>
      </c>
      <c r="M40" s="2">
        <v>1662923.2099999995</v>
      </c>
    </row>
    <row r="41" spans="1:13" x14ac:dyDescent="0.25">
      <c r="A41" s="6" t="s">
        <v>56</v>
      </c>
      <c r="B41" s="2">
        <v>66901.980000000025</v>
      </c>
      <c r="C41" s="2">
        <v>43865.35</v>
      </c>
      <c r="D41" s="2">
        <v>89619.59</v>
      </c>
      <c r="E41" s="2">
        <v>125636.49999999999</v>
      </c>
      <c r="F41" s="2">
        <v>161035.5</v>
      </c>
      <c r="G41" s="2">
        <v>22492.65</v>
      </c>
      <c r="H41" s="2">
        <v>55710.550000000017</v>
      </c>
      <c r="I41" s="2">
        <v>174020.55</v>
      </c>
      <c r="J41" s="2">
        <v>666297.61999999976</v>
      </c>
      <c r="K41" s="2">
        <v>146196.75</v>
      </c>
      <c r="L41" s="2">
        <v>111146.17</v>
      </c>
      <c r="M41" s="2">
        <v>1662923.2099999995</v>
      </c>
    </row>
    <row r="42" spans="1:13" x14ac:dyDescent="0.25">
      <c r="A42" s="4" t="s">
        <v>278</v>
      </c>
      <c r="B42" s="2">
        <v>-2584.29</v>
      </c>
      <c r="C42" s="2">
        <v>-2083.2399999999998</v>
      </c>
      <c r="D42" s="2">
        <v>-2083.2399999999998</v>
      </c>
      <c r="E42" s="2">
        <v>-2083.2399999999998</v>
      </c>
      <c r="F42" s="2">
        <v>-2083.2399999999998</v>
      </c>
      <c r="G42" s="2">
        <v>-2130.02</v>
      </c>
      <c r="H42" s="2">
        <v>-2064.33</v>
      </c>
      <c r="I42" s="2">
        <v>-2083.2399999999998</v>
      </c>
      <c r="J42" s="2">
        <v>-2083.2399999999998</v>
      </c>
      <c r="K42" s="2">
        <v>-2083.2399999999998</v>
      </c>
      <c r="L42" s="2">
        <v>-2083.2399999999998</v>
      </c>
      <c r="M42" s="2">
        <v>-23444.560000000001</v>
      </c>
    </row>
    <row r="43" spans="1:13" x14ac:dyDescent="0.25">
      <c r="A43" s="6" t="s">
        <v>658</v>
      </c>
      <c r="B43" s="2"/>
      <c r="C43" s="2"/>
      <c r="D43" s="2"/>
      <c r="E43" s="2"/>
      <c r="F43" s="2"/>
      <c r="G43" s="2">
        <v>4.22</v>
      </c>
      <c r="H43" s="2">
        <v>18.91</v>
      </c>
      <c r="I43" s="2"/>
      <c r="J43" s="2"/>
      <c r="K43" s="2"/>
      <c r="L43" s="2"/>
      <c r="M43" s="2">
        <v>23.13</v>
      </c>
    </row>
    <row r="44" spans="1:13" x14ac:dyDescent="0.25">
      <c r="A44" s="6" t="s">
        <v>22</v>
      </c>
      <c r="B44" s="2">
        <v>-541.4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>
        <v>-541.4</v>
      </c>
    </row>
    <row r="45" spans="1:13" x14ac:dyDescent="0.25">
      <c r="A45" s="6" t="s">
        <v>39</v>
      </c>
      <c r="B45" s="2">
        <v>-292.89</v>
      </c>
      <c r="C45" s="2">
        <v>-333.24</v>
      </c>
      <c r="D45" s="2">
        <v>-333.24</v>
      </c>
      <c r="E45" s="2">
        <v>-333.24</v>
      </c>
      <c r="F45" s="2">
        <v>-333.24</v>
      </c>
      <c r="G45" s="2">
        <v>-384.24</v>
      </c>
      <c r="H45" s="2">
        <v>-333.24</v>
      </c>
      <c r="I45" s="2">
        <v>-333.24</v>
      </c>
      <c r="J45" s="2">
        <v>-333.24</v>
      </c>
      <c r="K45" s="2">
        <v>-333.24</v>
      </c>
      <c r="L45" s="2">
        <v>-333.24</v>
      </c>
      <c r="M45" s="2">
        <v>-3676.2899999999991</v>
      </c>
    </row>
    <row r="46" spans="1:13" x14ac:dyDescent="0.25">
      <c r="A46" s="6" t="s">
        <v>62</v>
      </c>
      <c r="B46" s="2">
        <v>-1750</v>
      </c>
      <c r="C46" s="2">
        <v>-1750</v>
      </c>
      <c r="D46" s="2">
        <v>-1750</v>
      </c>
      <c r="E46" s="2">
        <v>-1750</v>
      </c>
      <c r="F46" s="2">
        <v>-1750</v>
      </c>
      <c r="G46" s="2">
        <v>-1750</v>
      </c>
      <c r="H46" s="2">
        <v>-1750</v>
      </c>
      <c r="I46" s="2">
        <v>-1750</v>
      </c>
      <c r="J46" s="2">
        <v>-1750</v>
      </c>
      <c r="K46" s="2">
        <v>-1750</v>
      </c>
      <c r="L46" s="2">
        <v>-1750</v>
      </c>
      <c r="M46" s="2">
        <v>-19250</v>
      </c>
    </row>
    <row r="47" spans="1:13" x14ac:dyDescent="0.25">
      <c r="A47" s="4" t="s">
        <v>279</v>
      </c>
      <c r="B47" s="2">
        <v>-11522.76</v>
      </c>
      <c r="C47" s="2">
        <v>-11940.75</v>
      </c>
      <c r="D47" s="2">
        <v>-12556.59</v>
      </c>
      <c r="E47" s="2">
        <v>-16173.72</v>
      </c>
      <c r="F47" s="2">
        <v>-14145.019999999999</v>
      </c>
      <c r="G47" s="2">
        <v>-17739.46</v>
      </c>
      <c r="H47" s="2">
        <v>-15315.059999999998</v>
      </c>
      <c r="I47" s="2">
        <v>-14529.559999999998</v>
      </c>
      <c r="J47" s="2">
        <v>-21924.44</v>
      </c>
      <c r="K47" s="2">
        <v>-27953.910000000003</v>
      </c>
      <c r="L47" s="2">
        <v>-29850.05</v>
      </c>
      <c r="M47" s="2">
        <v>-193651.31999999998</v>
      </c>
    </row>
    <row r="48" spans="1:13" x14ac:dyDescent="0.25">
      <c r="A48" s="6" t="s">
        <v>382</v>
      </c>
      <c r="B48" s="2"/>
      <c r="C48" s="2"/>
      <c r="D48" s="2">
        <v>-309.11</v>
      </c>
      <c r="E48" s="2"/>
      <c r="F48" s="2">
        <v>-59.9</v>
      </c>
      <c r="G48" s="2">
        <v>-497</v>
      </c>
      <c r="H48" s="2">
        <v>-59.9</v>
      </c>
      <c r="I48" s="2">
        <v>-59.9</v>
      </c>
      <c r="J48" s="2">
        <v>-778.2</v>
      </c>
      <c r="K48" s="2">
        <v>-485.9</v>
      </c>
      <c r="L48" s="2">
        <v>-288.89999999999998</v>
      </c>
      <c r="M48" s="2">
        <v>-2538.81</v>
      </c>
    </row>
    <row r="49" spans="1:13" x14ac:dyDescent="0.25">
      <c r="A49" s="6" t="s">
        <v>1070</v>
      </c>
      <c r="B49" s="2"/>
      <c r="C49" s="2"/>
      <c r="D49" s="2"/>
      <c r="E49" s="2"/>
      <c r="F49" s="2"/>
      <c r="G49" s="2"/>
      <c r="H49" s="2"/>
      <c r="I49" s="2"/>
      <c r="J49" s="2"/>
      <c r="K49" s="2">
        <v>-2699.9</v>
      </c>
      <c r="L49" s="2">
        <v>-1334</v>
      </c>
      <c r="M49" s="2">
        <v>-4033.9</v>
      </c>
    </row>
    <row r="50" spans="1:13" x14ac:dyDescent="0.25">
      <c r="A50" s="6" t="s">
        <v>900</v>
      </c>
      <c r="B50" s="2"/>
      <c r="C50" s="2"/>
      <c r="D50" s="2"/>
      <c r="E50" s="2"/>
      <c r="F50" s="2"/>
      <c r="G50" s="2"/>
      <c r="H50" s="2"/>
      <c r="I50" s="2"/>
      <c r="J50" s="2">
        <v>-1660</v>
      </c>
      <c r="K50" s="2">
        <v>-1450</v>
      </c>
      <c r="L50" s="2">
        <v>-1400</v>
      </c>
      <c r="M50" s="2">
        <v>-4510</v>
      </c>
    </row>
    <row r="51" spans="1:13" x14ac:dyDescent="0.25">
      <c r="A51" s="6" t="s">
        <v>159</v>
      </c>
      <c r="B51" s="2">
        <v>-415.96</v>
      </c>
      <c r="C51" s="2">
        <v>-285.23</v>
      </c>
      <c r="D51" s="2">
        <v>-285.23</v>
      </c>
      <c r="E51" s="2">
        <v>-430.52</v>
      </c>
      <c r="F51" s="2">
        <v>-509.23</v>
      </c>
      <c r="G51" s="2">
        <v>-734.83</v>
      </c>
      <c r="H51" s="2">
        <v>-485.23</v>
      </c>
      <c r="I51" s="2">
        <v>-507.43</v>
      </c>
      <c r="J51" s="2">
        <v>-789.17</v>
      </c>
      <c r="K51" s="2">
        <v>-858.17</v>
      </c>
      <c r="L51" s="2">
        <v>-997.52</v>
      </c>
      <c r="M51" s="2">
        <v>-6298.52</v>
      </c>
    </row>
    <row r="52" spans="1:13" x14ac:dyDescent="0.25">
      <c r="A52" s="6" t="s">
        <v>128</v>
      </c>
      <c r="B52" s="2">
        <v>-2800</v>
      </c>
      <c r="C52" s="2">
        <v>-2700</v>
      </c>
      <c r="D52" s="2">
        <v>-2706.73</v>
      </c>
      <c r="E52" s="2">
        <v>-1406.73</v>
      </c>
      <c r="F52" s="2">
        <v>-1406.73</v>
      </c>
      <c r="G52" s="2">
        <v>-1726.92</v>
      </c>
      <c r="H52" s="2">
        <v>-1406.73</v>
      </c>
      <c r="I52" s="2">
        <v>-106.73</v>
      </c>
      <c r="J52" s="2">
        <v>-106.73</v>
      </c>
      <c r="K52" s="2">
        <v>-106.73</v>
      </c>
      <c r="L52" s="2"/>
      <c r="M52" s="2">
        <v>-14474.029999999997</v>
      </c>
    </row>
    <row r="53" spans="1:13" x14ac:dyDescent="0.25">
      <c r="A53" s="6" t="s">
        <v>166</v>
      </c>
      <c r="B53" s="2">
        <v>-1980.52</v>
      </c>
      <c r="C53" s="2">
        <v>-2041.63</v>
      </c>
      <c r="D53" s="2">
        <v>-2041.63</v>
      </c>
      <c r="E53" s="2">
        <v>-2783.2799999999997</v>
      </c>
      <c r="F53" s="2">
        <v>-3957.59</v>
      </c>
      <c r="G53" s="2">
        <v>-3219.5</v>
      </c>
      <c r="H53" s="2">
        <v>-2923.83</v>
      </c>
      <c r="I53" s="2">
        <v>-2392.46</v>
      </c>
      <c r="J53" s="2">
        <v>-2885.94</v>
      </c>
      <c r="K53" s="2">
        <v>-3107.19</v>
      </c>
      <c r="L53" s="2">
        <v>-3959.05</v>
      </c>
      <c r="M53" s="2">
        <v>-31292.62</v>
      </c>
    </row>
    <row r="54" spans="1:13" x14ac:dyDescent="0.25">
      <c r="A54" s="6" t="s">
        <v>198</v>
      </c>
      <c r="B54" s="2">
        <v>-6326.28</v>
      </c>
      <c r="C54" s="2">
        <v>-6913.8899999999994</v>
      </c>
      <c r="D54" s="2">
        <v>-7213.8899999999994</v>
      </c>
      <c r="E54" s="2">
        <v>-11553.19</v>
      </c>
      <c r="F54" s="2">
        <v>-8211.57</v>
      </c>
      <c r="G54" s="2">
        <v>-11561.210000000001</v>
      </c>
      <c r="H54" s="2">
        <v>-10439.369999999999</v>
      </c>
      <c r="I54" s="2">
        <v>-11463.039999999999</v>
      </c>
      <c r="J54" s="2">
        <v>-15704.4</v>
      </c>
      <c r="K54" s="2">
        <v>-19246.02</v>
      </c>
      <c r="L54" s="2">
        <v>-21870.579999999998</v>
      </c>
      <c r="M54" s="2">
        <v>-130503.43999999999</v>
      </c>
    </row>
    <row r="55" spans="1:13" x14ac:dyDescent="0.25">
      <c r="A55" s="4" t="s">
        <v>626</v>
      </c>
      <c r="B55" s="2"/>
      <c r="C55" s="2"/>
      <c r="D55" s="2"/>
      <c r="E55" s="2"/>
      <c r="F55" s="2">
        <v>65.19</v>
      </c>
      <c r="G55" s="2">
        <v>308.25</v>
      </c>
      <c r="H55" s="2">
        <v>-255.7</v>
      </c>
      <c r="I55" s="2">
        <v>-108.62</v>
      </c>
      <c r="J55" s="2">
        <v>-139.04</v>
      </c>
      <c r="K55" s="2">
        <v>-34.799999999999997</v>
      </c>
      <c r="L55" s="2"/>
      <c r="M55" s="2">
        <v>-164.71999999999997</v>
      </c>
    </row>
    <row r="56" spans="1:13" x14ac:dyDescent="0.25">
      <c r="A56" s="6" t="s">
        <v>626</v>
      </c>
      <c r="B56" s="2"/>
      <c r="C56" s="2"/>
      <c r="D56" s="2"/>
      <c r="E56" s="2"/>
      <c r="F56" s="2">
        <v>65.19</v>
      </c>
      <c r="G56" s="2">
        <v>308.25</v>
      </c>
      <c r="H56" s="2">
        <v>-255.7</v>
      </c>
      <c r="I56" s="2">
        <v>-108.62</v>
      </c>
      <c r="J56" s="2">
        <v>-139.04</v>
      </c>
      <c r="K56" s="2">
        <v>-34.799999999999997</v>
      </c>
      <c r="L56" s="2"/>
      <c r="M56" s="2">
        <v>-164.71999999999997</v>
      </c>
    </row>
    <row r="57" spans="1:13" x14ac:dyDescent="0.25">
      <c r="A57" s="4" t="s">
        <v>1175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>
        <v>0</v>
      </c>
      <c r="M57" s="2">
        <v>0</v>
      </c>
    </row>
    <row r="58" spans="1:13" x14ac:dyDescent="0.25">
      <c r="A58" s="6" t="s">
        <v>1175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>
        <v>0</v>
      </c>
      <c r="M58" s="2">
        <v>0</v>
      </c>
    </row>
    <row r="59" spans="1:13" x14ac:dyDescent="0.25">
      <c r="A59" s="4" t="s">
        <v>418</v>
      </c>
      <c r="B59" s="2"/>
      <c r="C59" s="2">
        <v>-2052.5699999999997</v>
      </c>
      <c r="D59" s="2">
        <v>-15000</v>
      </c>
      <c r="E59" s="2">
        <v>-50.8</v>
      </c>
      <c r="F59" s="2">
        <v>-6406.32</v>
      </c>
      <c r="G59" s="2">
        <v>-147</v>
      </c>
      <c r="H59" s="2">
        <v>-223.9</v>
      </c>
      <c r="I59" s="2">
        <v>-877.7</v>
      </c>
      <c r="J59" s="2"/>
      <c r="K59" s="2">
        <v>-50.5</v>
      </c>
      <c r="L59" s="2"/>
      <c r="M59" s="2">
        <v>-24808.79</v>
      </c>
    </row>
    <row r="60" spans="1:13" x14ac:dyDescent="0.25">
      <c r="A60" s="6" t="s">
        <v>308</v>
      </c>
      <c r="B60" s="2"/>
      <c r="C60" s="2">
        <v>-2052.5699999999997</v>
      </c>
      <c r="D60" s="2">
        <v>-15000</v>
      </c>
      <c r="E60" s="2">
        <v>-50.8</v>
      </c>
      <c r="F60" s="2">
        <v>-6406.32</v>
      </c>
      <c r="G60" s="2">
        <v>-147</v>
      </c>
      <c r="H60" s="2">
        <v>-223.9</v>
      </c>
      <c r="I60" s="2">
        <v>-877.7</v>
      </c>
      <c r="J60" s="2"/>
      <c r="K60" s="2">
        <v>-50.5</v>
      </c>
      <c r="L60" s="2"/>
      <c r="M60" s="2">
        <v>-24808.79</v>
      </c>
    </row>
    <row r="61" spans="1:13" x14ac:dyDescent="0.25">
      <c r="A61" s="4" t="s">
        <v>815</v>
      </c>
      <c r="B61" s="2"/>
      <c r="C61" s="2"/>
      <c r="D61" s="2"/>
      <c r="E61" s="2"/>
      <c r="F61" s="2"/>
      <c r="G61" s="2"/>
      <c r="H61" s="2"/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5">
      <c r="A62" s="6" t="s">
        <v>815</v>
      </c>
      <c r="B62" s="2"/>
      <c r="C62" s="2"/>
      <c r="D62" s="2"/>
      <c r="E62" s="2"/>
      <c r="F62" s="2"/>
      <c r="G62" s="2"/>
      <c r="H62" s="2"/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5">
      <c r="A63" s="4" t="s">
        <v>280</v>
      </c>
      <c r="B63" s="2">
        <v>-3049.39</v>
      </c>
      <c r="C63" s="2">
        <v>-28408.15</v>
      </c>
      <c r="D63" s="2">
        <v>-30700.54</v>
      </c>
      <c r="E63" s="2">
        <v>-63982.02</v>
      </c>
      <c r="F63" s="2">
        <v>-29688.480000000003</v>
      </c>
      <c r="G63" s="2">
        <v>-34459.93</v>
      </c>
      <c r="H63" s="2">
        <v>-8138.98</v>
      </c>
      <c r="I63" s="2">
        <v>-16422.59</v>
      </c>
      <c r="J63" s="2">
        <v>-330699.2</v>
      </c>
      <c r="K63" s="2">
        <v>-113344.31</v>
      </c>
      <c r="L63" s="2">
        <v>-45256.2</v>
      </c>
      <c r="M63" s="2">
        <v>-704149.79</v>
      </c>
    </row>
    <row r="64" spans="1:13" x14ac:dyDescent="0.25">
      <c r="A64" s="6" t="s">
        <v>152</v>
      </c>
      <c r="B64" s="2">
        <v>-3049.39</v>
      </c>
      <c r="C64" s="2">
        <v>-6435.84</v>
      </c>
      <c r="D64" s="2">
        <v>-1722.45</v>
      </c>
      <c r="E64" s="2">
        <v>-7878.75</v>
      </c>
      <c r="F64" s="2">
        <v>-8811.99</v>
      </c>
      <c r="G64" s="2">
        <v>-16067.33</v>
      </c>
      <c r="H64" s="2">
        <v>-788.63</v>
      </c>
      <c r="I64" s="2">
        <v>-1414.05</v>
      </c>
      <c r="J64" s="2">
        <v>-2836.64</v>
      </c>
      <c r="K64" s="2">
        <v>-61350.26</v>
      </c>
      <c r="L64" s="2">
        <v>-13727.09</v>
      </c>
      <c r="M64" s="2">
        <v>-124082.42</v>
      </c>
    </row>
    <row r="65" spans="1:13" x14ac:dyDescent="0.25">
      <c r="A65" s="6" t="s">
        <v>300</v>
      </c>
      <c r="B65" s="2"/>
      <c r="C65" s="2">
        <v>-21972.31</v>
      </c>
      <c r="D65" s="2">
        <v>-28978.09</v>
      </c>
      <c r="E65" s="2">
        <v>-56103.27</v>
      </c>
      <c r="F65" s="2">
        <v>-20876.490000000002</v>
      </c>
      <c r="G65" s="2">
        <v>-18392.600000000002</v>
      </c>
      <c r="H65" s="2">
        <v>-7350.3499999999995</v>
      </c>
      <c r="I65" s="2">
        <v>-15008.54</v>
      </c>
      <c r="J65" s="2">
        <v>-327862.56</v>
      </c>
      <c r="K65" s="2">
        <v>-51994.05</v>
      </c>
      <c r="L65" s="2">
        <v>-31529.11</v>
      </c>
      <c r="M65" s="2">
        <v>-580067.37</v>
      </c>
    </row>
    <row r="66" spans="1:13" x14ac:dyDescent="0.25">
      <c r="A66" s="4" t="s">
        <v>212</v>
      </c>
      <c r="B66" s="2">
        <v>24173.280000000035</v>
      </c>
      <c r="C66" s="2">
        <v>-28616.599999999995</v>
      </c>
      <c r="D66" s="2">
        <v>5229.0400000000045</v>
      </c>
      <c r="E66" s="2">
        <v>2490.7199999999939</v>
      </c>
      <c r="F66" s="2">
        <v>83492.140000000014</v>
      </c>
      <c r="G66" s="2">
        <v>-56533.319999999992</v>
      </c>
      <c r="H66" s="2">
        <v>2854.1200000000217</v>
      </c>
      <c r="I66" s="2">
        <v>102869.09000000003</v>
      </c>
      <c r="J66" s="2">
        <v>212449.26999999973</v>
      </c>
      <c r="K66" s="2">
        <v>-40295.54</v>
      </c>
      <c r="L66" s="2">
        <v>-3089.3000000000138</v>
      </c>
      <c r="M66" s="2">
        <v>305022.89999999932</v>
      </c>
    </row>
  </sheetData>
  <autoFilter ref="R4:V4" xr:uid="{3E61BF6E-2C84-4C04-ACBC-F43894A88FDE}">
    <sortState xmlns:xlrd2="http://schemas.microsoft.com/office/spreadsheetml/2017/richdata2" ref="R5:V11">
      <sortCondition descending="1" ref="V4"/>
    </sortState>
  </autoFilter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8E2F-2E0A-45B4-B571-4C06C4A7460E}">
  <dimension ref="A1:AB66"/>
  <sheetViews>
    <sheetView tabSelected="1" zoomScale="70" zoomScaleNormal="70" workbookViewId="0"/>
  </sheetViews>
  <sheetFormatPr defaultRowHeight="15.75" x14ac:dyDescent="0.25"/>
  <cols>
    <col min="1" max="1" width="44.375" bestFit="1" customWidth="1"/>
    <col min="2" max="2" width="17.625" bestFit="1" customWidth="1"/>
    <col min="3" max="5" width="10.25" bestFit="1" customWidth="1"/>
    <col min="6" max="7" width="10.875" bestFit="1" customWidth="1"/>
    <col min="8" max="9" width="10.25" bestFit="1" customWidth="1"/>
    <col min="10" max="10" width="10.875" bestFit="1" customWidth="1"/>
    <col min="11" max="12" width="11.375" bestFit="1" customWidth="1"/>
    <col min="13" max="13" width="10.875" bestFit="1" customWidth="1"/>
    <col min="14" max="14" width="12.5" bestFit="1" customWidth="1"/>
    <col min="22" max="22" width="16.5" bestFit="1" customWidth="1"/>
    <col min="23" max="25" width="9.5" bestFit="1" customWidth="1"/>
    <col min="26" max="26" width="9.875" bestFit="1" customWidth="1"/>
  </cols>
  <sheetData>
    <row r="1" spans="1:28" x14ac:dyDescent="0.25">
      <c r="A1" s="3" t="s">
        <v>12</v>
      </c>
      <c r="B1" t="s">
        <v>214</v>
      </c>
      <c r="W1">
        <v>-1</v>
      </c>
    </row>
    <row r="2" spans="1:28" x14ac:dyDescent="0.25">
      <c r="R2" t="s">
        <v>83</v>
      </c>
      <c r="S2" s="2">
        <v>3876.67</v>
      </c>
    </row>
    <row r="3" spans="1:28" x14ac:dyDescent="0.25">
      <c r="A3" s="3" t="s">
        <v>213</v>
      </c>
      <c r="B3" s="3" t="s">
        <v>283</v>
      </c>
      <c r="R3" t="s">
        <v>210</v>
      </c>
      <c r="S3" s="2">
        <v>4700.28</v>
      </c>
    </row>
    <row r="4" spans="1:28" x14ac:dyDescent="0.25">
      <c r="B4" t="s">
        <v>281</v>
      </c>
      <c r="C4" t="s">
        <v>282</v>
      </c>
      <c r="N4" t="s">
        <v>212</v>
      </c>
      <c r="V4" s="8" t="s">
        <v>211</v>
      </c>
      <c r="W4" s="8" t="s">
        <v>1146</v>
      </c>
      <c r="X4" s="8" t="s">
        <v>1147</v>
      </c>
      <c r="Y4" s="8" t="s">
        <v>1148</v>
      </c>
      <c r="Z4" s="9" t="s">
        <v>423</v>
      </c>
    </row>
    <row r="5" spans="1:28" x14ac:dyDescent="0.25">
      <c r="A5" s="3" t="s">
        <v>211</v>
      </c>
      <c r="B5" t="s">
        <v>422</v>
      </c>
      <c r="C5" t="s">
        <v>419</v>
      </c>
      <c r="D5" t="s">
        <v>420</v>
      </c>
      <c r="E5" t="s">
        <v>421</v>
      </c>
      <c r="F5" t="s">
        <v>566</v>
      </c>
      <c r="G5" t="s">
        <v>647</v>
      </c>
      <c r="H5" t="s">
        <v>714</v>
      </c>
      <c r="I5" t="s">
        <v>791</v>
      </c>
      <c r="J5" t="s">
        <v>896</v>
      </c>
      <c r="K5" t="s">
        <v>1021</v>
      </c>
      <c r="L5" t="s">
        <v>1145</v>
      </c>
      <c r="M5" t="s">
        <v>1243</v>
      </c>
      <c r="V5" t="s">
        <v>1149</v>
      </c>
      <c r="W5" s="11">
        <v>15704.4</v>
      </c>
      <c r="X5" s="11">
        <v>19246.02</v>
      </c>
      <c r="Y5" s="11">
        <v>21870.579999999998</v>
      </c>
      <c r="Z5" s="12">
        <f t="shared" ref="Z5:Z11" si="0">SUM(W5:Y5)</f>
        <v>56821</v>
      </c>
      <c r="AB5" s="11">
        <v>-1</v>
      </c>
    </row>
    <row r="6" spans="1:28" x14ac:dyDescent="0.25">
      <c r="A6" s="4" t="s">
        <v>274</v>
      </c>
      <c r="B6" s="2">
        <v>-13352.839999999998</v>
      </c>
      <c r="C6" s="2">
        <v>-12371.08</v>
      </c>
      <c r="D6" s="2">
        <v>-13457.219999999998</v>
      </c>
      <c r="E6" s="2">
        <v>-11010.55</v>
      </c>
      <c r="F6" s="2">
        <v>-13698.82</v>
      </c>
      <c r="G6" s="2">
        <v>-11212.070000000002</v>
      </c>
      <c r="H6" s="2">
        <v>-11482.699999999999</v>
      </c>
      <c r="I6" s="2">
        <v>-13933.1</v>
      </c>
      <c r="J6" s="2">
        <v>-22331.399999999998</v>
      </c>
      <c r="K6" s="2">
        <v>-23321.120000000003</v>
      </c>
      <c r="L6" s="2">
        <v>-19409.239999999998</v>
      </c>
      <c r="M6" s="2">
        <v>-13209.84</v>
      </c>
      <c r="N6" s="2">
        <v>-178789.97999999995</v>
      </c>
      <c r="V6" t="s">
        <v>165</v>
      </c>
      <c r="W6" s="11">
        <v>2885.94</v>
      </c>
      <c r="X6" s="11">
        <v>3107.19</v>
      </c>
      <c r="Y6" s="11">
        <v>3959.05</v>
      </c>
      <c r="Z6" s="12">
        <f t="shared" si="0"/>
        <v>9952.18</v>
      </c>
    </row>
    <row r="7" spans="1:28" x14ac:dyDescent="0.25">
      <c r="A7" s="6" t="s">
        <v>96</v>
      </c>
      <c r="B7" s="2">
        <v>-2977.01</v>
      </c>
      <c r="C7" s="2">
        <v>-2967.49</v>
      </c>
      <c r="D7" s="2">
        <v>-3015.68</v>
      </c>
      <c r="E7" s="2">
        <v>-2742.25</v>
      </c>
      <c r="F7" s="2">
        <v>-2805.1299999999992</v>
      </c>
      <c r="G7" s="2">
        <v>-3095.5099999999998</v>
      </c>
      <c r="H7" s="2">
        <v>-2914.4599999999996</v>
      </c>
      <c r="I7" s="2">
        <v>-3202.6899999999996</v>
      </c>
      <c r="J7" s="2">
        <v>-3225.46</v>
      </c>
      <c r="K7" s="2">
        <v>-2819.3199999999997</v>
      </c>
      <c r="L7" s="2">
        <v>-2777.5299999999993</v>
      </c>
      <c r="M7" s="2">
        <v>-2892.0200000000004</v>
      </c>
      <c r="N7" s="2">
        <v>-35434.549999999996</v>
      </c>
      <c r="V7" t="s">
        <v>1150</v>
      </c>
      <c r="W7" s="11">
        <v>1660</v>
      </c>
      <c r="X7" s="11">
        <v>1450</v>
      </c>
      <c r="Y7" s="11">
        <v>1400</v>
      </c>
      <c r="Z7" s="12">
        <f t="shared" si="0"/>
        <v>4510</v>
      </c>
    </row>
    <row r="8" spans="1:28" x14ac:dyDescent="0.25">
      <c r="A8" s="6" t="s">
        <v>149</v>
      </c>
      <c r="B8" s="2">
        <v>-1083</v>
      </c>
      <c r="C8" s="2">
        <v>-394.32</v>
      </c>
      <c r="D8" s="2">
        <v>-70</v>
      </c>
      <c r="E8" s="2">
        <v>-26.8</v>
      </c>
      <c r="F8" s="2">
        <v>-280</v>
      </c>
      <c r="G8" s="2"/>
      <c r="H8" s="2">
        <v>-711.68000000000006</v>
      </c>
      <c r="I8" s="2">
        <v>-3473.64</v>
      </c>
      <c r="J8" s="2">
        <v>-7500</v>
      </c>
      <c r="K8" s="2">
        <v>-11474.48</v>
      </c>
      <c r="L8" s="2">
        <v>-5053.0599999999995</v>
      </c>
      <c r="M8" s="2">
        <v>-177.97</v>
      </c>
      <c r="N8" s="2">
        <v>-30244.949999999997</v>
      </c>
      <c r="V8" t="s">
        <v>1151</v>
      </c>
      <c r="W8" s="11">
        <v>0</v>
      </c>
      <c r="X8" s="11">
        <v>2699.9</v>
      </c>
      <c r="Y8" s="11">
        <v>1334</v>
      </c>
      <c r="Z8" s="12">
        <f t="shared" si="0"/>
        <v>4033.9</v>
      </c>
    </row>
    <row r="9" spans="1:28" x14ac:dyDescent="0.25">
      <c r="A9" s="6" t="s">
        <v>52</v>
      </c>
      <c r="B9" s="2">
        <v>-2824</v>
      </c>
      <c r="C9" s="2">
        <v>-1412</v>
      </c>
      <c r="D9" s="2">
        <v>-1518</v>
      </c>
      <c r="E9" s="2">
        <v>-1518</v>
      </c>
      <c r="F9" s="2">
        <v>-1518</v>
      </c>
      <c r="G9" s="2">
        <v>-1668</v>
      </c>
      <c r="H9" s="2">
        <v>-1518</v>
      </c>
      <c r="I9" s="2">
        <v>-1518</v>
      </c>
      <c r="J9" s="2">
        <v>-1518</v>
      </c>
      <c r="K9" s="2">
        <v>-1518</v>
      </c>
      <c r="L9" s="2">
        <v>-2277</v>
      </c>
      <c r="M9" s="2">
        <v>-1518</v>
      </c>
      <c r="N9" s="2">
        <v>-20325</v>
      </c>
      <c r="V9" t="s">
        <v>158</v>
      </c>
      <c r="W9" s="11">
        <v>789.17</v>
      </c>
      <c r="X9" s="11">
        <v>858.17</v>
      </c>
      <c r="Y9" s="11">
        <v>997.52</v>
      </c>
      <c r="Z9" s="12">
        <f t="shared" si="0"/>
        <v>2644.8599999999997</v>
      </c>
    </row>
    <row r="10" spans="1:28" x14ac:dyDescent="0.25">
      <c r="A10" s="6" t="s">
        <v>30</v>
      </c>
      <c r="B10" s="2">
        <v>-607.29999999999995</v>
      </c>
      <c r="C10" s="2">
        <v>-1988.9399999999998</v>
      </c>
      <c r="D10" s="2">
        <v>-1988.9400000000003</v>
      </c>
      <c r="E10" s="2">
        <v>-1599.8300000000002</v>
      </c>
      <c r="F10" s="2">
        <v>-1341.74</v>
      </c>
      <c r="G10" s="2">
        <v>-1355.74</v>
      </c>
      <c r="H10" s="2">
        <v>-1149.79</v>
      </c>
      <c r="I10" s="2">
        <v>-1274.0400000000002</v>
      </c>
      <c r="J10" s="2">
        <v>-1925.82</v>
      </c>
      <c r="K10" s="2">
        <v>-1426.29</v>
      </c>
      <c r="L10" s="2">
        <v>-1172.26</v>
      </c>
      <c r="M10" s="2">
        <v>-1411.13</v>
      </c>
      <c r="N10" s="2">
        <v>-17241.82</v>
      </c>
      <c r="V10" t="s">
        <v>1152</v>
      </c>
      <c r="W10" s="11">
        <v>778.2</v>
      </c>
      <c r="X10" s="11">
        <v>485.9</v>
      </c>
      <c r="Y10" s="11">
        <v>288.89999999999998</v>
      </c>
      <c r="Z10" s="12">
        <f t="shared" si="0"/>
        <v>1553</v>
      </c>
    </row>
    <row r="11" spans="1:28" x14ac:dyDescent="0.25">
      <c r="A11" s="6" t="s">
        <v>99</v>
      </c>
      <c r="B11" s="2">
        <v>-1020</v>
      </c>
      <c r="C11" s="2">
        <v>-1530</v>
      </c>
      <c r="D11" s="2">
        <v>-1360</v>
      </c>
      <c r="E11" s="2">
        <v>-1190</v>
      </c>
      <c r="F11" s="2">
        <v>-1190</v>
      </c>
      <c r="G11" s="2">
        <v>-1700</v>
      </c>
      <c r="H11" s="2">
        <v>-1190</v>
      </c>
      <c r="I11" s="2">
        <v>-1360</v>
      </c>
      <c r="J11" s="2">
        <v>-1840</v>
      </c>
      <c r="K11" s="2">
        <v>-1240</v>
      </c>
      <c r="L11" s="2">
        <v>-1700</v>
      </c>
      <c r="M11" s="2">
        <v>-1190</v>
      </c>
      <c r="N11" s="2">
        <v>-16510</v>
      </c>
      <c r="V11" t="s">
        <v>1153</v>
      </c>
      <c r="W11" s="11">
        <v>106.73</v>
      </c>
      <c r="X11" s="11">
        <v>106.73</v>
      </c>
      <c r="Y11" s="11">
        <v>0</v>
      </c>
      <c r="Z11" s="12">
        <f t="shared" si="0"/>
        <v>213.46</v>
      </c>
    </row>
    <row r="12" spans="1:28" x14ac:dyDescent="0.25">
      <c r="A12" s="6" t="s">
        <v>28</v>
      </c>
      <c r="B12" s="2">
        <v>-67.64</v>
      </c>
      <c r="C12" s="2">
        <v>-2357.6499999999996</v>
      </c>
      <c r="D12" s="2">
        <v>-807.18000000000006</v>
      </c>
      <c r="E12" s="2">
        <v>-1336.1000000000001</v>
      </c>
      <c r="F12" s="2">
        <v>-1496.7499999999998</v>
      </c>
      <c r="G12" s="2">
        <v>-1089.75</v>
      </c>
      <c r="H12" s="2">
        <v>-588.32999999999993</v>
      </c>
      <c r="I12" s="2">
        <v>-1072.21</v>
      </c>
      <c r="J12" s="2">
        <v>-725.09</v>
      </c>
      <c r="K12" s="2">
        <v>-928.32</v>
      </c>
      <c r="L12" s="2">
        <v>-321.56000000000006</v>
      </c>
      <c r="M12" s="2">
        <v>-1075.0899999999999</v>
      </c>
      <c r="N12" s="2">
        <v>-11865.67</v>
      </c>
      <c r="W12" s="11"/>
      <c r="X12" s="11"/>
      <c r="Y12" s="11"/>
      <c r="Z12" s="12"/>
    </row>
    <row r="13" spans="1:28" x14ac:dyDescent="0.25">
      <c r="A13" s="6" t="s">
        <v>191</v>
      </c>
      <c r="B13" s="2">
        <v>-1168.73</v>
      </c>
      <c r="C13" s="2">
        <v>-720.51</v>
      </c>
      <c r="D13" s="2">
        <v>-1060.24</v>
      </c>
      <c r="E13" s="2">
        <v>-1007.97</v>
      </c>
      <c r="F13" s="2">
        <v>-1181.42</v>
      </c>
      <c r="G13" s="2">
        <v>-922.85</v>
      </c>
      <c r="H13" s="2">
        <v>-846.82999999999993</v>
      </c>
      <c r="I13" s="2">
        <v>-662.83999999999992</v>
      </c>
      <c r="J13" s="2">
        <v>-682.81999999999994</v>
      </c>
      <c r="K13" s="2">
        <v>-882.34</v>
      </c>
      <c r="L13" s="2">
        <v>-1303.51</v>
      </c>
      <c r="M13" s="2">
        <v>-1007.97</v>
      </c>
      <c r="N13" s="2">
        <v>-11448.03</v>
      </c>
      <c r="W13" s="11"/>
      <c r="X13" s="11"/>
      <c r="Y13" s="11"/>
      <c r="Z13" s="12"/>
    </row>
    <row r="14" spans="1:28" x14ac:dyDescent="0.25">
      <c r="A14" s="6" t="s">
        <v>89</v>
      </c>
      <c r="B14" s="2"/>
      <c r="C14" s="2">
        <v>-410.82000000000005</v>
      </c>
      <c r="D14" s="2">
        <v>-964.39</v>
      </c>
      <c r="E14" s="2">
        <v>-65.14</v>
      </c>
      <c r="F14" s="2">
        <v>-613.37</v>
      </c>
      <c r="G14" s="2">
        <v>-206.5</v>
      </c>
      <c r="H14" s="2">
        <v>-1069.93</v>
      </c>
      <c r="I14" s="2">
        <v>-280.52999999999997</v>
      </c>
      <c r="J14" s="2">
        <v>-1823.2099999999998</v>
      </c>
      <c r="K14" s="2">
        <v>-300</v>
      </c>
      <c r="L14" s="2">
        <v>-1481.76</v>
      </c>
      <c r="M14" s="2">
        <v>-1009.88</v>
      </c>
      <c r="N14" s="2">
        <v>-8225.5300000000007</v>
      </c>
      <c r="W14" s="11"/>
      <c r="X14" s="11"/>
      <c r="Y14" s="11"/>
      <c r="Z14" s="12"/>
    </row>
    <row r="15" spans="1:28" x14ac:dyDescent="0.25">
      <c r="A15" s="6" t="s">
        <v>113</v>
      </c>
      <c r="B15" s="2">
        <v>-501.94</v>
      </c>
      <c r="C15" s="2">
        <v>-498.21</v>
      </c>
      <c r="D15" s="2">
        <v>-501.94</v>
      </c>
      <c r="E15" s="2">
        <v>-501.94000000000005</v>
      </c>
      <c r="F15" s="2">
        <v>-508.94000000000005</v>
      </c>
      <c r="G15" s="2">
        <v>-523.72</v>
      </c>
      <c r="H15" s="2">
        <v>-399.27</v>
      </c>
      <c r="I15" s="2">
        <v>-630.81000000000006</v>
      </c>
      <c r="J15" s="2">
        <v>-528.48</v>
      </c>
      <c r="K15" s="2">
        <v>-486.89</v>
      </c>
      <c r="L15" s="2">
        <v>-397.95</v>
      </c>
      <c r="M15" s="2">
        <v>-397.95</v>
      </c>
      <c r="N15" s="2">
        <v>-5878.04</v>
      </c>
      <c r="W15" s="11"/>
      <c r="X15" s="11"/>
      <c r="Y15" s="11"/>
      <c r="Z15" s="12"/>
    </row>
    <row r="16" spans="1:28" x14ac:dyDescent="0.25">
      <c r="A16" s="6" t="s">
        <v>15</v>
      </c>
      <c r="B16" s="2">
        <v>-2936.92</v>
      </c>
      <c r="C16" s="2"/>
      <c r="D16" s="2">
        <v>0</v>
      </c>
      <c r="E16" s="2">
        <v>0</v>
      </c>
      <c r="F16" s="2">
        <v>0</v>
      </c>
      <c r="G16" s="2">
        <v>0</v>
      </c>
      <c r="H16" s="2">
        <v>-224.99</v>
      </c>
      <c r="I16" s="2">
        <v>-224.10999999999979</v>
      </c>
      <c r="J16" s="2">
        <v>-618.99</v>
      </c>
      <c r="K16" s="2">
        <v>-224.99000000000024</v>
      </c>
      <c r="L16" s="2">
        <v>-224.98999999999978</v>
      </c>
      <c r="M16" s="2">
        <v>-224.98999999999978</v>
      </c>
      <c r="N16" s="2">
        <v>-4679.9799999999996</v>
      </c>
      <c r="W16" s="11"/>
      <c r="X16" s="11"/>
      <c r="Y16" s="11"/>
      <c r="Z16" s="12"/>
    </row>
    <row r="17" spans="1:26" x14ac:dyDescent="0.25">
      <c r="A17" s="6" t="s">
        <v>508</v>
      </c>
      <c r="B17" s="2"/>
      <c r="C17" s="2"/>
      <c r="D17" s="2"/>
      <c r="E17" s="2"/>
      <c r="F17" s="2">
        <v>-2000</v>
      </c>
      <c r="G17" s="2"/>
      <c r="H17" s="2">
        <v>-59.9</v>
      </c>
      <c r="I17" s="2"/>
      <c r="J17" s="2">
        <v>-300.05</v>
      </c>
      <c r="K17" s="2">
        <v>-999.17000000000007</v>
      </c>
      <c r="L17" s="2">
        <v>-418.35</v>
      </c>
      <c r="M17" s="2">
        <v>-300.05</v>
      </c>
      <c r="N17" s="2">
        <v>-4077.5200000000004</v>
      </c>
      <c r="W17" s="11"/>
      <c r="X17" s="11"/>
      <c r="Y17" s="11"/>
      <c r="Z17" s="12"/>
    </row>
    <row r="18" spans="1:26" x14ac:dyDescent="0.25">
      <c r="A18" s="6" t="s">
        <v>302</v>
      </c>
      <c r="B18" s="2"/>
      <c r="C18" s="2"/>
      <c r="D18" s="2">
        <v>-1581.97</v>
      </c>
      <c r="E18" s="2">
        <v>-339.22</v>
      </c>
      <c r="F18" s="2">
        <v>-339.22</v>
      </c>
      <c r="G18" s="2">
        <v>-339.27</v>
      </c>
      <c r="H18" s="2">
        <v>-339.27</v>
      </c>
      <c r="I18" s="2">
        <v>-125.52</v>
      </c>
      <c r="J18" s="2">
        <v>-125.57</v>
      </c>
      <c r="K18" s="2">
        <v>-125.57</v>
      </c>
      <c r="L18" s="2">
        <v>-125.52</v>
      </c>
      <c r="M18" s="2">
        <v>-125.52</v>
      </c>
      <c r="N18" s="2">
        <v>-3566.65</v>
      </c>
      <c r="W18" s="11"/>
      <c r="X18" s="11"/>
      <c r="Y18" s="11"/>
      <c r="Z18" s="12"/>
    </row>
    <row r="19" spans="1:26" x14ac:dyDescent="0.25">
      <c r="A19" s="6" t="s">
        <v>103</v>
      </c>
      <c r="B19" s="2">
        <v>-60</v>
      </c>
      <c r="C19" s="2">
        <v>-30</v>
      </c>
      <c r="D19" s="2">
        <v>-460</v>
      </c>
      <c r="E19" s="2">
        <v>-577</v>
      </c>
      <c r="F19" s="2">
        <v>-290</v>
      </c>
      <c r="G19" s="2">
        <v>-200</v>
      </c>
      <c r="H19" s="2">
        <v>-310</v>
      </c>
      <c r="I19" s="2"/>
      <c r="J19" s="2">
        <v>-280</v>
      </c>
      <c r="K19" s="2">
        <v>-240</v>
      </c>
      <c r="L19" s="2"/>
      <c r="M19" s="2"/>
      <c r="N19" s="2">
        <v>-2447</v>
      </c>
    </row>
    <row r="20" spans="1:26" x14ac:dyDescent="0.25">
      <c r="A20" s="6" t="s">
        <v>1045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>
        <v>-1500</v>
      </c>
      <c r="M20" s="2">
        <v>-700</v>
      </c>
      <c r="N20" s="2">
        <v>-2200</v>
      </c>
    </row>
    <row r="21" spans="1:26" x14ac:dyDescent="0.25">
      <c r="A21" s="6" t="s">
        <v>998</v>
      </c>
      <c r="B21" s="2"/>
      <c r="C21" s="2"/>
      <c r="D21" s="2"/>
      <c r="E21" s="2"/>
      <c r="F21" s="2"/>
      <c r="G21" s="2"/>
      <c r="H21" s="2"/>
      <c r="I21" s="2"/>
      <c r="J21" s="2"/>
      <c r="K21" s="2">
        <v>-500</v>
      </c>
      <c r="L21" s="2">
        <v>-500</v>
      </c>
      <c r="M21" s="2">
        <v>-1000</v>
      </c>
      <c r="N21" s="2">
        <v>-2000</v>
      </c>
    </row>
    <row r="22" spans="1:26" x14ac:dyDescent="0.25">
      <c r="A22" s="6" t="s">
        <v>154</v>
      </c>
      <c r="B22" s="2">
        <v>-106.3</v>
      </c>
      <c r="C22" s="2">
        <v>-61.14</v>
      </c>
      <c r="D22" s="2">
        <v>-128.88</v>
      </c>
      <c r="E22" s="2">
        <v>-106.3</v>
      </c>
      <c r="F22" s="2">
        <v>-134.25</v>
      </c>
      <c r="G22" s="2">
        <v>-110.73</v>
      </c>
      <c r="H22" s="2">
        <v>-134.25</v>
      </c>
      <c r="I22" s="2">
        <v>-108.71</v>
      </c>
      <c r="J22" s="2">
        <v>-132.22999999999999</v>
      </c>
      <c r="K22" s="2">
        <v>-155.75</v>
      </c>
      <c r="L22" s="2">
        <v>-155.75</v>
      </c>
      <c r="M22" s="2">
        <v>-179.27</v>
      </c>
      <c r="N22" s="2">
        <v>-1513.56</v>
      </c>
    </row>
    <row r="23" spans="1:26" x14ac:dyDescent="0.25">
      <c r="A23" s="6" t="s">
        <v>849</v>
      </c>
      <c r="B23" s="2"/>
      <c r="C23" s="2"/>
      <c r="D23" s="2"/>
      <c r="E23" s="2"/>
      <c r="F23" s="2"/>
      <c r="G23" s="2"/>
      <c r="H23" s="2"/>
      <c r="I23" s="2"/>
      <c r="J23" s="2">
        <v>-1105.68</v>
      </c>
      <c r="K23" s="2"/>
      <c r="L23" s="2"/>
      <c r="M23" s="2"/>
      <c r="N23" s="2">
        <v>-1105.68</v>
      </c>
    </row>
    <row r="24" spans="1:26" x14ac:dyDescent="0.25">
      <c r="A24" s="6" t="s">
        <v>660</v>
      </c>
      <c r="B24" s="2"/>
      <c r="C24" s="2"/>
      <c r="D24" s="2"/>
      <c r="E24" s="2"/>
      <c r="F24" s="2"/>
      <c r="G24" s="2"/>
      <c r="H24" s="2">
        <v>-26</v>
      </c>
      <c r="I24" s="2"/>
      <c r="J24" s="2"/>
      <c r="K24" s="2"/>
      <c r="L24" s="2"/>
      <c r="M24" s="2"/>
      <c r="N24" s="2">
        <v>-26</v>
      </c>
    </row>
    <row r="25" spans="1:26" x14ac:dyDescent="0.25">
      <c r="A25" s="4" t="s">
        <v>275</v>
      </c>
      <c r="B25" s="2">
        <v>-201.12</v>
      </c>
      <c r="C25" s="2">
        <v>-226.7</v>
      </c>
      <c r="D25" s="2">
        <v>-1508</v>
      </c>
      <c r="E25" s="2">
        <v>-423.4</v>
      </c>
      <c r="F25" s="2">
        <v>-6497.4900000000007</v>
      </c>
      <c r="G25" s="2">
        <v>-1391.33</v>
      </c>
      <c r="H25" s="2">
        <v>-875.11</v>
      </c>
      <c r="I25" s="2">
        <v>-410.36</v>
      </c>
      <c r="J25" s="2">
        <v>-1427.5900000000001</v>
      </c>
      <c r="K25" s="2">
        <v>-1152.71</v>
      </c>
      <c r="L25" s="2">
        <v>-3637.51</v>
      </c>
      <c r="M25" s="2">
        <v>-9503.67</v>
      </c>
      <c r="N25" s="2">
        <v>-27254.99</v>
      </c>
    </row>
    <row r="26" spans="1:26" x14ac:dyDescent="0.25">
      <c r="A26" s="6" t="s">
        <v>162</v>
      </c>
      <c r="B26" s="2"/>
      <c r="C26" s="2">
        <v>-100</v>
      </c>
      <c r="D26" s="2">
        <v>-938.7</v>
      </c>
      <c r="E26" s="2">
        <v>-74</v>
      </c>
      <c r="F26" s="2">
        <v>-5561.27</v>
      </c>
      <c r="G26" s="2">
        <v>-1068.8699999999999</v>
      </c>
      <c r="H26" s="2">
        <v>-661.45</v>
      </c>
      <c r="I26" s="2">
        <v>-189.98000000000002</v>
      </c>
      <c r="J26" s="2">
        <v>-925</v>
      </c>
      <c r="K26" s="2">
        <v>-925</v>
      </c>
      <c r="L26" s="2">
        <v>-1067.5999999999999</v>
      </c>
      <c r="M26" s="2">
        <v>-5367</v>
      </c>
      <c r="N26" s="2">
        <v>-16878.870000000003</v>
      </c>
    </row>
    <row r="27" spans="1:26" x14ac:dyDescent="0.25">
      <c r="A27" s="6" t="s">
        <v>224</v>
      </c>
      <c r="B27" s="2">
        <v>-36.119999999999997</v>
      </c>
      <c r="C27" s="2"/>
      <c r="D27" s="2"/>
      <c r="E27" s="2"/>
      <c r="F27" s="2">
        <v>-664.35</v>
      </c>
      <c r="G27" s="2"/>
      <c r="H27" s="2"/>
      <c r="I27" s="2"/>
      <c r="J27" s="2"/>
      <c r="K27" s="2"/>
      <c r="L27" s="2">
        <v>-1873.7700000000002</v>
      </c>
      <c r="M27" s="2">
        <v>-1254.3799999999999</v>
      </c>
      <c r="N27" s="2">
        <v>-3828.62</v>
      </c>
    </row>
    <row r="28" spans="1:26" x14ac:dyDescent="0.25">
      <c r="A28" s="6" t="s">
        <v>215</v>
      </c>
      <c r="B28" s="2">
        <v>-165</v>
      </c>
      <c r="C28" s="2">
        <v>-126.7</v>
      </c>
      <c r="D28" s="2">
        <v>-237.8</v>
      </c>
      <c r="E28" s="2">
        <v>-329.4</v>
      </c>
      <c r="F28" s="2"/>
      <c r="G28" s="2"/>
      <c r="H28" s="2"/>
      <c r="I28" s="2"/>
      <c r="J28" s="2">
        <v>-249.2</v>
      </c>
      <c r="K28" s="2"/>
      <c r="L28" s="2">
        <v>-129.80000000000001</v>
      </c>
      <c r="M28" s="2">
        <v>-2347.11</v>
      </c>
      <c r="N28" s="2">
        <v>-3585.01</v>
      </c>
    </row>
    <row r="29" spans="1:26" x14ac:dyDescent="0.25">
      <c r="A29" s="6" t="s">
        <v>611</v>
      </c>
      <c r="B29" s="2"/>
      <c r="C29" s="2"/>
      <c r="D29" s="2"/>
      <c r="E29" s="2"/>
      <c r="F29" s="2"/>
      <c r="G29" s="2">
        <v>-225.38</v>
      </c>
      <c r="H29" s="2">
        <v>-213.66</v>
      </c>
      <c r="I29" s="2">
        <v>-220.38</v>
      </c>
      <c r="J29" s="2">
        <v>-253.39</v>
      </c>
      <c r="K29" s="2">
        <v>-227.71</v>
      </c>
      <c r="L29" s="2">
        <v>-566.33999999999992</v>
      </c>
      <c r="M29" s="2">
        <v>-535.18000000000006</v>
      </c>
      <c r="N29" s="2">
        <v>-2242.04</v>
      </c>
    </row>
    <row r="30" spans="1:26" x14ac:dyDescent="0.25">
      <c r="A30" s="6" t="s">
        <v>344</v>
      </c>
      <c r="B30" s="2"/>
      <c r="C30" s="2"/>
      <c r="D30" s="2">
        <v>-331.5</v>
      </c>
      <c r="E30" s="2"/>
      <c r="F30" s="2">
        <v>-271.87</v>
      </c>
      <c r="G30" s="2"/>
      <c r="H30" s="2"/>
      <c r="I30" s="2"/>
      <c r="J30" s="2"/>
      <c r="K30" s="2"/>
      <c r="L30" s="2"/>
      <c r="M30" s="2"/>
      <c r="N30" s="2">
        <v>-603.37</v>
      </c>
    </row>
    <row r="31" spans="1:26" x14ac:dyDescent="0.25">
      <c r="A31" s="6" t="s">
        <v>616</v>
      </c>
      <c r="B31" s="2"/>
      <c r="C31" s="2"/>
      <c r="D31" s="2"/>
      <c r="E31" s="2"/>
      <c r="F31" s="2"/>
      <c r="G31" s="2">
        <v>-97.08</v>
      </c>
      <c r="H31" s="2"/>
      <c r="I31" s="2"/>
      <c r="J31" s="2"/>
      <c r="K31" s="2"/>
      <c r="L31" s="2"/>
      <c r="M31" s="2"/>
      <c r="N31" s="2">
        <v>-97.08</v>
      </c>
    </row>
    <row r="32" spans="1:26" x14ac:dyDescent="0.25">
      <c r="A32" s="6" t="s">
        <v>448</v>
      </c>
      <c r="B32" s="2"/>
      <c r="C32" s="2"/>
      <c r="D32" s="2"/>
      <c r="E32" s="2">
        <v>-20</v>
      </c>
      <c r="F32" s="2"/>
      <c r="G32" s="2"/>
      <c r="H32" s="2"/>
      <c r="I32" s="2"/>
      <c r="J32" s="2"/>
      <c r="K32" s="2"/>
      <c r="L32" s="2"/>
      <c r="M32" s="2"/>
      <c r="N32" s="2">
        <v>-20</v>
      </c>
    </row>
    <row r="33" spans="1:14" x14ac:dyDescent="0.25">
      <c r="A33" s="4" t="s">
        <v>77</v>
      </c>
      <c r="B33" s="2">
        <v>-10</v>
      </c>
      <c r="C33" s="2">
        <v>-198.18</v>
      </c>
      <c r="D33" s="2">
        <v>-447.97</v>
      </c>
      <c r="E33" s="2">
        <v>-21.73</v>
      </c>
      <c r="F33" s="2">
        <v>-65.19</v>
      </c>
      <c r="G33" s="2"/>
      <c r="H33" s="2"/>
      <c r="I33" s="2"/>
      <c r="J33" s="2">
        <v>-792.86</v>
      </c>
      <c r="K33" s="2"/>
      <c r="L33" s="2">
        <v>-366.98</v>
      </c>
      <c r="M33" s="2">
        <v>-1816.5700000000002</v>
      </c>
      <c r="N33" s="2">
        <v>-3719.4800000000005</v>
      </c>
    </row>
    <row r="34" spans="1:14" x14ac:dyDescent="0.25">
      <c r="A34" s="6" t="s">
        <v>77</v>
      </c>
      <c r="B34" s="2">
        <v>-10</v>
      </c>
      <c r="C34" s="2">
        <v>-198.18</v>
      </c>
      <c r="D34" s="2">
        <v>-447.97</v>
      </c>
      <c r="E34" s="2">
        <v>-21.73</v>
      </c>
      <c r="F34" s="2">
        <v>-65.19</v>
      </c>
      <c r="G34" s="2"/>
      <c r="H34" s="2"/>
      <c r="I34" s="2"/>
      <c r="J34" s="2">
        <v>-792.86</v>
      </c>
      <c r="K34" s="2"/>
      <c r="L34" s="2">
        <v>-366.98</v>
      </c>
      <c r="M34" s="2">
        <v>-1816.5700000000002</v>
      </c>
      <c r="N34" s="2">
        <v>-3719.4800000000005</v>
      </c>
    </row>
    <row r="35" spans="1:14" x14ac:dyDescent="0.25">
      <c r="A35" s="4" t="s">
        <v>276</v>
      </c>
      <c r="B35" s="2">
        <v>-25000</v>
      </c>
      <c r="C35" s="2">
        <v>-12500</v>
      </c>
      <c r="D35" s="2">
        <v>-12500</v>
      </c>
      <c r="E35" s="2">
        <v>-12500</v>
      </c>
      <c r="F35" s="2">
        <v>-20500</v>
      </c>
      <c r="G35" s="2">
        <v>-12500</v>
      </c>
      <c r="H35" s="2">
        <v>-12499.999999999998</v>
      </c>
      <c r="I35" s="2">
        <v>-12500</v>
      </c>
      <c r="J35" s="2">
        <v>-12500</v>
      </c>
      <c r="K35" s="2">
        <v>-74500</v>
      </c>
      <c r="L35" s="2">
        <v>-19500</v>
      </c>
      <c r="M35" s="2">
        <v>-12500</v>
      </c>
      <c r="N35" s="2">
        <v>-239500</v>
      </c>
    </row>
    <row r="36" spans="1:14" x14ac:dyDescent="0.25">
      <c r="A36" s="6" t="s">
        <v>201</v>
      </c>
      <c r="B36" s="2">
        <v>-22486.639999999999</v>
      </c>
      <c r="C36" s="2">
        <v>-9797.9599999999991</v>
      </c>
      <c r="D36" s="2">
        <v>-9797.9599999999991</v>
      </c>
      <c r="E36" s="2">
        <v>-9797.9599999999991</v>
      </c>
      <c r="F36" s="2">
        <v>-17797.96</v>
      </c>
      <c r="G36" s="2">
        <v>-9797.9599999999991</v>
      </c>
      <c r="H36" s="2">
        <v>-10743.669999999998</v>
      </c>
      <c r="I36" s="2">
        <v>-11148.98</v>
      </c>
      <c r="J36" s="2">
        <v>-11148.98</v>
      </c>
      <c r="K36" s="2">
        <v>-73148.98</v>
      </c>
      <c r="L36" s="2">
        <v>-17113.189999999999</v>
      </c>
      <c r="M36" s="2">
        <v>-9797.9599999999991</v>
      </c>
      <c r="N36" s="2">
        <v>-212578.19999999998</v>
      </c>
    </row>
    <row r="37" spans="1:14" x14ac:dyDescent="0.25">
      <c r="A37" s="6" t="s">
        <v>207</v>
      </c>
      <c r="B37" s="2">
        <v>-2513.36</v>
      </c>
      <c r="C37" s="2">
        <v>-2702.04</v>
      </c>
      <c r="D37" s="2">
        <v>-2702.04</v>
      </c>
      <c r="E37" s="2">
        <v>-2702.04</v>
      </c>
      <c r="F37" s="2">
        <v>-2702.04</v>
      </c>
      <c r="G37" s="2">
        <v>-2702.04</v>
      </c>
      <c r="H37" s="2">
        <v>-1756.33</v>
      </c>
      <c r="I37" s="2">
        <v>-1351.02</v>
      </c>
      <c r="J37" s="2">
        <v>-1351.02</v>
      </c>
      <c r="K37" s="2">
        <v>-1351.02</v>
      </c>
      <c r="L37" s="2">
        <v>-2386.81</v>
      </c>
      <c r="M37" s="2">
        <v>-2702.04</v>
      </c>
      <c r="N37" s="2">
        <v>-26921.800000000003</v>
      </c>
    </row>
    <row r="38" spans="1:14" x14ac:dyDescent="0.25">
      <c r="A38" s="4" t="s">
        <v>277</v>
      </c>
      <c r="B38" s="2">
        <v>-276.3</v>
      </c>
      <c r="C38" s="2">
        <v>-276.3</v>
      </c>
      <c r="D38" s="2">
        <v>-84.05</v>
      </c>
      <c r="E38" s="2">
        <v>-94.5</v>
      </c>
      <c r="F38" s="2">
        <v>-94.5</v>
      </c>
      <c r="G38" s="2">
        <v>-182.08999999999995</v>
      </c>
      <c r="H38" s="2"/>
      <c r="I38" s="2">
        <v>-15</v>
      </c>
      <c r="J38" s="2">
        <v>-77.900000000000006</v>
      </c>
      <c r="K38" s="2">
        <v>-28.6</v>
      </c>
      <c r="L38" s="2">
        <v>-111.8</v>
      </c>
      <c r="M38" s="2">
        <v>-15.9</v>
      </c>
      <c r="N38" s="2">
        <v>-1256.9399999999998</v>
      </c>
    </row>
    <row r="39" spans="1:14" x14ac:dyDescent="0.25">
      <c r="A39" s="6" t="s">
        <v>72</v>
      </c>
      <c r="B39" s="2">
        <v>-276.3</v>
      </c>
      <c r="C39" s="2">
        <v>-276.3</v>
      </c>
      <c r="D39" s="2">
        <v>-84.05</v>
      </c>
      <c r="E39" s="2">
        <v>-94.5</v>
      </c>
      <c r="F39" s="2">
        <v>-94.5</v>
      </c>
      <c r="G39" s="2">
        <v>-182.08999999999995</v>
      </c>
      <c r="H39" s="2"/>
      <c r="I39" s="2">
        <v>-15</v>
      </c>
      <c r="J39" s="2">
        <v>-77.900000000000006</v>
      </c>
      <c r="K39" s="2">
        <v>-28.6</v>
      </c>
      <c r="L39" s="2">
        <v>-111.8</v>
      </c>
      <c r="M39" s="2">
        <v>-15.9</v>
      </c>
      <c r="N39" s="2">
        <v>-1256.9399999999998</v>
      </c>
    </row>
    <row r="40" spans="1:14" x14ac:dyDescent="0.25">
      <c r="A40" s="4" t="s">
        <v>56</v>
      </c>
      <c r="B40" s="2">
        <v>18876.89</v>
      </c>
      <c r="C40" s="2">
        <v>66901.980000000025</v>
      </c>
      <c r="D40" s="2">
        <v>43865.35</v>
      </c>
      <c r="E40" s="2">
        <v>89619.59</v>
      </c>
      <c r="F40" s="2">
        <v>125636.49999999999</v>
      </c>
      <c r="G40" s="2">
        <v>161035.5</v>
      </c>
      <c r="H40" s="2">
        <v>22492.65</v>
      </c>
      <c r="I40" s="2">
        <v>55710.550000000017</v>
      </c>
      <c r="J40" s="2">
        <v>174020.55</v>
      </c>
      <c r="K40" s="2">
        <v>666297.61999999976</v>
      </c>
      <c r="L40" s="2">
        <v>146196.75</v>
      </c>
      <c r="M40" s="2">
        <v>111146.16999999998</v>
      </c>
      <c r="N40" s="2">
        <v>1681800.0999999996</v>
      </c>
    </row>
    <row r="41" spans="1:14" x14ac:dyDescent="0.25">
      <c r="A41" s="6" t="s">
        <v>56</v>
      </c>
      <c r="B41" s="2">
        <v>18876.89</v>
      </c>
      <c r="C41" s="2">
        <v>66901.980000000025</v>
      </c>
      <c r="D41" s="2">
        <v>43865.35</v>
      </c>
      <c r="E41" s="2">
        <v>89619.59</v>
      </c>
      <c r="F41" s="2">
        <v>125636.49999999999</v>
      </c>
      <c r="G41" s="2">
        <v>161035.5</v>
      </c>
      <c r="H41" s="2">
        <v>22492.65</v>
      </c>
      <c r="I41" s="2">
        <v>55710.550000000017</v>
      </c>
      <c r="J41" s="2">
        <v>174020.55</v>
      </c>
      <c r="K41" s="2">
        <v>666297.61999999976</v>
      </c>
      <c r="L41" s="2">
        <v>146196.75</v>
      </c>
      <c r="M41" s="2">
        <v>111146.16999999998</v>
      </c>
      <c r="N41" s="2">
        <v>1681800.0999999996</v>
      </c>
    </row>
    <row r="42" spans="1:14" x14ac:dyDescent="0.25">
      <c r="A42" s="4" t="s">
        <v>278</v>
      </c>
      <c r="B42" s="2">
        <v>-1750</v>
      </c>
      <c r="C42" s="2">
        <v>-2584.29</v>
      </c>
      <c r="D42" s="2">
        <v>-2083.2399999999998</v>
      </c>
      <c r="E42" s="2">
        <v>-2083.2399999999998</v>
      </c>
      <c r="F42" s="2">
        <v>-2083.2399999999998</v>
      </c>
      <c r="G42" s="2">
        <v>-2083.2399999999998</v>
      </c>
      <c r="H42" s="2">
        <v>-2130.02</v>
      </c>
      <c r="I42" s="2">
        <v>-2064.33</v>
      </c>
      <c r="J42" s="2">
        <v>-2083.2399999999998</v>
      </c>
      <c r="K42" s="2">
        <v>-2083.2399999999998</v>
      </c>
      <c r="L42" s="2">
        <v>-2083.2399999999998</v>
      </c>
      <c r="M42" s="2">
        <v>-2083.2399999999998</v>
      </c>
      <c r="N42" s="2">
        <v>-25194.560000000001</v>
      </c>
    </row>
    <row r="43" spans="1:14" x14ac:dyDescent="0.25">
      <c r="A43" s="6" t="s">
        <v>62</v>
      </c>
      <c r="B43" s="2">
        <v>-1750</v>
      </c>
      <c r="C43" s="2">
        <v>-1750</v>
      </c>
      <c r="D43" s="2">
        <v>-1750</v>
      </c>
      <c r="E43" s="2">
        <v>-1750</v>
      </c>
      <c r="F43" s="2">
        <v>-1750</v>
      </c>
      <c r="G43" s="2">
        <v>-1750</v>
      </c>
      <c r="H43" s="2">
        <v>-1750</v>
      </c>
      <c r="I43" s="2">
        <v>-1750</v>
      </c>
      <c r="J43" s="2">
        <v>-1750</v>
      </c>
      <c r="K43" s="2">
        <v>-1750</v>
      </c>
      <c r="L43" s="2">
        <v>-1750</v>
      </c>
      <c r="M43" s="2">
        <v>-1750</v>
      </c>
      <c r="N43" s="2">
        <v>-21000</v>
      </c>
    </row>
    <row r="44" spans="1:14" x14ac:dyDescent="0.25">
      <c r="A44" s="6" t="s">
        <v>39</v>
      </c>
      <c r="B44" s="2"/>
      <c r="C44" s="2">
        <v>-292.89</v>
      </c>
      <c r="D44" s="2">
        <v>-333.24</v>
      </c>
      <c r="E44" s="2">
        <v>-333.24</v>
      </c>
      <c r="F44" s="2">
        <v>-333.24</v>
      </c>
      <c r="G44" s="2">
        <v>-333.24</v>
      </c>
      <c r="H44" s="2">
        <v>-384.24</v>
      </c>
      <c r="I44" s="2">
        <v>-333.24</v>
      </c>
      <c r="J44" s="2">
        <v>-333.24</v>
      </c>
      <c r="K44" s="2">
        <v>-333.24</v>
      </c>
      <c r="L44" s="2">
        <v>-333.24</v>
      </c>
      <c r="M44" s="2">
        <v>-333.24</v>
      </c>
      <c r="N44" s="2">
        <v>-3676.2899999999991</v>
      </c>
    </row>
    <row r="45" spans="1:14" x14ac:dyDescent="0.25">
      <c r="A45" s="6" t="s">
        <v>22</v>
      </c>
      <c r="B45" s="2"/>
      <c r="C45" s="2">
        <v>-541.4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v>-541.4</v>
      </c>
    </row>
    <row r="46" spans="1:14" x14ac:dyDescent="0.25">
      <c r="A46" s="6" t="s">
        <v>658</v>
      </c>
      <c r="B46" s="2"/>
      <c r="C46" s="2"/>
      <c r="D46" s="2"/>
      <c r="E46" s="2"/>
      <c r="F46" s="2"/>
      <c r="G46" s="2"/>
      <c r="H46" s="2">
        <v>4.22</v>
      </c>
      <c r="I46" s="2">
        <v>18.91</v>
      </c>
      <c r="J46" s="2"/>
      <c r="K46" s="2"/>
      <c r="L46" s="2"/>
      <c r="M46" s="2"/>
      <c r="N46" s="2">
        <v>23.13</v>
      </c>
    </row>
    <row r="47" spans="1:14" x14ac:dyDescent="0.25">
      <c r="A47" s="4" t="s">
        <v>279</v>
      </c>
      <c r="B47" s="2">
        <v>-13807.25</v>
      </c>
      <c r="C47" s="2">
        <v>-11522.76</v>
      </c>
      <c r="D47" s="2">
        <v>-11940.75</v>
      </c>
      <c r="E47" s="2">
        <v>-12556.59</v>
      </c>
      <c r="F47" s="2">
        <v>-16173.72</v>
      </c>
      <c r="G47" s="2">
        <v>-14145.019999999999</v>
      </c>
      <c r="H47" s="2">
        <v>-17739.46</v>
      </c>
      <c r="I47" s="2">
        <v>-15315.059999999998</v>
      </c>
      <c r="J47" s="2">
        <v>-14529.559999999998</v>
      </c>
      <c r="K47" s="2">
        <v>-21924.44</v>
      </c>
      <c r="L47" s="2">
        <v>-27953.910000000003</v>
      </c>
      <c r="M47" s="2">
        <v>-29850.05</v>
      </c>
      <c r="N47" s="2">
        <v>-207458.56999999995</v>
      </c>
    </row>
    <row r="48" spans="1:14" x14ac:dyDescent="0.25">
      <c r="A48" s="6" t="s">
        <v>198</v>
      </c>
      <c r="B48" s="2">
        <v>-7870.09</v>
      </c>
      <c r="C48" s="2">
        <v>-6326.28</v>
      </c>
      <c r="D48" s="2">
        <v>-6913.8899999999994</v>
      </c>
      <c r="E48" s="2">
        <v>-7213.8899999999994</v>
      </c>
      <c r="F48" s="2">
        <v>-11553.19</v>
      </c>
      <c r="G48" s="2">
        <v>-8211.57</v>
      </c>
      <c r="H48" s="2">
        <v>-11561.210000000001</v>
      </c>
      <c r="I48" s="2">
        <v>-10439.369999999999</v>
      </c>
      <c r="J48" s="2">
        <v>-11463.039999999999</v>
      </c>
      <c r="K48" s="2">
        <v>-15704.4</v>
      </c>
      <c r="L48" s="2">
        <v>-19246.02</v>
      </c>
      <c r="M48" s="2">
        <v>-21870.579999999998</v>
      </c>
      <c r="N48" s="2">
        <v>-138373.52999999997</v>
      </c>
    </row>
    <row r="49" spans="1:14" x14ac:dyDescent="0.25">
      <c r="A49" s="6" t="s">
        <v>166</v>
      </c>
      <c r="B49" s="2">
        <v>-2844.9700000000003</v>
      </c>
      <c r="C49" s="2">
        <v>-1980.52</v>
      </c>
      <c r="D49" s="2">
        <v>-2041.63</v>
      </c>
      <c r="E49" s="2">
        <v>-2041.63</v>
      </c>
      <c r="F49" s="2">
        <v>-2783.2799999999997</v>
      </c>
      <c r="G49" s="2">
        <v>-3957.59</v>
      </c>
      <c r="H49" s="2">
        <v>-3219.5</v>
      </c>
      <c r="I49" s="2">
        <v>-2923.83</v>
      </c>
      <c r="J49" s="2">
        <v>-2392.46</v>
      </c>
      <c r="K49" s="2">
        <v>-2885.94</v>
      </c>
      <c r="L49" s="2">
        <v>-3107.19</v>
      </c>
      <c r="M49" s="2">
        <v>-3959.05</v>
      </c>
      <c r="N49" s="2">
        <v>-34137.589999999997</v>
      </c>
    </row>
    <row r="50" spans="1:14" x14ac:dyDescent="0.25">
      <c r="A50" s="6" t="s">
        <v>128</v>
      </c>
      <c r="B50" s="2">
        <v>-2700</v>
      </c>
      <c r="C50" s="2">
        <v>-2800</v>
      </c>
      <c r="D50" s="2">
        <v>-2700</v>
      </c>
      <c r="E50" s="2">
        <v>-2706.73</v>
      </c>
      <c r="F50" s="2">
        <v>-1406.73</v>
      </c>
      <c r="G50" s="2">
        <v>-1406.73</v>
      </c>
      <c r="H50" s="2">
        <v>-1726.92</v>
      </c>
      <c r="I50" s="2">
        <v>-1406.73</v>
      </c>
      <c r="J50" s="2">
        <v>-106.73</v>
      </c>
      <c r="K50" s="2">
        <v>-106.73</v>
      </c>
      <c r="L50" s="2">
        <v>-106.73</v>
      </c>
      <c r="M50" s="2"/>
      <c r="N50" s="2">
        <v>-17174.03</v>
      </c>
    </row>
    <row r="51" spans="1:14" x14ac:dyDescent="0.25">
      <c r="A51" s="6" t="s">
        <v>159</v>
      </c>
      <c r="B51" s="2">
        <v>-392.19</v>
      </c>
      <c r="C51" s="2">
        <v>-415.96</v>
      </c>
      <c r="D51" s="2">
        <v>-285.23</v>
      </c>
      <c r="E51" s="2">
        <v>-285.23</v>
      </c>
      <c r="F51" s="2">
        <v>-430.52</v>
      </c>
      <c r="G51" s="2">
        <v>-509.23</v>
      </c>
      <c r="H51" s="2">
        <v>-734.83</v>
      </c>
      <c r="I51" s="2">
        <v>-485.23</v>
      </c>
      <c r="J51" s="2">
        <v>-507.43</v>
      </c>
      <c r="K51" s="2">
        <v>-789.17</v>
      </c>
      <c r="L51" s="2">
        <v>-858.17</v>
      </c>
      <c r="M51" s="2">
        <v>-997.52</v>
      </c>
      <c r="N51" s="2">
        <v>-6690.7099999999991</v>
      </c>
    </row>
    <row r="52" spans="1:14" x14ac:dyDescent="0.25">
      <c r="A52" s="6" t="s">
        <v>900</v>
      </c>
      <c r="B52" s="2"/>
      <c r="C52" s="2"/>
      <c r="D52" s="2"/>
      <c r="E52" s="2"/>
      <c r="F52" s="2"/>
      <c r="G52" s="2"/>
      <c r="H52" s="2"/>
      <c r="I52" s="2"/>
      <c r="J52" s="2"/>
      <c r="K52" s="2">
        <v>-1660</v>
      </c>
      <c r="L52" s="2">
        <v>-1450</v>
      </c>
      <c r="M52" s="2">
        <v>-1400</v>
      </c>
      <c r="N52" s="2">
        <v>-4510</v>
      </c>
    </row>
    <row r="53" spans="1:14" x14ac:dyDescent="0.25">
      <c r="A53" s="6" t="s">
        <v>1070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>
        <v>-2699.9</v>
      </c>
      <c r="M53" s="2">
        <v>-1334</v>
      </c>
      <c r="N53" s="2">
        <v>-4033.9</v>
      </c>
    </row>
    <row r="54" spans="1:14" x14ac:dyDescent="0.25">
      <c r="A54" s="6" t="s">
        <v>382</v>
      </c>
      <c r="B54" s="2"/>
      <c r="C54" s="2"/>
      <c r="D54" s="2"/>
      <c r="E54" s="2">
        <v>-309.11</v>
      </c>
      <c r="F54" s="2"/>
      <c r="G54" s="2">
        <v>-59.9</v>
      </c>
      <c r="H54" s="2">
        <v>-497</v>
      </c>
      <c r="I54" s="2">
        <v>-59.9</v>
      </c>
      <c r="J54" s="2">
        <v>-59.9</v>
      </c>
      <c r="K54" s="2">
        <v>-778.2</v>
      </c>
      <c r="L54" s="2">
        <v>-485.9</v>
      </c>
      <c r="M54" s="2">
        <v>-288.89999999999998</v>
      </c>
      <c r="N54" s="2">
        <v>-2538.81</v>
      </c>
    </row>
    <row r="55" spans="1:14" x14ac:dyDescent="0.25">
      <c r="A55" s="4" t="s">
        <v>280</v>
      </c>
      <c r="B55" s="2">
        <v>-1623.52</v>
      </c>
      <c r="C55" s="2">
        <v>-3049.39</v>
      </c>
      <c r="D55" s="2">
        <v>-28408.15</v>
      </c>
      <c r="E55" s="2">
        <v>-30700.54</v>
      </c>
      <c r="F55" s="2">
        <v>-63982.02</v>
      </c>
      <c r="G55" s="2">
        <v>-29688.480000000003</v>
      </c>
      <c r="H55" s="2">
        <v>-34459.93</v>
      </c>
      <c r="I55" s="2">
        <v>-8138.98</v>
      </c>
      <c r="J55" s="2">
        <v>-16422.59</v>
      </c>
      <c r="K55" s="2">
        <v>-330699.2</v>
      </c>
      <c r="L55" s="2">
        <v>-113344.31</v>
      </c>
      <c r="M55" s="2">
        <v>-45256.2</v>
      </c>
      <c r="N55" s="2">
        <v>-705773.31</v>
      </c>
    </row>
    <row r="56" spans="1:14" x14ac:dyDescent="0.25">
      <c r="A56" s="6" t="s">
        <v>300</v>
      </c>
      <c r="B56" s="2"/>
      <c r="C56" s="2"/>
      <c r="D56" s="2">
        <v>-21972.31</v>
      </c>
      <c r="E56" s="2">
        <v>-28978.09</v>
      </c>
      <c r="F56" s="2">
        <v>-56103.27</v>
      </c>
      <c r="G56" s="2">
        <v>-20876.490000000002</v>
      </c>
      <c r="H56" s="2">
        <v>-18392.600000000002</v>
      </c>
      <c r="I56" s="2">
        <v>-7350.3499999999995</v>
      </c>
      <c r="J56" s="2">
        <v>-15008.54</v>
      </c>
      <c r="K56" s="2">
        <v>-327862.56</v>
      </c>
      <c r="L56" s="2">
        <v>-51994.05</v>
      </c>
      <c r="M56" s="2">
        <v>-31529.11</v>
      </c>
      <c r="N56" s="2">
        <v>-580067.37</v>
      </c>
    </row>
    <row r="57" spans="1:14" x14ac:dyDescent="0.25">
      <c r="A57" s="6" t="s">
        <v>152</v>
      </c>
      <c r="B57" s="2">
        <v>-1623.52</v>
      </c>
      <c r="C57" s="2">
        <v>-3049.39</v>
      </c>
      <c r="D57" s="2">
        <v>-6435.84</v>
      </c>
      <c r="E57" s="2">
        <v>-1722.45</v>
      </c>
      <c r="F57" s="2">
        <v>-7878.75</v>
      </c>
      <c r="G57" s="2">
        <v>-8811.99</v>
      </c>
      <c r="H57" s="2">
        <v>-16067.33</v>
      </c>
      <c r="I57" s="2">
        <v>-788.63</v>
      </c>
      <c r="J57" s="2">
        <v>-1414.05</v>
      </c>
      <c r="K57" s="2">
        <v>-2836.64</v>
      </c>
      <c r="L57" s="2">
        <v>-61350.26</v>
      </c>
      <c r="M57" s="2">
        <v>-13727.09</v>
      </c>
      <c r="N57" s="2">
        <v>-125705.94</v>
      </c>
    </row>
    <row r="58" spans="1:14" x14ac:dyDescent="0.25">
      <c r="A58" s="4" t="s">
        <v>418</v>
      </c>
      <c r="B58" s="2"/>
      <c r="C58" s="2"/>
      <c r="D58" s="2">
        <v>-2052.5699999999997</v>
      </c>
      <c r="E58" s="2">
        <v>-15000</v>
      </c>
      <c r="F58" s="2">
        <v>-50.8</v>
      </c>
      <c r="G58" s="2">
        <v>-6406.32</v>
      </c>
      <c r="H58" s="2">
        <v>-147</v>
      </c>
      <c r="I58" s="2">
        <v>-223.9</v>
      </c>
      <c r="J58" s="2">
        <v>-877.7</v>
      </c>
      <c r="K58" s="2"/>
      <c r="L58" s="2">
        <v>-50.5</v>
      </c>
      <c r="M58" s="2"/>
      <c r="N58" s="2">
        <v>-24808.79</v>
      </c>
    </row>
    <row r="59" spans="1:14" x14ac:dyDescent="0.25">
      <c r="A59" s="6" t="s">
        <v>308</v>
      </c>
      <c r="B59" s="2"/>
      <c r="C59" s="2"/>
      <c r="D59" s="2">
        <v>-2052.5699999999997</v>
      </c>
      <c r="E59" s="2">
        <v>-15000</v>
      </c>
      <c r="F59" s="2">
        <v>-50.8</v>
      </c>
      <c r="G59" s="2">
        <v>-6406.32</v>
      </c>
      <c r="H59" s="2">
        <v>-147</v>
      </c>
      <c r="I59" s="2">
        <v>-223.9</v>
      </c>
      <c r="J59" s="2">
        <v>-877.7</v>
      </c>
      <c r="K59" s="2"/>
      <c r="L59" s="2">
        <v>-50.5</v>
      </c>
      <c r="M59" s="2"/>
      <c r="N59" s="2">
        <v>-24808.79</v>
      </c>
    </row>
    <row r="60" spans="1:14" x14ac:dyDescent="0.25">
      <c r="A60" s="4" t="s">
        <v>626</v>
      </c>
      <c r="B60" s="2"/>
      <c r="C60" s="2"/>
      <c r="D60" s="2"/>
      <c r="E60" s="2"/>
      <c r="F60" s="2"/>
      <c r="G60" s="2">
        <v>65.19</v>
      </c>
      <c r="H60" s="2">
        <v>308.25</v>
      </c>
      <c r="I60" s="2">
        <v>-255.7</v>
      </c>
      <c r="J60" s="2">
        <v>-108.62</v>
      </c>
      <c r="K60" s="2">
        <v>-139.04</v>
      </c>
      <c r="L60" s="2">
        <v>-34.799999999999997</v>
      </c>
      <c r="M60" s="2"/>
      <c r="N60" s="2">
        <v>-164.71999999999997</v>
      </c>
    </row>
    <row r="61" spans="1:14" x14ac:dyDescent="0.25">
      <c r="A61" s="6" t="s">
        <v>626</v>
      </c>
      <c r="B61" s="2"/>
      <c r="C61" s="2"/>
      <c r="D61" s="2"/>
      <c r="E61" s="2"/>
      <c r="F61" s="2"/>
      <c r="G61" s="2">
        <v>65.19</v>
      </c>
      <c r="H61" s="2">
        <v>308.25</v>
      </c>
      <c r="I61" s="2">
        <v>-255.7</v>
      </c>
      <c r="J61" s="2">
        <v>-108.62</v>
      </c>
      <c r="K61" s="2">
        <v>-139.04</v>
      </c>
      <c r="L61" s="2">
        <v>-34.799999999999997</v>
      </c>
      <c r="M61" s="2"/>
      <c r="N61" s="2">
        <v>-164.71999999999997</v>
      </c>
    </row>
    <row r="62" spans="1:14" x14ac:dyDescent="0.25">
      <c r="A62" s="4" t="s">
        <v>815</v>
      </c>
      <c r="B62" s="2"/>
      <c r="C62" s="2"/>
      <c r="D62" s="2"/>
      <c r="E62" s="2"/>
      <c r="F62" s="2"/>
      <c r="G62" s="2"/>
      <c r="H62" s="2"/>
      <c r="I62" s="2"/>
      <c r="J62" s="2">
        <v>0</v>
      </c>
      <c r="K62" s="2">
        <v>0</v>
      </c>
      <c r="L62" s="2">
        <v>0</v>
      </c>
      <c r="M62" s="2">
        <v>0</v>
      </c>
      <c r="N62" s="2">
        <v>0</v>
      </c>
    </row>
    <row r="63" spans="1:14" x14ac:dyDescent="0.25">
      <c r="A63" s="6" t="s">
        <v>815</v>
      </c>
      <c r="B63" s="2"/>
      <c r="C63" s="2"/>
      <c r="D63" s="2"/>
      <c r="E63" s="2"/>
      <c r="F63" s="2"/>
      <c r="G63" s="2"/>
      <c r="H63" s="2"/>
      <c r="I63" s="2"/>
      <c r="J63" s="2">
        <v>0</v>
      </c>
      <c r="K63" s="2">
        <v>0</v>
      </c>
      <c r="L63" s="2">
        <v>0</v>
      </c>
      <c r="M63" s="2">
        <v>0</v>
      </c>
      <c r="N63" s="2">
        <v>0</v>
      </c>
    </row>
    <row r="64" spans="1:14" x14ac:dyDescent="0.25">
      <c r="A64" s="4" t="s">
        <v>1175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>
        <v>0</v>
      </c>
      <c r="N64" s="2">
        <v>0</v>
      </c>
    </row>
    <row r="65" spans="1:14" x14ac:dyDescent="0.25">
      <c r="A65" s="6" t="s">
        <v>1175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>
        <v>0</v>
      </c>
      <c r="N65" s="2">
        <v>0</v>
      </c>
    </row>
    <row r="66" spans="1:14" x14ac:dyDescent="0.25">
      <c r="A66" s="4" t="s">
        <v>212</v>
      </c>
      <c r="B66" s="2">
        <v>-37144.14</v>
      </c>
      <c r="C66" s="2">
        <v>24173.280000000035</v>
      </c>
      <c r="D66" s="2">
        <v>-28616.599999999995</v>
      </c>
      <c r="E66" s="2">
        <v>5229.0400000000045</v>
      </c>
      <c r="F66" s="2">
        <v>2490.7199999999966</v>
      </c>
      <c r="G66" s="2">
        <v>83492.140000000014</v>
      </c>
      <c r="H66" s="2">
        <v>-56533.319999999992</v>
      </c>
      <c r="I66" s="2">
        <v>2854.1200000000222</v>
      </c>
      <c r="J66" s="2">
        <v>102869.09000000004</v>
      </c>
      <c r="K66" s="2">
        <v>212449.26999999976</v>
      </c>
      <c r="L66" s="2">
        <v>-40295.54</v>
      </c>
      <c r="M66" s="2">
        <v>-3089.3000000000429</v>
      </c>
      <c r="N66" s="2">
        <v>267878.75999999949</v>
      </c>
    </row>
  </sheetData>
  <autoFilter ref="V4:Z14" xr:uid="{2AA9A2E4-B9E9-458A-97E7-3A5983813D41}">
    <sortState xmlns:xlrd2="http://schemas.microsoft.com/office/spreadsheetml/2017/richdata2" ref="V5:Z14">
      <sortCondition descending="1" ref="Z4:Z14"/>
    </sortState>
  </autoFilter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Comissões</vt:lpstr>
      <vt:lpstr>Salários</vt:lpstr>
      <vt:lpstr>Tabela</vt:lpstr>
      <vt:lpstr>Base</vt:lpstr>
      <vt:lpstr>TOTAL</vt:lpstr>
      <vt:lpstr>ADM</vt:lpstr>
      <vt:lpstr>CML</vt:lpstr>
      <vt:lpstr>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Dias Machado</dc:creator>
  <cp:lastModifiedBy>Renato Dias Machado</cp:lastModifiedBy>
  <dcterms:created xsi:type="dcterms:W3CDTF">2025-09-16T00:00:41Z</dcterms:created>
  <dcterms:modified xsi:type="dcterms:W3CDTF">2026-02-23T13:28:04Z</dcterms:modified>
</cp:coreProperties>
</file>